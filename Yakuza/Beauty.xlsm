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drawings/drawing3.xml" ContentType="application/vnd.openxmlformats-officedocument.drawing+xml"/>
  <Override PartName="/xl/ctrlProps/ctrlProp3.xml" ContentType="application/vnd.ms-excel.controlproperties+xml"/>
  <Override PartName="/xl/tables/tableSingleCells2.xml" ContentType="application/vnd.openxmlformats-officedocument.spreadsheetml.tableSingleCells+xml"/>
  <Override PartName="/xl/drawings/drawing4.xml" ContentType="application/vnd.openxmlformats-officedocument.drawing+xml"/>
  <Override PartName="/xl/ctrlProps/ctrlProp4.xml" ContentType="application/vnd.ms-excel.controlproperties+xml"/>
  <Override PartName="/xl/tables/tableSingleCells3.xml" ContentType="application/vnd.openxmlformats-officedocument.spreadsheetml.tableSingleCells+xml"/>
  <Override PartName="/xl/drawings/drawing5.xml" ContentType="application/vnd.openxmlformats-officedocument.drawing+xml"/>
  <Override PartName="/xl/ctrlProps/ctrlProp5.xml" ContentType="application/vnd.ms-excel.controlproperties+xml"/>
  <Override PartName="/xl/tables/tableSingleCells4.xml" ContentType="application/vnd.openxmlformats-officedocument.spreadsheetml.tableSingleCells+xml"/>
  <Override PartName="/xl/drawings/drawing6.xml" ContentType="application/vnd.openxmlformats-officedocument.drawing+xml"/>
  <Override PartName="/xl/ctrlProps/ctrlProp6.xml" ContentType="application/vnd.ms-excel.controlproperties+xml"/>
  <Override PartName="/xl/tables/tableSingleCells5.xml" ContentType="application/vnd.openxmlformats-officedocument.spreadsheetml.tableSingleCells+xml"/>
  <Override PartName="/xl/drawings/drawing7.xml" ContentType="application/vnd.openxmlformats-officedocument.drawing+xml"/>
  <Override PartName="/xl/ctrlProps/ctrlProp7.xml" ContentType="application/vnd.ms-excel.controlproperties+xml"/>
  <Override PartName="/xl/tables/tableSingleCells6.xml" ContentType="application/vnd.openxmlformats-officedocument.spreadsheetml.tableSingleCells+xml"/>
  <Override PartName="/xl/drawings/drawing8.xml" ContentType="application/vnd.openxmlformats-officedocument.drawing+xml"/>
  <Override PartName="/xl/ctrlProps/ctrlProp8.xml" ContentType="application/vnd.ms-excel.controlproperties+xml"/>
  <Override PartName="/xl/tables/tableSingleCells7.xml" ContentType="application/vnd.openxmlformats-officedocument.spreadsheetml.tableSingleCells+xml"/>
  <Override PartName="/xl/drawings/drawing9.xml" ContentType="application/vnd.openxmlformats-officedocument.drawing+xml"/>
  <Override PartName="/xl/ctrlProps/ctrlProp9.xml" ContentType="application/vnd.ms-excel.controlproperties+xml"/>
  <Override PartName="/xl/tables/tableSingleCells8.xml" ContentType="application/vnd.openxmlformats-officedocument.spreadsheetml.tableSingleCells+xml"/>
  <Override PartName="/xl/drawings/drawing10.xml" ContentType="application/vnd.openxmlformats-officedocument.drawing+xml"/>
  <Override PartName="/xl/ctrlProps/ctrlProp10.xml" ContentType="application/vnd.ms-excel.controlproperties+xml"/>
  <Override PartName="/xl/tables/tableSingleCells9.xml" ContentType="application/vnd.openxmlformats-officedocument.spreadsheetml.tableSingleCells+xml"/>
  <Override PartName="/xl/drawings/drawing11.xml" ContentType="application/vnd.openxmlformats-officedocument.drawing+xml"/>
  <Override PartName="/xl/ctrlProps/ctrlProp11.xml" ContentType="application/vnd.ms-excel.controlproperties+xml"/>
  <Override PartName="/xl/tables/tableSingleCells10.xml" ContentType="application/vnd.openxmlformats-officedocument.spreadsheetml.tableSingleCell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552" yWindow="36" windowWidth="23256" windowHeight="13176" firstSheet="1" activeTab="1"/>
  </bookViews>
  <sheets>
    <sheet name="Intro" sheetId="1" r:id="rId1"/>
    <sheet name="Basics" sheetId="6" r:id="rId2"/>
    <sheet name="Abilities" sheetId="7" r:id="rId3"/>
    <sheet name="Skills" sheetId="9" r:id="rId4"/>
    <sheet name="Adv" sheetId="10" r:id="rId5"/>
    <sheet name="PComps" sheetId="11" r:id="rId6"/>
    <sheet name="Powers" sheetId="12" r:id="rId7"/>
    <sheet name="EqComps" sheetId="17" r:id="rId8"/>
    <sheet name="Equip" sheetId="18" r:id="rId9"/>
    <sheet name="Ex" sheetId="20" r:id="rId10"/>
    <sheet name="Details" sheetId="14" r:id="rId11"/>
    <sheet name="Calc" sheetId="15" r:id="rId12"/>
    <sheet name="Custom" sheetId="16" r:id="rId13"/>
    <sheet name="Forums" sheetId="19" r:id="rId14"/>
    <sheet name="Reference" sheetId="22" r:id="rId15"/>
    <sheet name="Data" sheetId="8" r:id="rId16"/>
    <sheet name="Blank" sheetId="5" r:id="rId17"/>
  </sheets>
  <definedNames>
    <definedName name="AbilityBenchmarks">Data!$E$12:$ED$38</definedName>
    <definedName name="AbilityScoreMatrix">Abilities!$BO$7:$BQ$14</definedName>
    <definedName name="AdvantageChart">Data!$C$42:$AJ$115</definedName>
    <definedName name="AdvantageList">Data!$C$42:$C$115</definedName>
    <definedName name="Age">Basics!$L$24</definedName>
    <definedName name="Agility">Abilities!$S$9</definedName>
    <definedName name="AlternateIdentity">Basics!$L$21</definedName>
    <definedName name="Awareness">Abilities!$S$13</definedName>
    <definedName name="BaseOfOperations">Basics!$L$30</definedName>
    <definedName name="CampaignPowerLevel">Basics!$U$6</definedName>
    <definedName name="CloseCombatAdv">Adv!$BV$40</definedName>
    <definedName name="CombatSkillList">Skills!$BC$5:$BC$14</definedName>
    <definedName name="CombatSkillsMatrix">Skills!$BC$5:$BI$14</definedName>
    <definedName name="ComponentIndex">PComps!$BR$4:$BR$23</definedName>
    <definedName name="ComponentMatrix">PComps!$BR$4:$CK$23</definedName>
    <definedName name="Dexterity">Abilities!$S$10</definedName>
    <definedName name="Dodge">Abilities!$AR$7</definedName>
    <definedName name="EnhancedAgility">PComps!$DD$24</definedName>
    <definedName name="EnhancedAwareness">PComps!$DT$24</definedName>
    <definedName name="EnhancedDexterity">PComps!$DH$24</definedName>
    <definedName name="EnhancedDodge">PComps!$EB$24</definedName>
    <definedName name="EnhancedFighting">PComps!$DL$24</definedName>
    <definedName name="EnhancedFortitude">PComps!$EF$24</definedName>
    <definedName name="EnhancedInitiative">PComps!$ER$24</definedName>
    <definedName name="EnhancedIntellect">PComps!$DP$24</definedName>
    <definedName name="EnhancedParry">PComps!$EJ$24</definedName>
    <definedName name="EnhancedPresence">PComps!$DX$24</definedName>
    <definedName name="EnhancedStamina">PComps!$CZ$24</definedName>
    <definedName name="EnhancedStrength">PComps!$CV$24</definedName>
    <definedName name="EnhancedWill">PComps!$EN$24</definedName>
    <definedName name="EqCompIndex">EqComps!$BH$4:$BH$23</definedName>
    <definedName name="EqCompMatrix">EqComps!$BH$4:$CA$23</definedName>
    <definedName name="Eyes">Basics!$L$27</definedName>
    <definedName name="Fighting">Abilities!$S$11</definedName>
    <definedName name="Fortitude">Abilities!$AR$8</definedName>
    <definedName name="Gender">Basics!$L$23</definedName>
    <definedName name="GroupAffiliation">Basics!$L$29</definedName>
    <definedName name="Hair">Basics!$L$28</definedName>
    <definedName name="Height">Basics!$L$25</definedName>
    <definedName name="HeroName">Basics!$L$19</definedName>
    <definedName name="Initiative">Abilities!$AR$14</definedName>
    <definedName name="Intellect">Abilities!$S$12</definedName>
    <definedName name="Offense1">Calc!$C$8</definedName>
    <definedName name="Offense2">Calc!$C$9</definedName>
    <definedName name="Offense3">Calc!$C$10</definedName>
    <definedName name="Offense4">Calc!$C$11</definedName>
    <definedName name="Offense5">Calc!$C$12</definedName>
    <definedName name="Offense6">Calc!$C$13</definedName>
    <definedName name="OffNotes1">Calc!$AY$8</definedName>
    <definedName name="OffNotes2">Calc!$AY$9</definedName>
    <definedName name="OffNotes3">Calc!$AY$10</definedName>
    <definedName name="OffNotes4">Calc!$AY$11</definedName>
    <definedName name="OffNotes5">Calc!$AY$12</definedName>
    <definedName name="OffNotes6">Calc!$AY$13</definedName>
    <definedName name="OffPower1">Calc!$T$8</definedName>
    <definedName name="OffPower2">Calc!$T$9</definedName>
    <definedName name="OffPower3">Calc!$T$10</definedName>
    <definedName name="OffPower4">Calc!$T$11</definedName>
    <definedName name="OffPower5">Calc!$T$12</definedName>
    <definedName name="OffPower6">Calc!$T$13</definedName>
    <definedName name="OffToHit1">Calc!$AU$8</definedName>
    <definedName name="OffToHit2">Calc!$AU$9</definedName>
    <definedName name="OffToHit3">Calc!$AU$10</definedName>
    <definedName name="OffToHit4">Calc!$AU$11</definedName>
    <definedName name="OffToHit5">Calc!$AU$12</definedName>
    <definedName name="OffToHit6">Calc!$AU$13</definedName>
    <definedName name="Parry">Abilities!$AR$9</definedName>
    <definedName name="PermanentGrowth">PComps!$EV$24</definedName>
    <definedName name="PermanentShrinking">PComps!$EZ$24</definedName>
    <definedName name="Player">Basics!$L$20</definedName>
    <definedName name="PointsAbilities">Abilities!$BF$6</definedName>
    <definedName name="PointsAdvantages">Abilities!$BF$9</definedName>
    <definedName name="PointsDefenses">Abilities!$BF$7</definedName>
    <definedName name="PointsPowers">Abilities!$BF$10</definedName>
    <definedName name="PointsSkills">Abilities!$BF$8</definedName>
    <definedName name="PointsTotal">Abilities!$BF$14</definedName>
    <definedName name="PowerEffectsChart">Data!$C$120:$DO$200</definedName>
    <definedName name="PowerEffectsList">Data!$C$120:$C$200</definedName>
    <definedName name="PowerExamplesList">Data!$C$205:$C$206</definedName>
    <definedName name="PowerExamplesMatrix">Data!$C$205:$DO$206</definedName>
    <definedName name="PowerPointsSpent">Basics!$U$9</definedName>
    <definedName name="Presence">Abilities!$S$14</definedName>
    <definedName name="_xlnm.Print_Area" localSheetId="12">Custom!$A$1:$FB$267</definedName>
    <definedName name="_xlnm.Print_Area" localSheetId="14">Reference!$A$1:$BY$58</definedName>
    <definedName name="RangedCombatAdv">Adv!$BZ$40</definedName>
    <definedName name="Stamina">Abilities!$S$8</definedName>
    <definedName name="Strength">Abilities!$S$7</definedName>
    <definedName name="Toughness">Custom!$BJ$41</definedName>
    <definedName name="TypeofAltID">Basics!$L$22</definedName>
    <definedName name="Weight">Basics!$L$26</definedName>
    <definedName name="Will">Abilities!$AR$11</definedName>
  </definedNames>
  <calcPr calcId="144525"/>
</workbook>
</file>

<file path=xl/calcChain.xml><?xml version="1.0" encoding="utf-8"?>
<calcChain xmlns="http://schemas.openxmlformats.org/spreadsheetml/2006/main">
  <c r="HF64" i="16" l="1"/>
  <c r="HF63" i="16"/>
  <c r="GN63" i="16" l="1"/>
  <c r="J11" i="7"/>
  <c r="A76" i="19" l="1"/>
  <c r="DM8" i="10"/>
  <c r="DM9" i="10"/>
  <c r="DM10" i="10"/>
  <c r="DM11" i="10"/>
  <c r="DM12" i="10"/>
  <c r="DM13" i="10"/>
  <c r="DM14" i="10"/>
  <c r="DM15" i="10"/>
  <c r="DM16" i="10"/>
  <c r="DM17" i="10"/>
  <c r="DM18" i="10"/>
  <c r="DM19" i="10"/>
  <c r="DM20" i="10"/>
  <c r="DM21" i="10"/>
  <c r="DM22" i="10"/>
  <c r="DM23" i="10"/>
  <c r="DM24" i="10"/>
  <c r="DM25" i="10"/>
  <c r="DM26" i="10"/>
  <c r="DM27" i="10"/>
  <c r="DM28" i="10"/>
  <c r="DM29" i="10"/>
  <c r="DM30" i="10"/>
  <c r="DM31" i="10"/>
  <c r="DM32" i="10"/>
  <c r="DM33" i="10"/>
  <c r="DM34" i="10"/>
  <c r="DM35" i="10"/>
  <c r="DM36" i="10"/>
  <c r="DM37" i="10"/>
  <c r="DM38" i="10"/>
  <c r="DM39" i="10"/>
  <c r="DM7" i="10"/>
  <c r="DM6" i="10"/>
  <c r="FA14" i="18"/>
  <c r="A45" i="19"/>
  <c r="A44" i="19"/>
  <c r="DA8" i="10"/>
  <c r="DA9" i="10"/>
  <c r="DA10" i="10"/>
  <c r="DA11" i="10"/>
  <c r="DA12" i="10"/>
  <c r="DA13" i="10"/>
  <c r="DA14" i="10"/>
  <c r="DA15" i="10"/>
  <c r="DA16" i="10"/>
  <c r="DA17" i="10"/>
  <c r="DA18" i="10"/>
  <c r="DA19" i="10"/>
  <c r="DA20" i="10"/>
  <c r="DA21" i="10"/>
  <c r="DA22" i="10"/>
  <c r="DA23" i="10"/>
  <c r="DA24" i="10"/>
  <c r="DA25" i="10"/>
  <c r="DA26" i="10"/>
  <c r="DA27" i="10"/>
  <c r="DA28" i="10"/>
  <c r="DA29" i="10"/>
  <c r="DA30" i="10"/>
  <c r="DA31" i="10"/>
  <c r="DA32" i="10"/>
  <c r="DA33" i="10"/>
  <c r="DA34" i="10"/>
  <c r="DA35" i="10"/>
  <c r="DA36" i="10"/>
  <c r="DA37" i="10"/>
  <c r="DA38" i="10"/>
  <c r="DA39" i="10"/>
  <c r="DA7" i="10"/>
  <c r="DA6" i="10"/>
  <c r="BN23" i="9"/>
  <c r="BN24" i="9"/>
  <c r="BN25" i="9"/>
  <c r="BN9" i="9"/>
  <c r="BN10" i="9"/>
  <c r="BN11" i="9"/>
  <c r="AU11" i="15"/>
  <c r="BT74" i="16" s="1"/>
  <c r="AU13" i="15"/>
  <c r="CM13" i="15" s="1"/>
  <c r="BR7" i="10"/>
  <c r="BR8" i="10"/>
  <c r="BR9" i="10"/>
  <c r="BR10" i="10"/>
  <c r="BR11" i="10"/>
  <c r="BR12" i="10"/>
  <c r="BR13" i="10"/>
  <c r="BR14" i="10"/>
  <c r="BR15" i="10"/>
  <c r="BR16" i="10"/>
  <c r="BR17" i="10"/>
  <c r="BR18" i="10"/>
  <c r="BR19" i="10"/>
  <c r="BR20" i="10"/>
  <c r="BR21" i="10"/>
  <c r="BR22" i="10"/>
  <c r="BR23" i="10"/>
  <c r="BR24" i="10"/>
  <c r="BR25" i="10"/>
  <c r="BR26" i="10"/>
  <c r="BR27" i="10"/>
  <c r="BR28" i="10"/>
  <c r="BR29" i="10"/>
  <c r="BR30" i="10"/>
  <c r="BR31" i="10"/>
  <c r="BR32" i="10"/>
  <c r="BR33" i="10"/>
  <c r="BR34" i="10"/>
  <c r="BR35" i="10"/>
  <c r="BR36" i="10"/>
  <c r="BR37" i="10"/>
  <c r="BR38" i="10"/>
  <c r="BR39" i="10"/>
  <c r="BR6" i="10"/>
  <c r="CH8" i="10"/>
  <c r="CH9" i="10"/>
  <c r="CH10" i="10"/>
  <c r="CH11" i="10"/>
  <c r="CH12" i="10"/>
  <c r="CH13" i="10"/>
  <c r="CH14" i="10"/>
  <c r="CH15" i="10"/>
  <c r="CH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7" i="10"/>
  <c r="CH6" i="10"/>
  <c r="BF170" i="12"/>
  <c r="BF169" i="12"/>
  <c r="BF168" i="12"/>
  <c r="BF167" i="12"/>
  <c r="BF166" i="12"/>
  <c r="BF165" i="12"/>
  <c r="BF164" i="12"/>
  <c r="BF163" i="12"/>
  <c r="BF162" i="12"/>
  <c r="BF161" i="12"/>
  <c r="BO161" i="12" s="1"/>
  <c r="BF160" i="12"/>
  <c r="DH160" i="12" s="1"/>
  <c r="BF153" i="12"/>
  <c r="BF152" i="12"/>
  <c r="BF151" i="12"/>
  <c r="BF150" i="12"/>
  <c r="BF149" i="12"/>
  <c r="BF148" i="12"/>
  <c r="BF147" i="12"/>
  <c r="BF146" i="12"/>
  <c r="BF145" i="12"/>
  <c r="BF144" i="12"/>
  <c r="BO144" i="12" s="1"/>
  <c r="BF143" i="12"/>
  <c r="DH143" i="12" s="1"/>
  <c r="BF136" i="12"/>
  <c r="BF135" i="12"/>
  <c r="BF134" i="12"/>
  <c r="BF133" i="12"/>
  <c r="BF132" i="12"/>
  <c r="BF131" i="12"/>
  <c r="BF130" i="12"/>
  <c r="BF129" i="12"/>
  <c r="BF128" i="12"/>
  <c r="BF127" i="12"/>
  <c r="BO127" i="12" s="1"/>
  <c r="BF126" i="12"/>
  <c r="CP126" i="12" s="1"/>
  <c r="BF119" i="12"/>
  <c r="BF118" i="12"/>
  <c r="BF117" i="12"/>
  <c r="BF116" i="12"/>
  <c r="BF115" i="12"/>
  <c r="BF114" i="12"/>
  <c r="BF113" i="12"/>
  <c r="BF112" i="12"/>
  <c r="BF111" i="12"/>
  <c r="BF110" i="12"/>
  <c r="BO110" i="12" s="1"/>
  <c r="BF109" i="12"/>
  <c r="DH109" i="12" s="1"/>
  <c r="BF102" i="12"/>
  <c r="BF101" i="12"/>
  <c r="BF100" i="12"/>
  <c r="BF99" i="12"/>
  <c r="BF98" i="12"/>
  <c r="BF97" i="12"/>
  <c r="BF96" i="12"/>
  <c r="BF95" i="12"/>
  <c r="BF94" i="12"/>
  <c r="BF92" i="12"/>
  <c r="DH92" i="12" s="1"/>
  <c r="BF85" i="12"/>
  <c r="BF84" i="12"/>
  <c r="BF83" i="12"/>
  <c r="BF82" i="12"/>
  <c r="BF81" i="12"/>
  <c r="BF80" i="12"/>
  <c r="BF79" i="12"/>
  <c r="BF75" i="12"/>
  <c r="DH75" i="12" s="1"/>
  <c r="BF68" i="12"/>
  <c r="BF67" i="12"/>
  <c r="BF66" i="12"/>
  <c r="BF65" i="12"/>
  <c r="BF64" i="12"/>
  <c r="BF63" i="12"/>
  <c r="BF62" i="12"/>
  <c r="BF58" i="12"/>
  <c r="CP58" i="12" s="1"/>
  <c r="BF51" i="12"/>
  <c r="BF50" i="12"/>
  <c r="BF49" i="12"/>
  <c r="BF41" i="12"/>
  <c r="BL350" i="11"/>
  <c r="AP350" i="11" s="1"/>
  <c r="BX23" i="11" s="1"/>
  <c r="BL333" i="11"/>
  <c r="AP333" i="11" s="1"/>
  <c r="BX22" i="11" s="1"/>
  <c r="BL265" i="11"/>
  <c r="AP265" i="11" s="1"/>
  <c r="BX18" i="11" s="1"/>
  <c r="BL248" i="11"/>
  <c r="BL231" i="11"/>
  <c r="AP231" i="11" s="1"/>
  <c r="BX16" i="11" s="1"/>
  <c r="BL214" i="11"/>
  <c r="AP214" i="11" s="1"/>
  <c r="BX15" i="11" s="1"/>
  <c r="BL197" i="11"/>
  <c r="BL180" i="11"/>
  <c r="AP180" i="11" s="1"/>
  <c r="BX13" i="11" s="1"/>
  <c r="C23" i="20"/>
  <c r="BK160" i="18"/>
  <c r="BK159" i="18"/>
  <c r="BK158" i="18"/>
  <c r="BK157" i="18"/>
  <c r="BK156" i="18"/>
  <c r="BK155" i="18"/>
  <c r="BK154" i="18"/>
  <c r="BK153" i="18"/>
  <c r="BK152" i="18"/>
  <c r="BK151" i="18"/>
  <c r="BT151" i="18" s="1"/>
  <c r="BK150" i="18"/>
  <c r="DO150" i="18" s="1"/>
  <c r="BK143" i="18"/>
  <c r="BK142" i="18"/>
  <c r="BK141" i="18"/>
  <c r="BK140" i="18"/>
  <c r="BK139" i="18"/>
  <c r="BK138" i="18"/>
  <c r="BK137" i="18"/>
  <c r="BK136" i="18"/>
  <c r="BK135" i="18"/>
  <c r="BK134" i="18"/>
  <c r="BT134" i="18" s="1"/>
  <c r="BK133" i="18"/>
  <c r="CC133" i="18" s="1"/>
  <c r="BK126" i="18"/>
  <c r="BK125" i="18"/>
  <c r="BK124" i="18"/>
  <c r="BK123" i="18"/>
  <c r="BK122" i="18"/>
  <c r="BK121" i="18"/>
  <c r="BK120" i="18"/>
  <c r="BK119" i="18"/>
  <c r="BK118" i="18"/>
  <c r="BK117" i="18"/>
  <c r="BT117" i="18" s="1"/>
  <c r="BK116" i="18"/>
  <c r="FT116" i="18" s="1"/>
  <c r="BK109" i="18"/>
  <c r="BK108" i="18"/>
  <c r="BK107" i="18"/>
  <c r="BK106" i="18"/>
  <c r="BK105" i="18"/>
  <c r="BK104" i="18"/>
  <c r="BK103" i="18"/>
  <c r="BK102" i="18"/>
  <c r="BK101" i="18"/>
  <c r="BK100" i="18"/>
  <c r="BT100" i="18" s="1"/>
  <c r="BK99" i="18"/>
  <c r="FT99" i="18" s="1"/>
  <c r="BK92" i="18"/>
  <c r="BK91" i="18"/>
  <c r="BK90" i="18"/>
  <c r="BK89" i="18"/>
  <c r="BK88" i="18"/>
  <c r="BK87" i="18"/>
  <c r="BK86" i="18"/>
  <c r="BK85" i="18"/>
  <c r="BK84" i="18"/>
  <c r="BK83" i="18"/>
  <c r="BT83" i="18" s="1"/>
  <c r="BK82" i="18"/>
  <c r="FT82" i="18" s="1"/>
  <c r="BK75" i="18"/>
  <c r="BK74" i="18"/>
  <c r="BK73" i="18"/>
  <c r="BK72" i="18"/>
  <c r="BK71" i="18"/>
  <c r="BK70" i="18"/>
  <c r="BK69" i="18"/>
  <c r="BK68" i="18"/>
  <c r="BK67" i="18"/>
  <c r="BK66" i="18"/>
  <c r="BT66" i="18" s="1"/>
  <c r="BK65" i="18"/>
  <c r="FT65" i="18" s="1"/>
  <c r="BK58" i="18"/>
  <c r="BK57" i="18"/>
  <c r="BK56" i="18"/>
  <c r="BK55" i="18"/>
  <c r="BK54" i="18"/>
  <c r="BK53" i="18"/>
  <c r="BK52" i="18"/>
  <c r="BK51" i="18"/>
  <c r="BK50" i="18"/>
  <c r="BK49" i="18"/>
  <c r="BT49" i="18" s="1"/>
  <c r="BK48" i="18"/>
  <c r="FT48" i="18" s="1"/>
  <c r="BK41" i="18"/>
  <c r="BK40" i="18"/>
  <c r="BK39" i="18"/>
  <c r="BK38" i="18"/>
  <c r="BK37" i="18"/>
  <c r="BK36" i="18"/>
  <c r="BK35" i="18"/>
  <c r="BK34" i="18"/>
  <c r="BK33" i="18"/>
  <c r="BK32" i="18"/>
  <c r="BT32" i="18" s="1"/>
  <c r="BK31" i="18"/>
  <c r="FT31" i="18" s="1"/>
  <c r="BK16" i="18"/>
  <c r="BK17" i="18"/>
  <c r="BK18" i="18"/>
  <c r="BK19" i="18"/>
  <c r="BK20" i="18"/>
  <c r="BK21" i="18"/>
  <c r="BK22" i="18"/>
  <c r="BK23" i="18"/>
  <c r="BK24" i="18"/>
  <c r="BK15" i="18"/>
  <c r="BT15" i="18" s="1"/>
  <c r="AX29" i="9"/>
  <c r="AX30" i="9" s="1"/>
  <c r="AX8" i="9" s="1"/>
  <c r="CH14" i="17"/>
  <c r="CH15" i="17"/>
  <c r="CH16" i="17"/>
  <c r="CH17" i="17"/>
  <c r="CH18" i="17"/>
  <c r="CH19" i="17"/>
  <c r="CH20" i="17"/>
  <c r="CH21" i="17"/>
  <c r="CH22" i="17"/>
  <c r="CH23" i="17"/>
  <c r="BS27" i="18"/>
  <c r="CW7" i="10"/>
  <c r="CW8" i="10"/>
  <c r="CW9" i="10"/>
  <c r="CW10" i="10"/>
  <c r="CW11" i="10"/>
  <c r="CW12" i="10"/>
  <c r="CW13" i="10"/>
  <c r="CW14" i="10"/>
  <c r="CW15" i="10"/>
  <c r="CW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6" i="10"/>
  <c r="CD7" i="10"/>
  <c r="CD8" i="10"/>
  <c r="CD9" i="10"/>
  <c r="CD10" i="10"/>
  <c r="CD11" i="10"/>
  <c r="CD12" i="10"/>
  <c r="CD13" i="10"/>
  <c r="CD14" i="10"/>
  <c r="CD15" i="10"/>
  <c r="CD16" i="10"/>
  <c r="CD17" i="10"/>
  <c r="CD18" i="10"/>
  <c r="CD19" i="10"/>
  <c r="CD20" i="10"/>
  <c r="CD21" i="10"/>
  <c r="CD22" i="10"/>
  <c r="CD23" i="10"/>
  <c r="CD24" i="10"/>
  <c r="CD25" i="10"/>
  <c r="CD26" i="10"/>
  <c r="CD27" i="10"/>
  <c r="CD28" i="10"/>
  <c r="CD29" i="10"/>
  <c r="CD30" i="10"/>
  <c r="CD31" i="10"/>
  <c r="CD32" i="10"/>
  <c r="CD33" i="10"/>
  <c r="CD34" i="10"/>
  <c r="CD35" i="10"/>
  <c r="CD36" i="10"/>
  <c r="CD37" i="10"/>
  <c r="CD38" i="10"/>
  <c r="CD39" i="10"/>
  <c r="CD6" i="10"/>
  <c r="BZ7" i="10"/>
  <c r="BZ8" i="10"/>
  <c r="BZ9" i="10"/>
  <c r="BZ10" i="10"/>
  <c r="BZ11" i="10"/>
  <c r="BZ12" i="10"/>
  <c r="BZ13" i="10"/>
  <c r="BZ14" i="10"/>
  <c r="BZ15" i="10"/>
  <c r="BZ16" i="10"/>
  <c r="BZ17" i="10"/>
  <c r="BZ18" i="10"/>
  <c r="BZ19" i="10"/>
  <c r="BZ20" i="10"/>
  <c r="BZ21" i="10"/>
  <c r="BZ22" i="10"/>
  <c r="BZ23" i="10"/>
  <c r="BZ24" i="10"/>
  <c r="BZ25" i="10"/>
  <c r="BZ26" i="10"/>
  <c r="BZ27" i="10"/>
  <c r="BZ28" i="10"/>
  <c r="BZ29" i="10"/>
  <c r="BZ30" i="10"/>
  <c r="BZ31" i="10"/>
  <c r="BZ32" i="10"/>
  <c r="BZ33" i="10"/>
  <c r="BZ34" i="10"/>
  <c r="BZ35" i="10"/>
  <c r="BZ36" i="10"/>
  <c r="BZ37" i="10"/>
  <c r="BZ38" i="10"/>
  <c r="BZ39" i="10"/>
  <c r="BZ6" i="10"/>
  <c r="BV7" i="10"/>
  <c r="BV8" i="10"/>
  <c r="BV9" i="10"/>
  <c r="BV10" i="10"/>
  <c r="BV11" i="10"/>
  <c r="BV12" i="10"/>
  <c r="BV13" i="10"/>
  <c r="BV14" i="10"/>
  <c r="BV15" i="10"/>
  <c r="BV16" i="10"/>
  <c r="BV17" i="10"/>
  <c r="BV18" i="10"/>
  <c r="BV19" i="10"/>
  <c r="BV20" i="10"/>
  <c r="BV21" i="10"/>
  <c r="BV22" i="10"/>
  <c r="BV23" i="10"/>
  <c r="BV24" i="10"/>
  <c r="BV25" i="10"/>
  <c r="BV26" i="10"/>
  <c r="BV27" i="10"/>
  <c r="BV28" i="10"/>
  <c r="BV29" i="10"/>
  <c r="BV30" i="10"/>
  <c r="BV31" i="10"/>
  <c r="BV32" i="10"/>
  <c r="BV33" i="10"/>
  <c r="BV34" i="10"/>
  <c r="BV35" i="10"/>
  <c r="BV36" i="10"/>
  <c r="BV37" i="10"/>
  <c r="BV38" i="10"/>
  <c r="BV39" i="10"/>
  <c r="BV6" i="10"/>
  <c r="BN7" i="10"/>
  <c r="BN8" i="10"/>
  <c r="BN9" i="10"/>
  <c r="BN10" i="10"/>
  <c r="BN11" i="10"/>
  <c r="BN12" i="10"/>
  <c r="BN13" i="10"/>
  <c r="BN14" i="10"/>
  <c r="BN15" i="10"/>
  <c r="BN16" i="10"/>
  <c r="BN17" i="10"/>
  <c r="BN18" i="10"/>
  <c r="BN19" i="10"/>
  <c r="BN20" i="10"/>
  <c r="BN21" i="10"/>
  <c r="BN22" i="10"/>
  <c r="BN23" i="10"/>
  <c r="BN24" i="10"/>
  <c r="BN25" i="10"/>
  <c r="BN26" i="10"/>
  <c r="BN27" i="10"/>
  <c r="BN28" i="10"/>
  <c r="BN29" i="10"/>
  <c r="BN30" i="10"/>
  <c r="BN31" i="10"/>
  <c r="BN32" i="10"/>
  <c r="BN33" i="10"/>
  <c r="BN34" i="10"/>
  <c r="BN35" i="10"/>
  <c r="BN36" i="10"/>
  <c r="BN37" i="10"/>
  <c r="BN38" i="10"/>
  <c r="BN39" i="10"/>
  <c r="BN6" i="10"/>
  <c r="BL346" i="11"/>
  <c r="BL329" i="11"/>
  <c r="AZ352" i="17"/>
  <c r="BV23" i="17" s="1"/>
  <c r="AZ335" i="17"/>
  <c r="BV22" i="17" s="1"/>
  <c r="AZ318" i="17"/>
  <c r="BV21" i="17" s="1"/>
  <c r="AZ301" i="17"/>
  <c r="BV20" i="17" s="1"/>
  <c r="AZ284" i="17"/>
  <c r="BV19" i="17" s="1"/>
  <c r="AZ267" i="17"/>
  <c r="BV18" i="17" s="1"/>
  <c r="AZ250" i="17"/>
  <c r="BV17" i="17" s="1"/>
  <c r="AZ233" i="17"/>
  <c r="BV16" i="17" s="1"/>
  <c r="AZ216" i="17"/>
  <c r="BV15" i="17" s="1"/>
  <c r="AZ199" i="17"/>
  <c r="BV14" i="17" s="1"/>
  <c r="AZ182" i="17"/>
  <c r="BV13" i="17" s="1"/>
  <c r="AZ165" i="17"/>
  <c r="BV12" i="17" s="1"/>
  <c r="AZ148" i="17"/>
  <c r="BV11" i="17" s="1"/>
  <c r="AZ131" i="17"/>
  <c r="BV10" i="17" s="1"/>
  <c r="AZ114" i="17"/>
  <c r="BV9" i="17" s="1"/>
  <c r="AZ97" i="17"/>
  <c r="BV8" i="17" s="1"/>
  <c r="AZ80" i="17"/>
  <c r="BV7" i="17" s="1"/>
  <c r="AZ63" i="17"/>
  <c r="BV6" i="17" s="1"/>
  <c r="AZ46" i="17"/>
  <c r="BV5" i="17" s="1"/>
  <c r="AZ29" i="17"/>
  <c r="BV4" i="17" s="1"/>
  <c r="BI352" i="11"/>
  <c r="CF23" i="11" s="1"/>
  <c r="BI335" i="11"/>
  <c r="CF22" i="11" s="1"/>
  <c r="BI318" i="11"/>
  <c r="CF21" i="11" s="1"/>
  <c r="BI301" i="11"/>
  <c r="CF20" i="11" s="1"/>
  <c r="BI284" i="11"/>
  <c r="CF19" i="11" s="1"/>
  <c r="BI267" i="11"/>
  <c r="CF18" i="11" s="1"/>
  <c r="BI250" i="11"/>
  <c r="CF17" i="11" s="1"/>
  <c r="BI233" i="11"/>
  <c r="CF16" i="11" s="1"/>
  <c r="BI216" i="11"/>
  <c r="CF15" i="11" s="1"/>
  <c r="BI199" i="11"/>
  <c r="CF14" i="11" s="1"/>
  <c r="BI182" i="11"/>
  <c r="CF13" i="11" s="1"/>
  <c r="BI165" i="11"/>
  <c r="CF12" i="11" s="1"/>
  <c r="BI148" i="11"/>
  <c r="CF11" i="11" s="1"/>
  <c r="BI131" i="11"/>
  <c r="CF10" i="11" s="1"/>
  <c r="BI114" i="11"/>
  <c r="CF9" i="11" s="1"/>
  <c r="BI97" i="11"/>
  <c r="CF8" i="11" s="1"/>
  <c r="BI80" i="11"/>
  <c r="CF7" i="11" s="1"/>
  <c r="BI63" i="11"/>
  <c r="CF6" i="11" s="1"/>
  <c r="BI46" i="11"/>
  <c r="CF5" i="11" s="1"/>
  <c r="BI29" i="11"/>
  <c r="CF4" i="11" s="1"/>
  <c r="AL160" i="18"/>
  <c r="AE160" i="18"/>
  <c r="AB160" i="18"/>
  <c r="Y160" i="18"/>
  <c r="AL159" i="18"/>
  <c r="AE159" i="18"/>
  <c r="AB159" i="18"/>
  <c r="Y159" i="18"/>
  <c r="AL158" i="18"/>
  <c r="AE158" i="18"/>
  <c r="AB158" i="18"/>
  <c r="Y158" i="18"/>
  <c r="AL157" i="18"/>
  <c r="AE157" i="18"/>
  <c r="AB157" i="18"/>
  <c r="Y157" i="18"/>
  <c r="AL156" i="18"/>
  <c r="AE156" i="18"/>
  <c r="AB156" i="18"/>
  <c r="Y156" i="18"/>
  <c r="AL155" i="18"/>
  <c r="AE155" i="18"/>
  <c r="AB155" i="18"/>
  <c r="Y155" i="18"/>
  <c r="AL154" i="18"/>
  <c r="AE154" i="18"/>
  <c r="AB154" i="18"/>
  <c r="Y154" i="18"/>
  <c r="AL153" i="18"/>
  <c r="AE153" i="18"/>
  <c r="AB153" i="18"/>
  <c r="Y153" i="18"/>
  <c r="AL152" i="18"/>
  <c r="AB152" i="18"/>
  <c r="Y152" i="18"/>
  <c r="Y151" i="18"/>
  <c r="AL143" i="18"/>
  <c r="AE143" i="18"/>
  <c r="AB143" i="18"/>
  <c r="Y143" i="18"/>
  <c r="AL142" i="18"/>
  <c r="AE142" i="18"/>
  <c r="AB142" i="18"/>
  <c r="Y142" i="18"/>
  <c r="AL141" i="18"/>
  <c r="AE141" i="18"/>
  <c r="AB141" i="18"/>
  <c r="Y141" i="18"/>
  <c r="AL140" i="18"/>
  <c r="AE140" i="18"/>
  <c r="AB140" i="18"/>
  <c r="Y140" i="18"/>
  <c r="AL139" i="18"/>
  <c r="AE139" i="18"/>
  <c r="AB139" i="18"/>
  <c r="Y139" i="18"/>
  <c r="AL138" i="18"/>
  <c r="AE138" i="18"/>
  <c r="AB138" i="18"/>
  <c r="Y138" i="18"/>
  <c r="AL137" i="18"/>
  <c r="AE137" i="18"/>
  <c r="AB137" i="18"/>
  <c r="Y137" i="18"/>
  <c r="AL136" i="18"/>
  <c r="AE136" i="18"/>
  <c r="AB136" i="18"/>
  <c r="Y136" i="18"/>
  <c r="AL135" i="18"/>
  <c r="AB135" i="18"/>
  <c r="Y135" i="18"/>
  <c r="Y134" i="18"/>
  <c r="AL126" i="18"/>
  <c r="AE126" i="18"/>
  <c r="AB126" i="18"/>
  <c r="Y126" i="18"/>
  <c r="AL125" i="18"/>
  <c r="AE125" i="18"/>
  <c r="AB125" i="18"/>
  <c r="Y125" i="18"/>
  <c r="AL124" i="18"/>
  <c r="AE124" i="18"/>
  <c r="AB124" i="18"/>
  <c r="Y124" i="18"/>
  <c r="AL123" i="18"/>
  <c r="AE123" i="18"/>
  <c r="AB123" i="18"/>
  <c r="Y123" i="18"/>
  <c r="AL122" i="18"/>
  <c r="AE122" i="18"/>
  <c r="AB122" i="18"/>
  <c r="Y122" i="18"/>
  <c r="AL121" i="18"/>
  <c r="AE121" i="18"/>
  <c r="AB121" i="18"/>
  <c r="Y121" i="18"/>
  <c r="AL120" i="18"/>
  <c r="AE120" i="18"/>
  <c r="AB120" i="18"/>
  <c r="Y120" i="18"/>
  <c r="AL119" i="18"/>
  <c r="AE119" i="18"/>
  <c r="AB119" i="18"/>
  <c r="Y119" i="18"/>
  <c r="AL118" i="18"/>
  <c r="AB118" i="18"/>
  <c r="Y118" i="18"/>
  <c r="Y117" i="18"/>
  <c r="AL109" i="18"/>
  <c r="AE109" i="18"/>
  <c r="AB109" i="18"/>
  <c r="Y109" i="18"/>
  <c r="AL108" i="18"/>
  <c r="AE108" i="18"/>
  <c r="AB108" i="18"/>
  <c r="Y108" i="18"/>
  <c r="AL107" i="18"/>
  <c r="AE107" i="18"/>
  <c r="AB107" i="18"/>
  <c r="Y107" i="18"/>
  <c r="AL106" i="18"/>
  <c r="AE106" i="18"/>
  <c r="AB106" i="18"/>
  <c r="Y106" i="18"/>
  <c r="AL105" i="18"/>
  <c r="AE105" i="18"/>
  <c r="AB105" i="18"/>
  <c r="Y105" i="18"/>
  <c r="AL104" i="18"/>
  <c r="AE104" i="18"/>
  <c r="AB104" i="18"/>
  <c r="Y104" i="18"/>
  <c r="AL103" i="18"/>
  <c r="AE103" i="18"/>
  <c r="AB103" i="18"/>
  <c r="Y103" i="18"/>
  <c r="AL102" i="18"/>
  <c r="AE102" i="18"/>
  <c r="AB102" i="18"/>
  <c r="Y102" i="18"/>
  <c r="AL101" i="18"/>
  <c r="AB101" i="18"/>
  <c r="Y101" i="18"/>
  <c r="Y100" i="18"/>
  <c r="AL92" i="18"/>
  <c r="AE92" i="18"/>
  <c r="AB92" i="18"/>
  <c r="Y92" i="18"/>
  <c r="AL91" i="18"/>
  <c r="AE91" i="18"/>
  <c r="AB91" i="18"/>
  <c r="Y91" i="18"/>
  <c r="AL90" i="18"/>
  <c r="AE90" i="18"/>
  <c r="AB90" i="18"/>
  <c r="Y90" i="18"/>
  <c r="AL89" i="18"/>
  <c r="AE89" i="18"/>
  <c r="AB89" i="18"/>
  <c r="Y89" i="18"/>
  <c r="AL88" i="18"/>
  <c r="AE88" i="18"/>
  <c r="AB88" i="18"/>
  <c r="Y88" i="18"/>
  <c r="AL87" i="18"/>
  <c r="AE87" i="18"/>
  <c r="AB87" i="18"/>
  <c r="Y87" i="18"/>
  <c r="AL86" i="18"/>
  <c r="AE86" i="18"/>
  <c r="AB86" i="18"/>
  <c r="Y86" i="18"/>
  <c r="AL85" i="18"/>
  <c r="AE85" i="18"/>
  <c r="AB85" i="18"/>
  <c r="Y85" i="18"/>
  <c r="AL84" i="18"/>
  <c r="AB84" i="18"/>
  <c r="Y84" i="18"/>
  <c r="Y83" i="18"/>
  <c r="AL75" i="18"/>
  <c r="AE75" i="18"/>
  <c r="AB75" i="18"/>
  <c r="Y75" i="18"/>
  <c r="AL74" i="18"/>
  <c r="AE74" i="18"/>
  <c r="AB74" i="18"/>
  <c r="Y74" i="18"/>
  <c r="AL73" i="18"/>
  <c r="AE73" i="18"/>
  <c r="AB73" i="18"/>
  <c r="Y73" i="18"/>
  <c r="AL72" i="18"/>
  <c r="AE72" i="18"/>
  <c r="AB72" i="18"/>
  <c r="Y72" i="18"/>
  <c r="AL71" i="18"/>
  <c r="AE71" i="18"/>
  <c r="AB71" i="18"/>
  <c r="Y71" i="18"/>
  <c r="AL70" i="18"/>
  <c r="AE70" i="18"/>
  <c r="AB70" i="18"/>
  <c r="Y70" i="18"/>
  <c r="AL69" i="18"/>
  <c r="AE69" i="18"/>
  <c r="AB69" i="18"/>
  <c r="Y69" i="18"/>
  <c r="AL68" i="18"/>
  <c r="AE68" i="18"/>
  <c r="AB68" i="18"/>
  <c r="Y68" i="18"/>
  <c r="AL67" i="18"/>
  <c r="AB67" i="18"/>
  <c r="Y67" i="18"/>
  <c r="Y66" i="18"/>
  <c r="AL58" i="18"/>
  <c r="AE58" i="18"/>
  <c r="AB58" i="18"/>
  <c r="Y58" i="18"/>
  <c r="AL57" i="18"/>
  <c r="AE57" i="18"/>
  <c r="AB57" i="18"/>
  <c r="Y57" i="18"/>
  <c r="AL56" i="18"/>
  <c r="AE56" i="18"/>
  <c r="AB56" i="18"/>
  <c r="Y56" i="18"/>
  <c r="AL55" i="18"/>
  <c r="AE55" i="18"/>
  <c r="AB55" i="18"/>
  <c r="Y55" i="18"/>
  <c r="AL54" i="18"/>
  <c r="AE54" i="18"/>
  <c r="AB54" i="18"/>
  <c r="Y54" i="18"/>
  <c r="AL53" i="18"/>
  <c r="AE53" i="18"/>
  <c r="AB53" i="18"/>
  <c r="Y53" i="18"/>
  <c r="AL52" i="18"/>
  <c r="AE52" i="18"/>
  <c r="AB52" i="18"/>
  <c r="Y52" i="18"/>
  <c r="AL51" i="18"/>
  <c r="AE51" i="18"/>
  <c r="AB51" i="18"/>
  <c r="Y51" i="18"/>
  <c r="AL50" i="18"/>
  <c r="AB50" i="18"/>
  <c r="Y50" i="18"/>
  <c r="Y49" i="18"/>
  <c r="AL41" i="18"/>
  <c r="AE41" i="18"/>
  <c r="AB41" i="18"/>
  <c r="Y41" i="18"/>
  <c r="AL40" i="18"/>
  <c r="AE40" i="18"/>
  <c r="AB40" i="18"/>
  <c r="Y40" i="18"/>
  <c r="AL39" i="18"/>
  <c r="AE39" i="18"/>
  <c r="AB39" i="18"/>
  <c r="Y39" i="18"/>
  <c r="AL38" i="18"/>
  <c r="AE38" i="18"/>
  <c r="AB38" i="18"/>
  <c r="Y38" i="18"/>
  <c r="AL37" i="18"/>
  <c r="AE37" i="18"/>
  <c r="AB37" i="18"/>
  <c r="Y37" i="18"/>
  <c r="AL36" i="18"/>
  <c r="AE36" i="18"/>
  <c r="AB36" i="18"/>
  <c r="Y36" i="18"/>
  <c r="AL35" i="18"/>
  <c r="AE35" i="18"/>
  <c r="AB35" i="18"/>
  <c r="Y35" i="18"/>
  <c r="AL34" i="18"/>
  <c r="AE34" i="18"/>
  <c r="AB34" i="18"/>
  <c r="Y34" i="18"/>
  <c r="AL33" i="18"/>
  <c r="AB33" i="18"/>
  <c r="BC348" i="17"/>
  <c r="BC346" i="17"/>
  <c r="BC347" i="17"/>
  <c r="BC350" i="17"/>
  <c r="AP350" i="17" s="1"/>
  <c r="BN23" i="17" s="1"/>
  <c r="BC345" i="17"/>
  <c r="BC344" i="17"/>
  <c r="BC333" i="17"/>
  <c r="AP333" i="17" s="1"/>
  <c r="BN22" i="17" s="1"/>
  <c r="BC331" i="17"/>
  <c r="BC330" i="17"/>
  <c r="BC329" i="17"/>
  <c r="BC328" i="17"/>
  <c r="BC327" i="17"/>
  <c r="BC316" i="17"/>
  <c r="AP316" i="17" s="1"/>
  <c r="BN21" i="17" s="1"/>
  <c r="BC314" i="17"/>
  <c r="BC313" i="17"/>
  <c r="BC312" i="17"/>
  <c r="BC311" i="17"/>
  <c r="BC310" i="17"/>
  <c r="BC299" i="17"/>
  <c r="AP299" i="17" s="1"/>
  <c r="BN20" i="17" s="1"/>
  <c r="BC297" i="17"/>
  <c r="BC296" i="17"/>
  <c r="BC295" i="17"/>
  <c r="BC294" i="17"/>
  <c r="BC293" i="17"/>
  <c r="BC282" i="17"/>
  <c r="AP282" i="17" s="1"/>
  <c r="BN19" i="17" s="1"/>
  <c r="BC280" i="17"/>
  <c r="BC279" i="17"/>
  <c r="BC278" i="17"/>
  <c r="BC277" i="17"/>
  <c r="BC276" i="17"/>
  <c r="BC265" i="17"/>
  <c r="AP265" i="17" s="1"/>
  <c r="BN18" i="17" s="1"/>
  <c r="BC263" i="17"/>
  <c r="BC262" i="17"/>
  <c r="BC261" i="17"/>
  <c r="BC260" i="17"/>
  <c r="BC259" i="17"/>
  <c r="BC248" i="17"/>
  <c r="AP248" i="17" s="1"/>
  <c r="BN17" i="17" s="1"/>
  <c r="BC246" i="17"/>
  <c r="BC245" i="17"/>
  <c r="BC244" i="17"/>
  <c r="BC243" i="17"/>
  <c r="BC242" i="17"/>
  <c r="BC231" i="17"/>
  <c r="AP231" i="17" s="1"/>
  <c r="BN16" i="17" s="1"/>
  <c r="BC229" i="17"/>
  <c r="BC228" i="17"/>
  <c r="BC227" i="17"/>
  <c r="BC226" i="17"/>
  <c r="BC225" i="17"/>
  <c r="BC214" i="17"/>
  <c r="AP214" i="17" s="1"/>
  <c r="BN15" i="17" s="1"/>
  <c r="BC212" i="17"/>
  <c r="BC211" i="17"/>
  <c r="BC210" i="17"/>
  <c r="BC209" i="17"/>
  <c r="BC208" i="17"/>
  <c r="BC197" i="17"/>
  <c r="AP197" i="17" s="1"/>
  <c r="BN14" i="17" s="1"/>
  <c r="BC195" i="17"/>
  <c r="BC194" i="17"/>
  <c r="BC193" i="17"/>
  <c r="BC192" i="17"/>
  <c r="BC191" i="17"/>
  <c r="BC180" i="17"/>
  <c r="AP180" i="17" s="1"/>
  <c r="BN13" i="17" s="1"/>
  <c r="BC178" i="17"/>
  <c r="BC177" i="17"/>
  <c r="BC176" i="17"/>
  <c r="BC175" i="17"/>
  <c r="BC174" i="17"/>
  <c r="BC163" i="17"/>
  <c r="AP163" i="17" s="1"/>
  <c r="BN12" i="17" s="1"/>
  <c r="BC161" i="17"/>
  <c r="BC160" i="17"/>
  <c r="BC159" i="17"/>
  <c r="BC158" i="17"/>
  <c r="BC157" i="17"/>
  <c r="BC146" i="17"/>
  <c r="AP146" i="17" s="1"/>
  <c r="BN11" i="17" s="1"/>
  <c r="BC144" i="17"/>
  <c r="BC143" i="17"/>
  <c r="BC142" i="17"/>
  <c r="BC141" i="17"/>
  <c r="BC140" i="17"/>
  <c r="BC129" i="17"/>
  <c r="AP129" i="17" s="1"/>
  <c r="BN10" i="17" s="1"/>
  <c r="BC127" i="17"/>
  <c r="BC126" i="17"/>
  <c r="BC125" i="17"/>
  <c r="BC124" i="17"/>
  <c r="BC123" i="17"/>
  <c r="BC112" i="17"/>
  <c r="AP112" i="17" s="1"/>
  <c r="BN9" i="17" s="1"/>
  <c r="BC110" i="17"/>
  <c r="BC109" i="17"/>
  <c r="BC108" i="17"/>
  <c r="BC107" i="17"/>
  <c r="BC106" i="17"/>
  <c r="BC95" i="17"/>
  <c r="AP95" i="17" s="1"/>
  <c r="BN8" i="17" s="1"/>
  <c r="BC93" i="17"/>
  <c r="BC92" i="17"/>
  <c r="BC91" i="17"/>
  <c r="BC90" i="17"/>
  <c r="BC89" i="17"/>
  <c r="BC78" i="17"/>
  <c r="AP78" i="17" s="1"/>
  <c r="BN7" i="17" s="1"/>
  <c r="BC76" i="17"/>
  <c r="BC75" i="17"/>
  <c r="BC74" i="17"/>
  <c r="BC73" i="17"/>
  <c r="BC72" i="17"/>
  <c r="BC59" i="17"/>
  <c r="BC56" i="17"/>
  <c r="BC55" i="17"/>
  <c r="BC42" i="17"/>
  <c r="BC39" i="17"/>
  <c r="Y33" i="18"/>
  <c r="BC38" i="17"/>
  <c r="BC25" i="17"/>
  <c r="BC22" i="17"/>
  <c r="BC21" i="17"/>
  <c r="BL348" i="11"/>
  <c r="BL347" i="11"/>
  <c r="BL345" i="11"/>
  <c r="BL344" i="11"/>
  <c r="BL331" i="11"/>
  <c r="BL330" i="11"/>
  <c r="BL328" i="11"/>
  <c r="BL327" i="11"/>
  <c r="BL314" i="11"/>
  <c r="BL311" i="11"/>
  <c r="BL310" i="11"/>
  <c r="BL297" i="11"/>
  <c r="BL294" i="11"/>
  <c r="BL293" i="11"/>
  <c r="BL280" i="11"/>
  <c r="BL277" i="11"/>
  <c r="BL276" i="11"/>
  <c r="BL263" i="11"/>
  <c r="BL260" i="11"/>
  <c r="BL259" i="11"/>
  <c r="BL246" i="11"/>
  <c r="BL243" i="11"/>
  <c r="BL242" i="11"/>
  <c r="BL229" i="11"/>
  <c r="BL226" i="11"/>
  <c r="BL225" i="11"/>
  <c r="BL212" i="11"/>
  <c r="BL209" i="11"/>
  <c r="BL208" i="11"/>
  <c r="BL195" i="11"/>
  <c r="BL192" i="11"/>
  <c r="BL191" i="11"/>
  <c r="BL178" i="11"/>
  <c r="BL175" i="11"/>
  <c r="BL174" i="11"/>
  <c r="BL161" i="11"/>
  <c r="BL158" i="11"/>
  <c r="BL157" i="11"/>
  <c r="BL144" i="11"/>
  <c r="BL141" i="11"/>
  <c r="BL140" i="11"/>
  <c r="BL127" i="11"/>
  <c r="BL124" i="11"/>
  <c r="BL123" i="11"/>
  <c r="BL110" i="11"/>
  <c r="BL107" i="11"/>
  <c r="BL106" i="11"/>
  <c r="BL93" i="11"/>
  <c r="BL90" i="11"/>
  <c r="BL89" i="11"/>
  <c r="BL76" i="11"/>
  <c r="BL73" i="11"/>
  <c r="BL72" i="11"/>
  <c r="BL59" i="11"/>
  <c r="BL56" i="11"/>
  <c r="BL55" i="11"/>
  <c r="BL42" i="11"/>
  <c r="BL39" i="11"/>
  <c r="BL38" i="11"/>
  <c r="BL25" i="11"/>
  <c r="BL22" i="11"/>
  <c r="BL21" i="11"/>
  <c r="BW36" i="17"/>
  <c r="BW35" i="17"/>
  <c r="BW34" i="17"/>
  <c r="BW33" i="17"/>
  <c r="BW32" i="17"/>
  <c r="BW31" i="17"/>
  <c r="BW30" i="17"/>
  <c r="BW29" i="17"/>
  <c r="BW28" i="17"/>
  <c r="BR31" i="11"/>
  <c r="BR30" i="11"/>
  <c r="BR29" i="11"/>
  <c r="BR36" i="11"/>
  <c r="BR35" i="11"/>
  <c r="BR34" i="11"/>
  <c r="BR33" i="11"/>
  <c r="BR32" i="11"/>
  <c r="BR28" i="11"/>
  <c r="A6" i="19"/>
  <c r="BS11" i="15"/>
  <c r="BS13" i="15"/>
  <c r="A38" i="19"/>
  <c r="BD6" i="14"/>
  <c r="A35" i="19" s="1"/>
  <c r="EH14" i="18"/>
  <c r="A5" i="19"/>
  <c r="AB11" i="15"/>
  <c r="AB12" i="15"/>
  <c r="AB13" i="15"/>
  <c r="AQ38" i="10"/>
  <c r="AQ20" i="10"/>
  <c r="AQ21" i="10"/>
  <c r="AQ22" i="10"/>
  <c r="AQ23" i="10"/>
  <c r="AQ24" i="10"/>
  <c r="AQ25" i="10"/>
  <c r="AQ26" i="10"/>
  <c r="AQ27" i="10"/>
  <c r="AQ28" i="10"/>
  <c r="AQ29" i="10"/>
  <c r="AQ30" i="10"/>
  <c r="AQ31" i="10"/>
  <c r="AQ32" i="10"/>
  <c r="AQ33" i="10"/>
  <c r="AQ34" i="10"/>
  <c r="AQ35" i="10"/>
  <c r="AQ36" i="10"/>
  <c r="BJ38" i="10"/>
  <c r="BJ20" i="10"/>
  <c r="BJ21" i="10"/>
  <c r="BJ22" i="10"/>
  <c r="BJ23" i="10"/>
  <c r="BJ24" i="10"/>
  <c r="BJ25" i="10"/>
  <c r="BJ26" i="10"/>
  <c r="BJ27" i="10"/>
  <c r="BJ28" i="10"/>
  <c r="BJ29" i="10"/>
  <c r="BJ30" i="10"/>
  <c r="BJ31" i="10"/>
  <c r="BJ32" i="10"/>
  <c r="BJ33" i="10"/>
  <c r="BJ34" i="10"/>
  <c r="BJ35" i="10"/>
  <c r="BJ36" i="10"/>
  <c r="W38" i="10"/>
  <c r="W20" i="10"/>
  <c r="W21" i="10"/>
  <c r="W22" i="10"/>
  <c r="W23" i="10"/>
  <c r="W24" i="10"/>
  <c r="W25" i="10"/>
  <c r="W26" i="10"/>
  <c r="W27" i="10"/>
  <c r="W28" i="10"/>
  <c r="W29" i="10"/>
  <c r="W30" i="10"/>
  <c r="W31" i="10"/>
  <c r="W32" i="10"/>
  <c r="W33" i="10"/>
  <c r="W34" i="10"/>
  <c r="W35" i="10"/>
  <c r="W36" i="10"/>
  <c r="CV14" i="18"/>
  <c r="BZ23" i="11"/>
  <c r="EZ23" i="11" s="1"/>
  <c r="BZ22" i="11"/>
  <c r="BZ21" i="11"/>
  <c r="EV21" i="11" s="1"/>
  <c r="BZ20" i="11"/>
  <c r="CZ20" i="11" s="1"/>
  <c r="BZ19" i="11"/>
  <c r="EZ19" i="11" s="1"/>
  <c r="BZ18" i="11"/>
  <c r="DX18" i="11" s="1"/>
  <c r="BZ17" i="11"/>
  <c r="EV17" i="11" s="1"/>
  <c r="BZ16" i="11"/>
  <c r="EV16" i="11" s="1"/>
  <c r="BZ15" i="11"/>
  <c r="EZ15" i="11" s="1"/>
  <c r="BZ14" i="11"/>
  <c r="CZ14" i="11" s="1"/>
  <c r="BL23" i="17"/>
  <c r="BL22" i="17"/>
  <c r="BL21" i="17"/>
  <c r="BL20" i="17"/>
  <c r="BL19" i="17"/>
  <c r="BL18" i="17"/>
  <c r="BL17" i="17"/>
  <c r="BL16" i="17"/>
  <c r="BL15" i="17"/>
  <c r="BL14" i="17"/>
  <c r="BH22" i="17"/>
  <c r="BH21" i="17"/>
  <c r="BH20" i="17"/>
  <c r="BH19" i="17"/>
  <c r="BH18" i="17"/>
  <c r="BH17" i="17"/>
  <c r="BH16" i="17"/>
  <c r="BH15" i="17"/>
  <c r="BH14" i="17"/>
  <c r="BH23" i="17"/>
  <c r="BV23" i="11"/>
  <c r="BV22" i="11"/>
  <c r="BV21" i="11"/>
  <c r="BV20" i="11"/>
  <c r="BV19" i="11"/>
  <c r="BV18" i="11"/>
  <c r="BV17" i="11"/>
  <c r="BV16" i="11"/>
  <c r="BV15" i="11"/>
  <c r="BV14" i="11"/>
  <c r="BR22" i="11"/>
  <c r="BR21" i="11"/>
  <c r="BR20" i="11"/>
  <c r="BR19" i="11"/>
  <c r="BR18" i="11"/>
  <c r="BR17" i="11"/>
  <c r="BR16" i="11"/>
  <c r="BR15" i="11"/>
  <c r="BR14" i="11"/>
  <c r="CC82" i="18"/>
  <c r="BX109" i="12"/>
  <c r="AL23" i="18"/>
  <c r="AL24" i="18"/>
  <c r="AE23" i="18"/>
  <c r="AE24" i="18"/>
  <c r="AB23" i="18"/>
  <c r="AB24" i="18"/>
  <c r="Y16" i="18"/>
  <c r="Y17" i="18"/>
  <c r="Y18" i="18"/>
  <c r="Y19" i="18"/>
  <c r="Y20" i="18"/>
  <c r="Y21" i="18"/>
  <c r="Y22" i="18"/>
  <c r="Y23" i="18"/>
  <c r="Y24" i="18"/>
  <c r="AO162" i="18"/>
  <c r="AO145" i="18"/>
  <c r="AO128" i="18"/>
  <c r="AO77" i="18"/>
  <c r="AO60" i="18"/>
  <c r="BK14" i="18"/>
  <c r="FT14" i="18" s="1"/>
  <c r="I352" i="17"/>
  <c r="I351" i="17"/>
  <c r="I350" i="17"/>
  <c r="AD348" i="17"/>
  <c r="AD347" i="17"/>
  <c r="I347" i="17"/>
  <c r="AD346" i="17"/>
  <c r="I346" i="17"/>
  <c r="AD345" i="17"/>
  <c r="AD344" i="17"/>
  <c r="I335" i="17"/>
  <c r="I334" i="17"/>
  <c r="I333" i="17"/>
  <c r="AD331" i="17"/>
  <c r="AD330" i="17"/>
  <c r="I330" i="17"/>
  <c r="AD329" i="17"/>
  <c r="I329" i="17"/>
  <c r="AD328" i="17"/>
  <c r="AD327" i="17"/>
  <c r="I318" i="17"/>
  <c r="I317" i="17"/>
  <c r="I316" i="17"/>
  <c r="AD314" i="17"/>
  <c r="AD313" i="17"/>
  <c r="I313" i="17"/>
  <c r="AD312" i="17"/>
  <c r="I312" i="17"/>
  <c r="AD311" i="17"/>
  <c r="AD310" i="17"/>
  <c r="I301" i="17"/>
  <c r="I300" i="17"/>
  <c r="I299" i="17"/>
  <c r="AD297" i="17"/>
  <c r="AD296" i="17"/>
  <c r="I296" i="17"/>
  <c r="AD295" i="17"/>
  <c r="I295" i="17"/>
  <c r="AD294" i="17"/>
  <c r="AD293" i="17"/>
  <c r="I284" i="17"/>
  <c r="I283" i="17"/>
  <c r="I282" i="17"/>
  <c r="AD280" i="17"/>
  <c r="AD279" i="17"/>
  <c r="I279" i="17"/>
  <c r="AD278" i="17"/>
  <c r="I278" i="17"/>
  <c r="AD277" i="17"/>
  <c r="AD276" i="17"/>
  <c r="I267" i="17"/>
  <c r="I266" i="17"/>
  <c r="I265" i="17"/>
  <c r="AD263" i="17"/>
  <c r="AD262" i="17"/>
  <c r="I262" i="17"/>
  <c r="AD261" i="17"/>
  <c r="I261" i="17"/>
  <c r="AD260" i="17"/>
  <c r="AD259" i="17"/>
  <c r="I250" i="17"/>
  <c r="I249" i="17"/>
  <c r="I248" i="17"/>
  <c r="AD246" i="17"/>
  <c r="AD245" i="17"/>
  <c r="I245" i="17"/>
  <c r="AD244" i="17"/>
  <c r="I244" i="17"/>
  <c r="AD243" i="17"/>
  <c r="AD242" i="17"/>
  <c r="I233" i="17"/>
  <c r="I232" i="17"/>
  <c r="I231" i="17"/>
  <c r="AD229" i="17"/>
  <c r="AD228" i="17"/>
  <c r="I228" i="17"/>
  <c r="AD227" i="17"/>
  <c r="I227" i="17"/>
  <c r="AD226" i="17"/>
  <c r="AD225" i="17"/>
  <c r="I216" i="17"/>
  <c r="I215" i="17"/>
  <c r="I214" i="17"/>
  <c r="AD212" i="17"/>
  <c r="AD211" i="17"/>
  <c r="I211" i="17"/>
  <c r="AD210" i="17"/>
  <c r="I210" i="17"/>
  <c r="AD209" i="17"/>
  <c r="AD208" i="17"/>
  <c r="I199" i="17"/>
  <c r="I198" i="17"/>
  <c r="I197" i="17"/>
  <c r="AD195" i="17"/>
  <c r="AD194" i="17"/>
  <c r="I194" i="17"/>
  <c r="AD193" i="17"/>
  <c r="I193" i="17"/>
  <c r="AD192" i="17"/>
  <c r="AD191" i="17"/>
  <c r="I182" i="17"/>
  <c r="I181" i="17"/>
  <c r="I180" i="17"/>
  <c r="AD178" i="17"/>
  <c r="AD177" i="17"/>
  <c r="I177" i="17"/>
  <c r="AD176" i="17"/>
  <c r="I176" i="17"/>
  <c r="AD175" i="17"/>
  <c r="AD174" i="17"/>
  <c r="I165" i="17"/>
  <c r="I164" i="17"/>
  <c r="I163" i="17"/>
  <c r="AD161" i="17"/>
  <c r="AD160" i="17"/>
  <c r="I160" i="17"/>
  <c r="AD159" i="17"/>
  <c r="I159" i="17"/>
  <c r="AD158" i="17"/>
  <c r="AD157" i="17"/>
  <c r="I148" i="17"/>
  <c r="I147" i="17"/>
  <c r="I146" i="17"/>
  <c r="AD144" i="17"/>
  <c r="AD143" i="17"/>
  <c r="I143" i="17"/>
  <c r="AD142" i="17"/>
  <c r="I142" i="17"/>
  <c r="AD141" i="17"/>
  <c r="AD140" i="17"/>
  <c r="I131" i="17"/>
  <c r="I130" i="17"/>
  <c r="I129" i="17"/>
  <c r="AD127" i="17"/>
  <c r="AD126" i="17"/>
  <c r="I126" i="17"/>
  <c r="AD125" i="17"/>
  <c r="I125" i="17"/>
  <c r="AD124" i="17"/>
  <c r="AD123" i="17"/>
  <c r="I114" i="17"/>
  <c r="I113" i="17"/>
  <c r="I112" i="17"/>
  <c r="AD110" i="17"/>
  <c r="AD109" i="17"/>
  <c r="I109" i="17"/>
  <c r="AD108" i="17"/>
  <c r="I108" i="17"/>
  <c r="AD107" i="17"/>
  <c r="AD106" i="17"/>
  <c r="I97" i="17"/>
  <c r="I96" i="17"/>
  <c r="I95" i="17"/>
  <c r="AD93" i="17"/>
  <c r="AD92" i="17"/>
  <c r="I92" i="17"/>
  <c r="AD91" i="17"/>
  <c r="I91" i="17"/>
  <c r="AD90" i="17"/>
  <c r="AD89" i="17"/>
  <c r="I80" i="17"/>
  <c r="I79" i="17"/>
  <c r="I78" i="17"/>
  <c r="AD76" i="17"/>
  <c r="AD75" i="17"/>
  <c r="I75" i="17"/>
  <c r="AD74" i="17"/>
  <c r="I74" i="17"/>
  <c r="AD73" i="17"/>
  <c r="AD72" i="17"/>
  <c r="I63" i="17"/>
  <c r="I62" i="17"/>
  <c r="I61" i="17"/>
  <c r="AD59" i="17"/>
  <c r="AD58" i="17"/>
  <c r="I58" i="17"/>
  <c r="AD57" i="17"/>
  <c r="I57" i="17"/>
  <c r="AD56" i="17"/>
  <c r="AD55" i="17"/>
  <c r="I46" i="17"/>
  <c r="I45" i="17"/>
  <c r="I44" i="17"/>
  <c r="AD42" i="17"/>
  <c r="AD41" i="17"/>
  <c r="I41" i="17"/>
  <c r="AD40" i="17"/>
  <c r="I40" i="17"/>
  <c r="AD39" i="17"/>
  <c r="AD38" i="17"/>
  <c r="I29" i="17"/>
  <c r="I28" i="17"/>
  <c r="I27" i="17"/>
  <c r="AD25" i="17"/>
  <c r="AD24" i="17"/>
  <c r="I24" i="17"/>
  <c r="AD23" i="17"/>
  <c r="I23" i="17"/>
  <c r="AD22" i="17"/>
  <c r="AD21" i="17"/>
  <c r="BP13" i="17"/>
  <c r="CH13" i="17" s="1"/>
  <c r="BL13" i="17"/>
  <c r="BH13" i="17"/>
  <c r="BP12" i="17"/>
  <c r="CH12" i="17" s="1"/>
  <c r="BL12" i="17"/>
  <c r="BH12" i="17"/>
  <c r="BP11" i="17"/>
  <c r="CH11" i="17" s="1"/>
  <c r="BL11" i="17"/>
  <c r="BH11" i="17"/>
  <c r="BP10" i="17"/>
  <c r="CH10" i="17" s="1"/>
  <c r="BL10" i="17"/>
  <c r="BH10" i="17"/>
  <c r="BP9" i="17"/>
  <c r="CH9" i="17" s="1"/>
  <c r="BL9" i="17"/>
  <c r="BH9" i="17"/>
  <c r="BP8" i="17"/>
  <c r="CH8" i="17" s="1"/>
  <c r="BL8" i="17"/>
  <c r="BH8" i="17"/>
  <c r="BP7" i="17"/>
  <c r="CH7" i="17" s="1"/>
  <c r="BL7" i="17"/>
  <c r="BH7" i="17"/>
  <c r="BP6" i="17"/>
  <c r="CH6" i="17" s="1"/>
  <c r="BL6" i="17"/>
  <c r="BH6" i="17"/>
  <c r="BP5" i="17"/>
  <c r="CH5" i="17" s="1"/>
  <c r="AE101" i="18"/>
  <c r="BL5" i="17"/>
  <c r="BH5" i="17"/>
  <c r="BP4" i="17"/>
  <c r="CH4" i="17" s="1"/>
  <c r="AE151" i="18"/>
  <c r="BL4" i="17"/>
  <c r="AB151" i="18"/>
  <c r="BH4" i="17"/>
  <c r="BF24" i="12"/>
  <c r="C242" i="16"/>
  <c r="C246" i="16"/>
  <c r="C250" i="16"/>
  <c r="C254" i="16"/>
  <c r="C258" i="16"/>
  <c r="C262" i="16"/>
  <c r="U10" i="6"/>
  <c r="DP223" i="16"/>
  <c r="DP219" i="16"/>
  <c r="DP215" i="16"/>
  <c r="DP187" i="16"/>
  <c r="DP167" i="16"/>
  <c r="DP163" i="16"/>
  <c r="CM84" i="16"/>
  <c r="CD84" i="16"/>
  <c r="AP84" i="16"/>
  <c r="CM79" i="16"/>
  <c r="CD79" i="16"/>
  <c r="AP79" i="16"/>
  <c r="CM74" i="16"/>
  <c r="CD74" i="16"/>
  <c r="AP74" i="16"/>
  <c r="CM69" i="16"/>
  <c r="CD69" i="16"/>
  <c r="AP69" i="16"/>
  <c r="CM64" i="16"/>
  <c r="CD64" i="16"/>
  <c r="AP64" i="16"/>
  <c r="CM59" i="16"/>
  <c r="CD59" i="16"/>
  <c r="AP59" i="16"/>
  <c r="X11" i="15"/>
  <c r="X12" i="15"/>
  <c r="X13" i="15"/>
  <c r="AM13" i="15"/>
  <c r="AM12" i="15"/>
  <c r="AM11" i="15"/>
  <c r="AM10" i="15"/>
  <c r="BC12" i="9"/>
  <c r="BC13" i="9"/>
  <c r="BC14" i="9"/>
  <c r="BC11" i="9"/>
  <c r="BC7" i="9"/>
  <c r="BC8" i="9"/>
  <c r="BC9" i="9"/>
  <c r="BC6" i="9"/>
  <c r="EP18" i="16"/>
  <c r="CB17" i="16"/>
  <c r="S17" i="16"/>
  <c r="ED12" i="16"/>
  <c r="CY12" i="16"/>
  <c r="BZ12" i="16"/>
  <c r="BC12" i="16"/>
  <c r="AD12" i="16"/>
  <c r="K12" i="16"/>
  <c r="DL7" i="16"/>
  <c r="AW7" i="16"/>
  <c r="DD2" i="16"/>
  <c r="AT2" i="16"/>
  <c r="AL170" i="12"/>
  <c r="AE170" i="12"/>
  <c r="AB170" i="12"/>
  <c r="Y170" i="12"/>
  <c r="AL169" i="12"/>
  <c r="AE169" i="12"/>
  <c r="AB169" i="12"/>
  <c r="Y169" i="12"/>
  <c r="AL168" i="12"/>
  <c r="AE168" i="12"/>
  <c r="AB168" i="12"/>
  <c r="Y168" i="12"/>
  <c r="AL167" i="12"/>
  <c r="AE167" i="12"/>
  <c r="AB167" i="12"/>
  <c r="Y167" i="12"/>
  <c r="AL166" i="12"/>
  <c r="AE166" i="12"/>
  <c r="AB166" i="12"/>
  <c r="Y166" i="12"/>
  <c r="AL165" i="12"/>
  <c r="AE165" i="12"/>
  <c r="AB165" i="12"/>
  <c r="Y165" i="12"/>
  <c r="AL164" i="12"/>
  <c r="AE164" i="12"/>
  <c r="AB164" i="12"/>
  <c r="Y164" i="12"/>
  <c r="AL163" i="12"/>
  <c r="AE163" i="12"/>
  <c r="AB163" i="12"/>
  <c r="Y163" i="12"/>
  <c r="AL162" i="12"/>
  <c r="AE162" i="12"/>
  <c r="AB162" i="12"/>
  <c r="Y162" i="12"/>
  <c r="AL161" i="12"/>
  <c r="AE161" i="12"/>
  <c r="AB161" i="12"/>
  <c r="Y161" i="12"/>
  <c r="AO172" i="12"/>
  <c r="AL153" i="12"/>
  <c r="AE153" i="12"/>
  <c r="AB153" i="12"/>
  <c r="Y153" i="12"/>
  <c r="AL152" i="12"/>
  <c r="AE152" i="12"/>
  <c r="AB152" i="12"/>
  <c r="Y152" i="12"/>
  <c r="AL151" i="12"/>
  <c r="AE151" i="12"/>
  <c r="AB151" i="12"/>
  <c r="Y151" i="12"/>
  <c r="AL150" i="12"/>
  <c r="AE150" i="12"/>
  <c r="AB150" i="12"/>
  <c r="Y150" i="12"/>
  <c r="AL149" i="12"/>
  <c r="AE149" i="12"/>
  <c r="AB149" i="12"/>
  <c r="Y149" i="12"/>
  <c r="AL148" i="12"/>
  <c r="AE148" i="12"/>
  <c r="AB148" i="12"/>
  <c r="Y148" i="12"/>
  <c r="AL147" i="12"/>
  <c r="AE147" i="12"/>
  <c r="AB147" i="12"/>
  <c r="Y147" i="12"/>
  <c r="AL146" i="12"/>
  <c r="AE146" i="12"/>
  <c r="AB146" i="12"/>
  <c r="Y146" i="12"/>
  <c r="AL145" i="12"/>
  <c r="AE145" i="12"/>
  <c r="AB145" i="12"/>
  <c r="Y145" i="12"/>
  <c r="AL144" i="12"/>
  <c r="AE144" i="12"/>
  <c r="AB144" i="12"/>
  <c r="Y144" i="12"/>
  <c r="AO155" i="12"/>
  <c r="AL136" i="12"/>
  <c r="AE136" i="12"/>
  <c r="AB136" i="12"/>
  <c r="Y136" i="12"/>
  <c r="AL135" i="12"/>
  <c r="AE135" i="12"/>
  <c r="AB135" i="12"/>
  <c r="Y135" i="12"/>
  <c r="AL134" i="12"/>
  <c r="AE134" i="12"/>
  <c r="AB134" i="12"/>
  <c r="Y134" i="12"/>
  <c r="AL133" i="12"/>
  <c r="AE133" i="12"/>
  <c r="AB133" i="12"/>
  <c r="Y133" i="12"/>
  <c r="AL132" i="12"/>
  <c r="AE132" i="12"/>
  <c r="AB132" i="12"/>
  <c r="Y132" i="12"/>
  <c r="AL131" i="12"/>
  <c r="AE131" i="12"/>
  <c r="AB131" i="12"/>
  <c r="Y131" i="12"/>
  <c r="AL130" i="12"/>
  <c r="AE130" i="12"/>
  <c r="AB130" i="12"/>
  <c r="Y130" i="12"/>
  <c r="AL129" i="12"/>
  <c r="AE129" i="12"/>
  <c r="AB129" i="12"/>
  <c r="Y129" i="12"/>
  <c r="AL128" i="12"/>
  <c r="AE128" i="12"/>
  <c r="AB128" i="12"/>
  <c r="Y128" i="12"/>
  <c r="AL127" i="12"/>
  <c r="AE127" i="12"/>
  <c r="AB127" i="12"/>
  <c r="Y127" i="12"/>
  <c r="AO138" i="12"/>
  <c r="BZ13" i="11"/>
  <c r="DP13" i="11" s="1"/>
  <c r="BV13" i="11"/>
  <c r="BR13" i="11"/>
  <c r="AL119" i="12"/>
  <c r="AE119" i="12"/>
  <c r="AB119" i="12"/>
  <c r="Y119" i="12"/>
  <c r="AL118" i="12"/>
  <c r="AE118" i="12"/>
  <c r="AB118" i="12"/>
  <c r="Y118" i="12"/>
  <c r="AL117" i="12"/>
  <c r="AE117" i="12"/>
  <c r="AB117" i="12"/>
  <c r="Y117" i="12"/>
  <c r="AL116" i="12"/>
  <c r="AE116" i="12"/>
  <c r="AB116" i="12"/>
  <c r="Y116" i="12"/>
  <c r="AL115" i="12"/>
  <c r="AE115" i="12"/>
  <c r="AB115" i="12"/>
  <c r="Y115" i="12"/>
  <c r="AL114" i="12"/>
  <c r="AE114" i="12"/>
  <c r="AB114" i="12"/>
  <c r="Y114" i="12"/>
  <c r="AL113" i="12"/>
  <c r="AE113" i="12"/>
  <c r="AB113" i="12"/>
  <c r="Y113" i="12"/>
  <c r="AL112" i="12"/>
  <c r="AE112" i="12"/>
  <c r="AB112" i="12"/>
  <c r="Y112" i="12"/>
  <c r="AL111" i="12"/>
  <c r="AE111" i="12"/>
  <c r="AB111" i="12"/>
  <c r="Y111" i="12"/>
  <c r="AL102" i="12"/>
  <c r="AE102" i="12"/>
  <c r="AB102" i="12"/>
  <c r="Y102" i="12"/>
  <c r="AL101" i="12"/>
  <c r="AE101" i="12"/>
  <c r="AB101" i="12"/>
  <c r="Y101" i="12"/>
  <c r="AL100" i="12"/>
  <c r="AE100" i="12"/>
  <c r="AB100" i="12"/>
  <c r="Y100" i="12"/>
  <c r="AL99" i="12"/>
  <c r="AE99" i="12"/>
  <c r="AB99" i="12"/>
  <c r="Y99" i="12"/>
  <c r="AL98" i="12"/>
  <c r="AE98" i="12"/>
  <c r="AB98" i="12"/>
  <c r="Y98" i="12"/>
  <c r="AL97" i="12"/>
  <c r="AE97" i="12"/>
  <c r="AB97" i="12"/>
  <c r="Y97" i="12"/>
  <c r="AL96" i="12"/>
  <c r="AE96" i="12"/>
  <c r="AB96" i="12"/>
  <c r="Y96" i="12"/>
  <c r="AL95" i="12"/>
  <c r="AE95" i="12"/>
  <c r="AB95" i="12"/>
  <c r="Y95" i="12"/>
  <c r="AL85" i="12"/>
  <c r="AE85" i="12"/>
  <c r="AB85" i="12"/>
  <c r="Y85" i="12"/>
  <c r="AL84" i="12"/>
  <c r="AE84" i="12"/>
  <c r="AB84" i="12"/>
  <c r="Y84" i="12"/>
  <c r="AL83" i="12"/>
  <c r="AE83" i="12"/>
  <c r="AB83" i="12"/>
  <c r="Y83" i="12"/>
  <c r="AL82" i="12"/>
  <c r="AE82" i="12"/>
  <c r="AB82" i="12"/>
  <c r="Y82" i="12"/>
  <c r="Y81" i="12"/>
  <c r="Y80" i="12"/>
  <c r="Y79" i="12"/>
  <c r="Y78" i="12"/>
  <c r="AL68" i="12"/>
  <c r="AE68" i="12"/>
  <c r="AB68" i="12"/>
  <c r="Y68" i="12"/>
  <c r="AL67" i="12"/>
  <c r="AE67" i="12"/>
  <c r="AB67" i="12"/>
  <c r="Y67" i="12"/>
  <c r="AL66" i="12"/>
  <c r="AE66" i="12"/>
  <c r="AB66" i="12"/>
  <c r="Y66" i="12"/>
  <c r="AL65" i="12"/>
  <c r="AE65" i="12"/>
  <c r="AB65" i="12"/>
  <c r="Y65" i="12"/>
  <c r="AL64" i="12"/>
  <c r="AE64" i="12"/>
  <c r="AB64" i="12"/>
  <c r="Y64" i="12"/>
  <c r="AL63" i="12"/>
  <c r="AE63" i="12"/>
  <c r="AB63" i="12"/>
  <c r="Y63" i="12"/>
  <c r="AL51" i="12"/>
  <c r="AE51" i="12"/>
  <c r="AB51" i="12"/>
  <c r="Y51" i="12"/>
  <c r="AL50" i="12"/>
  <c r="AE50" i="12"/>
  <c r="AB50" i="12"/>
  <c r="Y50" i="12"/>
  <c r="AL49" i="12"/>
  <c r="AE49" i="12"/>
  <c r="AB49" i="12"/>
  <c r="Y49" i="12"/>
  <c r="Y48" i="12"/>
  <c r="Y47" i="12"/>
  <c r="AL30" i="12"/>
  <c r="AL31" i="12"/>
  <c r="AL32" i="12"/>
  <c r="AL33" i="12"/>
  <c r="AL34" i="12"/>
  <c r="AE30" i="12"/>
  <c r="AE31" i="12"/>
  <c r="AE32" i="12"/>
  <c r="AE33" i="12"/>
  <c r="AE34" i="12"/>
  <c r="BZ12" i="11"/>
  <c r="EB12" i="11" s="1"/>
  <c r="BZ11" i="11"/>
  <c r="EF11" i="11" s="1"/>
  <c r="BZ10" i="11"/>
  <c r="EF10" i="11" s="1"/>
  <c r="BZ9" i="11"/>
  <c r="CR9" i="11" s="1"/>
  <c r="BZ8" i="11"/>
  <c r="DH8" i="11" s="1"/>
  <c r="BZ7" i="11"/>
  <c r="EZ7" i="11" s="1"/>
  <c r="BZ6" i="11"/>
  <c r="CV6" i="11" s="1"/>
  <c r="BZ5" i="11"/>
  <c r="DP5" i="11" s="1"/>
  <c r="BZ4" i="11"/>
  <c r="EV4" i="11" s="1"/>
  <c r="AB30" i="12"/>
  <c r="AB31" i="12"/>
  <c r="AB32" i="12"/>
  <c r="AB33" i="12"/>
  <c r="AB34" i="12"/>
  <c r="BV12" i="11"/>
  <c r="BV11" i="11"/>
  <c r="BV10" i="11"/>
  <c r="BV9" i="11"/>
  <c r="AB42" i="12" s="1"/>
  <c r="BV8" i="11"/>
  <c r="BV7" i="11"/>
  <c r="AB26" i="12"/>
  <c r="BV6" i="11"/>
  <c r="BV5" i="11"/>
  <c r="BV4" i="11"/>
  <c r="BR23" i="11"/>
  <c r="BR12" i="11"/>
  <c r="BR11" i="11"/>
  <c r="BR10" i="11"/>
  <c r="BR9" i="11"/>
  <c r="BR8" i="11"/>
  <c r="BR7" i="11"/>
  <c r="BR6" i="11"/>
  <c r="BR5" i="11"/>
  <c r="BR4" i="11"/>
  <c r="I352" i="11"/>
  <c r="I351" i="11"/>
  <c r="I350" i="11"/>
  <c r="AD348" i="11"/>
  <c r="AD347" i="11"/>
  <c r="I347" i="11"/>
  <c r="AD346" i="11"/>
  <c r="I346" i="11"/>
  <c r="AD345" i="11"/>
  <c r="AD344" i="11"/>
  <c r="I335" i="11"/>
  <c r="I334" i="11"/>
  <c r="I333" i="11"/>
  <c r="AD331" i="11"/>
  <c r="AD330" i="11"/>
  <c r="I330" i="11"/>
  <c r="AD329" i="11"/>
  <c r="I329" i="11"/>
  <c r="AD328" i="11"/>
  <c r="AD327" i="11"/>
  <c r="I318" i="11"/>
  <c r="I317" i="11"/>
  <c r="I316" i="11"/>
  <c r="AD314" i="11"/>
  <c r="AD313" i="11"/>
  <c r="I313" i="11"/>
  <c r="AD312" i="11"/>
  <c r="I312" i="11"/>
  <c r="AD311" i="11"/>
  <c r="AD310" i="11"/>
  <c r="I301" i="11"/>
  <c r="I300" i="11"/>
  <c r="I299" i="11"/>
  <c r="AD297" i="11"/>
  <c r="AD296" i="11"/>
  <c r="I296" i="11"/>
  <c r="AD295" i="11"/>
  <c r="I295" i="11"/>
  <c r="AD294" i="11"/>
  <c r="AD293" i="11"/>
  <c r="I284" i="11"/>
  <c r="I283" i="11"/>
  <c r="I282" i="11"/>
  <c r="AD280" i="11"/>
  <c r="AD279" i="11"/>
  <c r="I279" i="11"/>
  <c r="AD278" i="11"/>
  <c r="I278" i="11"/>
  <c r="AD277" i="11"/>
  <c r="AD276" i="11"/>
  <c r="I267" i="11"/>
  <c r="I266" i="11"/>
  <c r="I265" i="11"/>
  <c r="AD263" i="11"/>
  <c r="AD262" i="11"/>
  <c r="I262" i="11"/>
  <c r="AD261" i="11"/>
  <c r="I261" i="11"/>
  <c r="AD260" i="11"/>
  <c r="AD259" i="11"/>
  <c r="I250" i="11"/>
  <c r="I249" i="11"/>
  <c r="I248" i="11"/>
  <c r="AD246" i="11"/>
  <c r="AD245" i="11"/>
  <c r="I245" i="11"/>
  <c r="AD244" i="11"/>
  <c r="I244" i="11"/>
  <c r="AD243" i="11"/>
  <c r="AD242" i="11"/>
  <c r="I233" i="11"/>
  <c r="I232" i="11"/>
  <c r="I231" i="11"/>
  <c r="AD229" i="11"/>
  <c r="AD228" i="11"/>
  <c r="I228" i="11"/>
  <c r="AD227" i="11"/>
  <c r="I227" i="11"/>
  <c r="AD226" i="11"/>
  <c r="AD225" i="11"/>
  <c r="I216" i="11"/>
  <c r="I215" i="11"/>
  <c r="I214" i="11"/>
  <c r="AD212" i="11"/>
  <c r="AD211" i="11"/>
  <c r="I211" i="11"/>
  <c r="AD210" i="11"/>
  <c r="I210" i="11"/>
  <c r="AD209" i="11"/>
  <c r="AD208" i="11"/>
  <c r="I199" i="11"/>
  <c r="I198" i="11"/>
  <c r="I197" i="11"/>
  <c r="AD195" i="11"/>
  <c r="AD194" i="11"/>
  <c r="I194" i="11"/>
  <c r="AD193" i="11"/>
  <c r="I193" i="11"/>
  <c r="AD192" i="11"/>
  <c r="AD191" i="11"/>
  <c r="I182" i="11"/>
  <c r="I181" i="11"/>
  <c r="I180" i="11"/>
  <c r="AD178" i="11"/>
  <c r="AD177" i="11"/>
  <c r="I177" i="11"/>
  <c r="AD176" i="11"/>
  <c r="I176" i="11"/>
  <c r="AD175" i="11"/>
  <c r="AD174" i="11"/>
  <c r="I165" i="11"/>
  <c r="I164" i="11"/>
  <c r="I163" i="11"/>
  <c r="AD161" i="11"/>
  <c r="AD160" i="11"/>
  <c r="I160" i="11"/>
  <c r="AD159" i="11"/>
  <c r="I159" i="11"/>
  <c r="AD158" i="11"/>
  <c r="AD157" i="11"/>
  <c r="I148" i="11"/>
  <c r="I147" i="11"/>
  <c r="I146" i="11"/>
  <c r="AD144" i="11"/>
  <c r="AD143" i="11"/>
  <c r="I143" i="11"/>
  <c r="AD142" i="11"/>
  <c r="I142" i="11"/>
  <c r="AD141" i="11"/>
  <c r="AD140" i="11"/>
  <c r="I131" i="11"/>
  <c r="I130" i="11"/>
  <c r="I129" i="11"/>
  <c r="AD127" i="11"/>
  <c r="AD126" i="11"/>
  <c r="I126" i="11"/>
  <c r="AD125" i="11"/>
  <c r="I125" i="11"/>
  <c r="AD124" i="11"/>
  <c r="AD123" i="11"/>
  <c r="I114" i="11"/>
  <c r="I113" i="11"/>
  <c r="I112" i="11"/>
  <c r="AD110" i="11"/>
  <c r="AD109" i="11"/>
  <c r="I109" i="11"/>
  <c r="AD108" i="11"/>
  <c r="I108" i="11"/>
  <c r="AD107" i="11"/>
  <c r="AD106" i="11"/>
  <c r="I97" i="11"/>
  <c r="I96" i="11"/>
  <c r="I95" i="11"/>
  <c r="AD93" i="11"/>
  <c r="AD92" i="11"/>
  <c r="I92" i="11"/>
  <c r="AD91" i="11"/>
  <c r="I91" i="11"/>
  <c r="AD90" i="11"/>
  <c r="AD89" i="11"/>
  <c r="I80" i="11"/>
  <c r="I79" i="11"/>
  <c r="I78" i="11"/>
  <c r="AD76" i="11"/>
  <c r="AD75" i="11"/>
  <c r="I75" i="11"/>
  <c r="AD74" i="11"/>
  <c r="I74" i="11"/>
  <c r="AD73" i="11"/>
  <c r="AD72" i="11"/>
  <c r="I63" i="11"/>
  <c r="I62" i="11"/>
  <c r="I61" i="11"/>
  <c r="AD59" i="11"/>
  <c r="AD58" i="11"/>
  <c r="I58" i="11"/>
  <c r="AD57" i="11"/>
  <c r="I57" i="11"/>
  <c r="AD56" i="11"/>
  <c r="AD55" i="11"/>
  <c r="I46" i="11"/>
  <c r="I45" i="11"/>
  <c r="I44" i="11"/>
  <c r="AD42" i="11"/>
  <c r="AD41" i="11"/>
  <c r="I41" i="11"/>
  <c r="AD40" i="11"/>
  <c r="I40" i="11"/>
  <c r="AD39" i="11"/>
  <c r="AD38" i="11"/>
  <c r="AD25" i="11"/>
  <c r="AD24" i="11"/>
  <c r="AD23" i="11"/>
  <c r="AD22" i="11"/>
  <c r="AD21" i="11"/>
  <c r="I29" i="11"/>
  <c r="I28" i="11"/>
  <c r="I27" i="11"/>
  <c r="I24" i="11"/>
  <c r="I23" i="11"/>
  <c r="BJ7" i="10"/>
  <c r="BJ8" i="10"/>
  <c r="BJ9" i="10"/>
  <c r="BJ10" i="10"/>
  <c r="BJ11" i="10"/>
  <c r="BJ12" i="10"/>
  <c r="BJ13" i="10"/>
  <c r="BJ14" i="10"/>
  <c r="BJ15" i="10"/>
  <c r="BJ16" i="10"/>
  <c r="BJ17" i="10"/>
  <c r="BJ18" i="10"/>
  <c r="BJ19" i="10"/>
  <c r="BJ37" i="10"/>
  <c r="BJ39" i="10"/>
  <c r="BJ6" i="10"/>
  <c r="W7" i="10"/>
  <c r="AQ7" i="10"/>
  <c r="W8" i="10"/>
  <c r="AQ8" i="10"/>
  <c r="W9" i="10"/>
  <c r="AQ9" i="10"/>
  <c r="W10" i="10"/>
  <c r="AQ10" i="10"/>
  <c r="W11" i="10"/>
  <c r="AQ11" i="10"/>
  <c r="W12" i="10"/>
  <c r="AQ12" i="10"/>
  <c r="W13" i="10"/>
  <c r="AQ13" i="10"/>
  <c r="W14" i="10"/>
  <c r="AQ14" i="10"/>
  <c r="W15" i="10"/>
  <c r="AQ15" i="10"/>
  <c r="W16" i="10"/>
  <c r="AQ16" i="10"/>
  <c r="W17" i="10"/>
  <c r="AQ17" i="10"/>
  <c r="W18" i="10"/>
  <c r="AQ18" i="10"/>
  <c r="W19" i="10"/>
  <c r="AQ19" i="10"/>
  <c r="W37" i="10"/>
  <c r="AQ37" i="10"/>
  <c r="W39" i="10"/>
  <c r="AQ39" i="10"/>
  <c r="AQ6" i="10"/>
  <c r="W6" i="10"/>
  <c r="AI8" i="7"/>
  <c r="AI9" i="7"/>
  <c r="AI11" i="7"/>
  <c r="AI7" i="7"/>
  <c r="J8" i="7"/>
  <c r="J9" i="7"/>
  <c r="J10" i="7"/>
  <c r="J12" i="7"/>
  <c r="J13" i="7"/>
  <c r="J14" i="7"/>
  <c r="J7" i="7"/>
  <c r="E47" i="7"/>
  <c r="E46" i="7"/>
  <c r="E45" i="7"/>
  <c r="E44" i="7"/>
  <c r="E43" i="7"/>
  <c r="E42" i="7"/>
  <c r="E41" i="7"/>
  <c r="E40" i="7"/>
  <c r="E39" i="7"/>
  <c r="E38" i="7"/>
  <c r="E37" i="7"/>
  <c r="E36" i="7"/>
  <c r="E35" i="7"/>
  <c r="E23" i="7"/>
  <c r="E26" i="7"/>
  <c r="E34" i="7"/>
  <c r="E33" i="7"/>
  <c r="E32" i="7"/>
  <c r="E31" i="7"/>
  <c r="E30" i="7"/>
  <c r="E29" i="7"/>
  <c r="E28" i="7"/>
  <c r="E27" i="7"/>
  <c r="E25" i="7"/>
  <c r="E24" i="7"/>
  <c r="E22" i="7"/>
  <c r="AB66" i="18"/>
  <c r="AB134" i="18"/>
  <c r="AB32" i="18"/>
  <c r="AB49" i="18"/>
  <c r="AB117" i="18"/>
  <c r="AB100" i="18"/>
  <c r="AB83" i="18"/>
  <c r="BC23" i="17"/>
  <c r="BC24" i="17" s="1"/>
  <c r="BC27" i="17" s="1"/>
  <c r="AP27" i="17" s="1"/>
  <c r="BN4" i="17" s="1"/>
  <c r="Y32" i="18"/>
  <c r="AL134" i="18"/>
  <c r="AL100" i="18"/>
  <c r="AL66" i="18"/>
  <c r="AL32" i="18"/>
  <c r="AL151" i="18"/>
  <c r="AL117" i="18"/>
  <c r="AL83" i="18"/>
  <c r="AL49" i="18"/>
  <c r="AE50" i="18"/>
  <c r="AE118" i="18"/>
  <c r="AE67" i="18"/>
  <c r="AE135" i="18"/>
  <c r="AE84" i="18"/>
  <c r="AE152" i="18"/>
  <c r="AE33" i="18"/>
  <c r="AE32" i="18"/>
  <c r="AE49" i="18"/>
  <c r="AE66" i="18"/>
  <c r="AE83" i="18"/>
  <c r="AE100" i="18"/>
  <c r="AE117" i="18"/>
  <c r="AE134" i="18"/>
  <c r="AB62" i="12"/>
  <c r="AE81" i="12"/>
  <c r="AB79" i="12"/>
  <c r="AB80" i="12"/>
  <c r="AB81" i="12"/>
  <c r="Y77" i="12"/>
  <c r="AL79" i="12"/>
  <c r="AL80" i="12"/>
  <c r="AL81" i="12"/>
  <c r="AE79" i="12"/>
  <c r="AE80" i="12"/>
  <c r="AB22" i="18"/>
  <c r="AE22" i="18"/>
  <c r="AL22" i="18"/>
  <c r="AB21" i="18"/>
  <c r="AE21" i="18"/>
  <c r="AL21" i="18"/>
  <c r="Y62" i="12"/>
  <c r="AL62" i="12"/>
  <c r="AE62" i="12"/>
  <c r="AL17" i="18"/>
  <c r="AL18" i="18"/>
  <c r="AL15" i="18"/>
  <c r="AB18" i="18"/>
  <c r="AE19" i="18"/>
  <c r="AL20" i="18"/>
  <c r="AE15" i="18"/>
  <c r="AB19" i="18"/>
  <c r="AE20" i="18"/>
  <c r="AE16" i="18"/>
  <c r="AB15" i="18"/>
  <c r="AB20" i="18"/>
  <c r="AB16" i="18"/>
  <c r="AE17" i="18"/>
  <c r="AL16" i="18"/>
  <c r="Y15" i="18"/>
  <c r="AO26" i="18"/>
  <c r="AB17" i="18"/>
  <c r="AE18" i="18"/>
  <c r="AL19" i="18"/>
  <c r="AE110" i="12"/>
  <c r="AB110" i="12"/>
  <c r="Y110" i="12"/>
  <c r="AO121" i="12"/>
  <c r="AL110" i="12"/>
  <c r="AO111" i="18"/>
  <c r="AO94" i="18"/>
  <c r="AO43" i="18"/>
  <c r="DP159" i="16"/>
  <c r="DP183" i="16"/>
  <c r="AL61" i="12"/>
  <c r="AE94" i="12"/>
  <c r="AB94" i="12"/>
  <c r="AL94" i="12"/>
  <c r="BL210" i="11"/>
  <c r="BL211" i="11"/>
  <c r="Y94" i="12"/>
  <c r="BL193" i="11"/>
  <c r="BL194" i="11"/>
  <c r="AP197" i="11"/>
  <c r="BX14" i="11" s="1"/>
  <c r="BL176" i="11"/>
  <c r="BL177" i="11"/>
  <c r="Y34" i="12"/>
  <c r="BL142" i="11"/>
  <c r="BL143" i="11" s="1"/>
  <c r="BL146" i="11" s="1"/>
  <c r="AP146" i="11" s="1"/>
  <c r="BX11" i="11" s="1"/>
  <c r="Y59" i="12"/>
  <c r="Y32" i="12"/>
  <c r="BL125" i="11"/>
  <c r="BL126" i="11" s="1"/>
  <c r="BL129" i="11" s="1"/>
  <c r="AP129" i="11" s="1"/>
  <c r="BX10" i="11" s="1"/>
  <c r="Y31" i="12"/>
  <c r="BL108" i="11"/>
  <c r="BL109" i="11" s="1"/>
  <c r="BL112" i="11" s="1"/>
  <c r="AP112" i="11" s="1"/>
  <c r="BX9" i="11" s="1"/>
  <c r="Y30" i="12"/>
  <c r="BL91" i="11"/>
  <c r="BL92" i="11" s="1"/>
  <c r="BL95" i="11" s="1"/>
  <c r="AP95" i="11" s="1"/>
  <c r="BX8" i="11" s="1"/>
  <c r="Y29" i="12"/>
  <c r="DO82" i="18"/>
  <c r="DO65" i="18"/>
  <c r="DO31" i="18"/>
  <c r="BL57" i="11"/>
  <c r="BL58" i="11" s="1"/>
  <c r="BL61" i="11" s="1"/>
  <c r="AP61" i="11" s="1"/>
  <c r="BX6" i="11" s="1"/>
  <c r="AM9" i="15"/>
  <c r="EN23" i="11"/>
  <c r="DX23" i="11"/>
  <c r="DH23" i="11"/>
  <c r="CR23" i="11"/>
  <c r="ER23" i="11"/>
  <c r="EB23" i="11"/>
  <c r="DL23" i="11"/>
  <c r="EF23" i="11"/>
  <c r="DP23" i="11"/>
  <c r="CZ23" i="11"/>
  <c r="CV23" i="11"/>
  <c r="EJ23" i="11"/>
  <c r="DT23" i="11"/>
  <c r="CV22" i="11"/>
  <c r="DT22" i="11"/>
  <c r="DD22" i="11"/>
  <c r="EN22" i="11"/>
  <c r="DX22" i="11"/>
  <c r="ER22" i="11"/>
  <c r="EB22" i="11"/>
  <c r="EF22" i="11"/>
  <c r="DP22" i="11"/>
  <c r="DX21" i="11"/>
  <c r="ER21" i="11"/>
  <c r="EB21" i="11"/>
  <c r="DT20" i="11"/>
  <c r="DD20" i="11"/>
  <c r="EN20" i="11"/>
  <c r="DX20" i="11"/>
  <c r="ER20" i="11"/>
  <c r="EB20" i="11"/>
  <c r="CV20" i="11"/>
  <c r="EF20" i="11"/>
  <c r="ER19" i="11"/>
  <c r="EB19" i="11"/>
  <c r="DL19" i="11"/>
  <c r="CV19" i="11"/>
  <c r="EF19" i="11"/>
  <c r="DP19" i="11"/>
  <c r="EN18" i="11"/>
  <c r="EF18" i="11"/>
  <c r="DT18" i="11"/>
  <c r="EJ17" i="11"/>
  <c r="DT17" i="11"/>
  <c r="ER16" i="11"/>
  <c r="EB16" i="11"/>
  <c r="DL16" i="11"/>
  <c r="CV16" i="11"/>
  <c r="EF16" i="11"/>
  <c r="DP16" i="11"/>
  <c r="CZ16" i="11"/>
  <c r="EJ16" i="11"/>
  <c r="DT16" i="11"/>
  <c r="DD16" i="11"/>
  <c r="CR16" i="11"/>
  <c r="EN16" i="11"/>
  <c r="DX16" i="11"/>
  <c r="DX15" i="11"/>
  <c r="DH15" i="11"/>
  <c r="EB15" i="11"/>
  <c r="DL15" i="11"/>
  <c r="EF15" i="11"/>
  <c r="DP15" i="11"/>
  <c r="CR15" i="11"/>
  <c r="EJ15" i="11"/>
  <c r="EJ14" i="11"/>
  <c r="DT14" i="11"/>
  <c r="DD14" i="11"/>
  <c r="EN14" i="11"/>
  <c r="DX14" i="11"/>
  <c r="DH14" i="11"/>
  <c r="ER14" i="11"/>
  <c r="EB14" i="11"/>
  <c r="DL14" i="11"/>
  <c r="CR14" i="11"/>
  <c r="CV14" i="11"/>
  <c r="EF14" i="11"/>
  <c r="DP14" i="11"/>
  <c r="ER13" i="11"/>
  <c r="BX126" i="12"/>
  <c r="BC57" i="17"/>
  <c r="BC58" i="17"/>
  <c r="BC61" i="17"/>
  <c r="AP61" i="17" s="1"/>
  <c r="BN6" i="17" s="1"/>
  <c r="BC40" i="17"/>
  <c r="BC41" i="17"/>
  <c r="BC44" i="17"/>
  <c r="AP44" i="17" s="1"/>
  <c r="BN5" i="17" s="1"/>
  <c r="BL159" i="11"/>
  <c r="BL160" i="11"/>
  <c r="BL163" i="11"/>
  <c r="AP163" i="11" s="1"/>
  <c r="BX12" i="11" s="1"/>
  <c r="Y33" i="12"/>
  <c r="EJ21" i="11"/>
  <c r="CV21" i="11"/>
  <c r="DP21" i="11"/>
  <c r="DL21" i="11"/>
  <c r="EF21" i="11"/>
  <c r="EJ19" i="11"/>
  <c r="DD19" i="11"/>
  <c r="EN19" i="11"/>
  <c r="DH19" i="11"/>
  <c r="DT19" i="11"/>
  <c r="CZ19" i="11"/>
  <c r="DX19" i="11"/>
  <c r="DH17" i="11"/>
  <c r="DX17" i="11"/>
  <c r="BL312" i="11"/>
  <c r="BL313" i="11"/>
  <c r="BL316" i="11"/>
  <c r="AP316" i="11" s="1"/>
  <c r="BX21" i="11" s="1"/>
  <c r="BL295" i="11"/>
  <c r="BL296" i="11"/>
  <c r="BL299" i="11"/>
  <c r="AP299" i="11" s="1"/>
  <c r="BX20" i="11" s="1"/>
  <c r="BL278" i="11"/>
  <c r="BL279" i="11"/>
  <c r="BL282" i="11"/>
  <c r="AP282" i="11" s="1"/>
  <c r="BX19" i="11" s="1"/>
  <c r="BL261" i="11"/>
  <c r="BL262" i="11"/>
  <c r="BL244" i="11"/>
  <c r="BL245" i="11"/>
  <c r="AP248" i="11"/>
  <c r="BX17" i="11" s="1"/>
  <c r="Y46" i="12"/>
  <c r="BL227" i="11"/>
  <c r="BL228" i="11"/>
  <c r="BF34" i="12"/>
  <c r="BF30" i="12"/>
  <c r="BF32" i="12"/>
  <c r="BF33" i="12"/>
  <c r="BF31" i="12"/>
  <c r="AB59" i="12"/>
  <c r="AB61" i="12"/>
  <c r="AE61" i="12"/>
  <c r="AE59" i="12"/>
  <c r="Y60" i="12"/>
  <c r="AE76" i="12"/>
  <c r="AL60" i="12"/>
  <c r="BF60" i="12"/>
  <c r="AB77" i="12"/>
  <c r="AL59" i="12"/>
  <c r="Y76" i="12"/>
  <c r="AO87" i="12"/>
  <c r="AE60" i="12"/>
  <c r="AB60" i="12"/>
  <c r="AB76" i="12"/>
  <c r="AL77" i="12"/>
  <c r="AL76" i="12"/>
  <c r="AL78" i="12"/>
  <c r="Y93" i="12"/>
  <c r="AO104" i="12"/>
  <c r="AE77" i="12"/>
  <c r="AB93" i="12"/>
  <c r="AE93" i="12"/>
  <c r="AE78" i="12"/>
  <c r="AL93" i="12"/>
  <c r="AB78" i="12"/>
  <c r="ER17" i="11"/>
  <c r="DD17" i="11"/>
  <c r="DL17" i="11"/>
  <c r="EB17" i="11"/>
  <c r="Y61" i="12"/>
  <c r="BF76" i="12"/>
  <c r="BO76" i="12" s="1"/>
  <c r="BF93" i="12"/>
  <c r="BO93" i="12" s="1"/>
  <c r="BX92" i="12"/>
  <c r="BF77" i="12"/>
  <c r="BF78" i="12"/>
  <c r="BF61" i="12"/>
  <c r="CP92" i="12"/>
  <c r="FT150" i="18"/>
  <c r="DO133" i="18"/>
  <c r="FT133" i="18"/>
  <c r="CC116" i="18"/>
  <c r="DO99" i="18"/>
  <c r="CC65" i="18"/>
  <c r="CC48" i="18"/>
  <c r="DH126" i="12"/>
  <c r="BX75" i="12"/>
  <c r="CZ17" i="11"/>
  <c r="AB27" i="12"/>
  <c r="AL28" i="12"/>
  <c r="AE27" i="12"/>
  <c r="Y28" i="12"/>
  <c r="AB45" i="12"/>
  <c r="Y43" i="12"/>
  <c r="AL29" i="12"/>
  <c r="AE29" i="12"/>
  <c r="Y44" i="12"/>
  <c r="AE28" i="12"/>
  <c r="Y27" i="12"/>
  <c r="AL27" i="12"/>
  <c r="AB29" i="12"/>
  <c r="Y45" i="12"/>
  <c r="AB28" i="12"/>
  <c r="ER8" i="11"/>
  <c r="DD23" i="11"/>
  <c r="EV23" i="11"/>
  <c r="CZ22" i="11"/>
  <c r="EZ22" i="11"/>
  <c r="CZ21" i="11"/>
  <c r="EZ20" i="11"/>
  <c r="EV19" i="11"/>
  <c r="CR19" i="11"/>
  <c r="CV17" i="11"/>
  <c r="EZ17" i="11"/>
  <c r="EZ16" i="11"/>
  <c r="EV15" i="11"/>
  <c r="EZ14" i="11"/>
  <c r="BF59" i="12"/>
  <c r="BO59" i="12" s="1"/>
  <c r="AO70" i="12"/>
  <c r="AB9" i="15"/>
  <c r="AB10" i="15"/>
  <c r="CC31" i="18"/>
  <c r="DD15" i="11"/>
  <c r="AB46" i="12"/>
  <c r="AE43" i="12"/>
  <c r="AB44" i="12"/>
  <c r="AB43" i="12"/>
  <c r="AL43" i="12"/>
  <c r="AB25" i="12"/>
  <c r="AE26" i="12"/>
  <c r="AL45" i="12"/>
  <c r="AE46" i="12"/>
  <c r="AE44" i="12"/>
  <c r="AE42" i="12"/>
  <c r="Y25" i="12"/>
  <c r="AE45" i="12"/>
  <c r="BF45" i="12"/>
  <c r="Y42" i="12"/>
  <c r="AE25" i="12"/>
  <c r="AB48" i="12"/>
  <c r="AE47" i="12"/>
  <c r="AL44" i="12"/>
  <c r="AB47" i="12"/>
  <c r="AE48" i="12"/>
  <c r="AL25" i="12"/>
  <c r="AL48" i="12"/>
  <c r="AL47" i="12"/>
  <c r="AL42" i="12"/>
  <c r="AL46" i="12"/>
  <c r="AL26" i="12"/>
  <c r="BF47" i="12"/>
  <c r="X8" i="15"/>
  <c r="BF46" i="12"/>
  <c r="BF48" i="12"/>
  <c r="DP155" i="16"/>
  <c r="BN8" i="9"/>
  <c r="X10" i="15"/>
  <c r="AU10" i="15"/>
  <c r="BT69" i="16" s="1"/>
  <c r="X9" i="15"/>
  <c r="AU9" i="15"/>
  <c r="BT64" i="16" s="1"/>
  <c r="DP179" i="16"/>
  <c r="BS10" i="15"/>
  <c r="BS9" i="15"/>
  <c r="EV22" i="11"/>
  <c r="EJ22" i="11"/>
  <c r="CR22" i="11"/>
  <c r="DH22" i="11"/>
  <c r="DL22" i="11"/>
  <c r="DL18" i="11"/>
  <c r="DT13" i="11"/>
  <c r="DX13" i="11"/>
  <c r="EN21" i="11"/>
  <c r="CW40" i="10"/>
  <c r="AI14" i="7" s="1"/>
  <c r="BL40" i="11"/>
  <c r="BL41" i="11" s="1"/>
  <c r="BL44" i="11" s="1"/>
  <c r="AP44" i="11" s="1"/>
  <c r="BX5" i="11" s="1"/>
  <c r="A73" i="19"/>
  <c r="BL74" i="11"/>
  <c r="BL75" i="11" s="1"/>
  <c r="BL78" i="11" s="1"/>
  <c r="AP78" i="11" s="1"/>
  <c r="BX7" i="11" s="1"/>
  <c r="Y26" i="12"/>
  <c r="BL23" i="11" l="1"/>
  <c r="BL24" i="11" s="1"/>
  <c r="BL27" i="11" s="1"/>
  <c r="AP27" i="11" s="1"/>
  <c r="BX4" i="11" s="1"/>
  <c r="BF44" i="12"/>
  <c r="BF43" i="12"/>
  <c r="BF42" i="12"/>
  <c r="BO42" i="12" s="1"/>
  <c r="AO53" i="12"/>
  <c r="BF27" i="12"/>
  <c r="BF29" i="12"/>
  <c r="BF26" i="12"/>
  <c r="BF28" i="12"/>
  <c r="AO36" i="12"/>
  <c r="BF25" i="12"/>
  <c r="BO25" i="12" s="1"/>
  <c r="BO26" i="12" s="1"/>
  <c r="CR11" i="11"/>
  <c r="EN8" i="11"/>
  <c r="EZ8" i="11"/>
  <c r="EF8" i="11"/>
  <c r="CV8" i="11"/>
  <c r="DH18" i="11"/>
  <c r="EZ18" i="11"/>
  <c r="EJ18" i="11"/>
  <c r="EB18" i="11"/>
  <c r="DP18" i="11"/>
  <c r="ER18" i="11"/>
  <c r="DT15" i="11"/>
  <c r="CZ15" i="11"/>
  <c r="CV15" i="11"/>
  <c r="ER15" i="11"/>
  <c r="EN15" i="11"/>
  <c r="EZ10" i="11"/>
  <c r="EJ6" i="11"/>
  <c r="CR4" i="11"/>
  <c r="DO116" i="18"/>
  <c r="CR21" i="11"/>
  <c r="EZ21" i="11"/>
  <c r="DT21" i="11"/>
  <c r="DD21" i="11"/>
  <c r="DH21" i="11"/>
  <c r="EV18" i="11"/>
  <c r="CR18" i="11"/>
  <c r="DD18" i="11"/>
  <c r="CZ18" i="11"/>
  <c r="CV18" i="11"/>
  <c r="CV13" i="11"/>
  <c r="DL6" i="11"/>
  <c r="CZ5" i="11"/>
  <c r="EZ5" i="11"/>
  <c r="ER4" i="11"/>
  <c r="BX160" i="12"/>
  <c r="CP160" i="12"/>
  <c r="EJ8" i="11"/>
  <c r="EB8" i="11"/>
  <c r="DD8" i="11"/>
  <c r="CZ8" i="11"/>
  <c r="DT8" i="11"/>
  <c r="CV5" i="11"/>
  <c r="EF5" i="11"/>
  <c r="DX5" i="11"/>
  <c r="CH67" i="10"/>
  <c r="CP109" i="12"/>
  <c r="DD6" i="11"/>
  <c r="DA67" i="10"/>
  <c r="DM67" i="10"/>
  <c r="AU12" i="15"/>
  <c r="CM12" i="15" s="1"/>
  <c r="BX143" i="12"/>
  <c r="CP143" i="12"/>
  <c r="EZ13" i="11"/>
  <c r="ER9" i="11"/>
  <c r="EF9" i="11"/>
  <c r="EF4" i="11"/>
  <c r="EV11" i="11"/>
  <c r="ER11" i="11"/>
  <c r="DH11" i="11"/>
  <c r="CZ11" i="11"/>
  <c r="CM11" i="15"/>
  <c r="EB9" i="11"/>
  <c r="EN9" i="11"/>
  <c r="EZ9" i="11"/>
  <c r="DL5" i="11"/>
  <c r="DD5" i="11"/>
  <c r="EV5" i="11"/>
  <c r="EN4" i="11"/>
  <c r="DO14" i="18"/>
  <c r="DP17" i="11"/>
  <c r="CR17" i="11"/>
  <c r="EN17" i="11"/>
  <c r="EF17" i="11"/>
  <c r="DL13" i="11"/>
  <c r="CR13" i="11"/>
  <c r="EV13" i="11"/>
  <c r="CZ13" i="11"/>
  <c r="EJ13" i="11"/>
  <c r="EN13" i="11"/>
  <c r="DP10" i="11"/>
  <c r="EF7" i="11"/>
  <c r="CV7" i="11"/>
  <c r="CR7" i="11"/>
  <c r="DD7" i="11"/>
  <c r="CR5" i="11"/>
  <c r="EB5" i="11"/>
  <c r="EN5" i="11"/>
  <c r="ER5" i="11"/>
  <c r="CZ4" i="11"/>
  <c r="BZ40" i="10"/>
  <c r="AB8" i="15" s="1"/>
  <c r="EN12" i="11"/>
  <c r="CZ12" i="11"/>
  <c r="DL11" i="11"/>
  <c r="EJ11" i="11"/>
  <c r="DT11" i="11"/>
  <c r="DL8" i="11"/>
  <c r="EV8" i="11"/>
  <c r="CR8" i="11"/>
  <c r="DP8" i="11"/>
  <c r="DX8" i="11"/>
  <c r="EN7" i="11"/>
  <c r="EV7" i="11"/>
  <c r="DL7" i="11"/>
  <c r="DT7" i="11"/>
  <c r="DX7" i="11"/>
  <c r="EJ7" i="11"/>
  <c r="ER7" i="11"/>
  <c r="CZ7" i="11"/>
  <c r="EB7" i="11"/>
  <c r="DP7" i="11"/>
  <c r="DH7" i="11"/>
  <c r="EF6" i="11"/>
  <c r="EV6" i="11"/>
  <c r="EB6" i="11"/>
  <c r="CD40" i="10"/>
  <c r="AT6" i="18" s="1"/>
  <c r="AT7" i="18" s="1"/>
  <c r="BV40" i="10"/>
  <c r="CC150" i="18"/>
  <c r="CC99" i="18"/>
  <c r="DP20" i="11"/>
  <c r="DL20" i="11"/>
  <c r="DH20" i="11"/>
  <c r="CR20" i="11"/>
  <c r="EJ20" i="11"/>
  <c r="EV20" i="11"/>
  <c r="BT84" i="16"/>
  <c r="EB13" i="11"/>
  <c r="DD13" i="11"/>
  <c r="DH13" i="11"/>
  <c r="EF13" i="11"/>
  <c r="DP12" i="11"/>
  <c r="DT12" i="11"/>
  <c r="EJ12" i="11"/>
  <c r="EV12" i="11"/>
  <c r="EZ12" i="11"/>
  <c r="DD12" i="11"/>
  <c r="EF12" i="11"/>
  <c r="DL12" i="11"/>
  <c r="EV10" i="11"/>
  <c r="DX9" i="11"/>
  <c r="DP9" i="11"/>
  <c r="DT9" i="11"/>
  <c r="CZ9" i="11"/>
  <c r="DH9" i="11"/>
  <c r="EV9" i="11"/>
  <c r="DL9" i="11"/>
  <c r="EJ9" i="11"/>
  <c r="CV9" i="11"/>
  <c r="CR6" i="11"/>
  <c r="DT6" i="11"/>
  <c r="DX6" i="11"/>
  <c r="CZ6" i="11"/>
  <c r="EZ6" i="11"/>
  <c r="ER6" i="11"/>
  <c r="DH6" i="11"/>
  <c r="EN6" i="11"/>
  <c r="DP6" i="11"/>
  <c r="DH5" i="11"/>
  <c r="EJ5" i="11"/>
  <c r="DT5" i="11"/>
  <c r="DO48" i="18"/>
  <c r="CC14" i="18"/>
  <c r="BT101" i="18"/>
  <c r="BT102" i="18" s="1"/>
  <c r="BT103" i="18" s="1"/>
  <c r="BT104" i="18" s="1"/>
  <c r="BT105" i="18" s="1"/>
  <c r="BT106" i="18" s="1"/>
  <c r="BT107" i="18" s="1"/>
  <c r="BT108" i="18" s="1"/>
  <c r="BT109" i="18" s="1"/>
  <c r="BT50" i="18"/>
  <c r="BT51" i="18" s="1"/>
  <c r="BT52" i="18" s="1"/>
  <c r="BT53" i="18" s="1"/>
  <c r="BT54" i="18" s="1"/>
  <c r="BT55" i="18" s="1"/>
  <c r="BT56" i="18" s="1"/>
  <c r="BT57" i="18" s="1"/>
  <c r="BT58" i="18" s="1"/>
  <c r="BT152" i="18"/>
  <c r="BT153" i="18" s="1"/>
  <c r="BT154" i="18" s="1"/>
  <c r="BT155" i="18" s="1"/>
  <c r="BT156" i="18" s="1"/>
  <c r="BT157" i="18" s="1"/>
  <c r="BT158" i="18" s="1"/>
  <c r="BT159" i="18" s="1"/>
  <c r="BT160" i="18" s="1"/>
  <c r="BX58" i="12"/>
  <c r="DH58" i="12"/>
  <c r="EV14" i="11"/>
  <c r="DX12" i="11"/>
  <c r="CR12" i="11"/>
  <c r="ER12" i="11"/>
  <c r="DH12" i="11"/>
  <c r="EB11" i="11"/>
  <c r="DX11" i="11"/>
  <c r="ER10" i="11"/>
  <c r="DH10" i="11"/>
  <c r="CR10" i="11"/>
  <c r="EJ10" i="11"/>
  <c r="DL10" i="11"/>
  <c r="EB10" i="11"/>
  <c r="EN10" i="11"/>
  <c r="DD10" i="11"/>
  <c r="DX10" i="11"/>
  <c r="DA60" i="10"/>
  <c r="BJ40" i="10"/>
  <c r="BI3" i="9" s="1"/>
  <c r="X15" i="9" s="1"/>
  <c r="BN15" i="9" s="1"/>
  <c r="BN40" i="10"/>
  <c r="CE41" i="16" s="1"/>
  <c r="BF6" i="7"/>
  <c r="EP25" i="16" s="1"/>
  <c r="BT118" i="18"/>
  <c r="BT119" i="18" s="1"/>
  <c r="BT120" i="18" s="1"/>
  <c r="BT121" i="18" s="1"/>
  <c r="BT122" i="18" s="1"/>
  <c r="BT123" i="18" s="1"/>
  <c r="BT124" i="18" s="1"/>
  <c r="BT125" i="18" s="1"/>
  <c r="BT126" i="18" s="1"/>
  <c r="AT8" i="18"/>
  <c r="BT33" i="18"/>
  <c r="BT34" i="18" s="1"/>
  <c r="BT35" i="18" s="1"/>
  <c r="BT36" i="18" s="1"/>
  <c r="BT37" i="18" s="1"/>
  <c r="BT38" i="18" s="1"/>
  <c r="BT39" i="18" s="1"/>
  <c r="BT40" i="18" s="1"/>
  <c r="BT41" i="18" s="1"/>
  <c r="FT167" i="18"/>
  <c r="A53" i="19" s="1"/>
  <c r="BT67" i="18"/>
  <c r="BT68" i="18" s="1"/>
  <c r="BT69" i="18" s="1"/>
  <c r="BT70" i="18" s="1"/>
  <c r="BT71" i="18" s="1"/>
  <c r="BT72" i="18" s="1"/>
  <c r="BT73" i="18" s="1"/>
  <c r="BT74" i="18" s="1"/>
  <c r="BT75" i="18" s="1"/>
  <c r="BT84" i="18"/>
  <c r="BT85" i="18" s="1"/>
  <c r="BT86" i="18" s="1"/>
  <c r="BT87" i="18" s="1"/>
  <c r="BT88" i="18" s="1"/>
  <c r="BT89" i="18" s="1"/>
  <c r="BT90" i="18" s="1"/>
  <c r="BT91" i="18" s="1"/>
  <c r="BT92" i="18" s="1"/>
  <c r="BT16" i="18"/>
  <c r="BT17" i="18" s="1"/>
  <c r="BT18" i="18" s="1"/>
  <c r="BT19" i="18" s="1"/>
  <c r="BT20" i="18" s="1"/>
  <c r="BT21" i="18" s="1"/>
  <c r="BT22" i="18" s="1"/>
  <c r="BT23" i="18" s="1"/>
  <c r="BT24" i="18" s="1"/>
  <c r="BT135" i="18"/>
  <c r="BT136" i="18" s="1"/>
  <c r="BT137" i="18" s="1"/>
  <c r="BT138" i="18" s="1"/>
  <c r="BT139" i="18" s="1"/>
  <c r="BT140" i="18" s="1"/>
  <c r="BT141" i="18" s="1"/>
  <c r="BT142" i="18" s="1"/>
  <c r="BT143" i="18" s="1"/>
  <c r="CH24" i="17"/>
  <c r="CP75" i="12"/>
  <c r="DH16" i="11"/>
  <c r="CV12" i="11"/>
  <c r="DD11" i="11"/>
  <c r="DP11" i="11"/>
  <c r="EN11" i="11"/>
  <c r="EZ11" i="11"/>
  <c r="CV11" i="11"/>
  <c r="BO77" i="12"/>
  <c r="BO78" i="12" s="1"/>
  <c r="BO79" i="12" s="1"/>
  <c r="BO80" i="12" s="1"/>
  <c r="BO81" i="12" s="1"/>
  <c r="BO82" i="12" s="1"/>
  <c r="BO83" i="12" s="1"/>
  <c r="BO84" i="12" s="1"/>
  <c r="BO85" i="12" s="1"/>
  <c r="DT10" i="11"/>
  <c r="CV10" i="11"/>
  <c r="CZ10" i="11"/>
  <c r="DD9" i="11"/>
  <c r="BO60" i="12"/>
  <c r="BO61" i="12" s="1"/>
  <c r="BO62" i="12" s="1"/>
  <c r="BO63" i="12" s="1"/>
  <c r="BO64" i="12" s="1"/>
  <c r="BO65" i="12" s="1"/>
  <c r="BO66" i="12" s="1"/>
  <c r="BO67" i="12" s="1"/>
  <c r="BO68" i="12" s="1"/>
  <c r="BO94" i="12"/>
  <c r="BO95" i="12" s="1"/>
  <c r="BO96" i="12" s="1"/>
  <c r="BO97" i="12" s="1"/>
  <c r="BO98" i="12" s="1"/>
  <c r="BO99" i="12" s="1"/>
  <c r="BO100" i="12" s="1"/>
  <c r="BO101" i="12" s="1"/>
  <c r="BO102" i="12" s="1"/>
  <c r="EB4" i="11"/>
  <c r="EJ4" i="11"/>
  <c r="DH4" i="11"/>
  <c r="DL4" i="11"/>
  <c r="DD4" i="11"/>
  <c r="CV4" i="11"/>
  <c r="DX4" i="11"/>
  <c r="EZ4" i="11"/>
  <c r="DT4" i="11"/>
  <c r="DP4" i="11"/>
  <c r="BO128" i="12"/>
  <c r="BO129" i="12" s="1"/>
  <c r="BO130" i="12" s="1"/>
  <c r="BO131" i="12" s="1"/>
  <c r="BO132" i="12" s="1"/>
  <c r="BO133" i="12" s="1"/>
  <c r="BO134" i="12" s="1"/>
  <c r="BO135" i="12" s="1"/>
  <c r="BO136" i="12" s="1"/>
  <c r="BO145" i="12"/>
  <c r="BO146" i="12" s="1"/>
  <c r="BO147" i="12" s="1"/>
  <c r="BO148" i="12" s="1"/>
  <c r="BO149" i="12" s="1"/>
  <c r="BO150" i="12" s="1"/>
  <c r="BO151" i="12" s="1"/>
  <c r="BO152" i="12" s="1"/>
  <c r="BO153" i="12" s="1"/>
  <c r="BO162" i="12"/>
  <c r="BO163" i="12" s="1"/>
  <c r="BO164" i="12" s="1"/>
  <c r="BO165" i="12" s="1"/>
  <c r="BO166" i="12" s="1"/>
  <c r="BO167" i="12" s="1"/>
  <c r="BO168" i="12" s="1"/>
  <c r="BO169" i="12" s="1"/>
  <c r="BO170" i="12" s="1"/>
  <c r="DM60" i="10"/>
  <c r="CH60" i="10"/>
  <c r="CH41" i="10" s="1"/>
  <c r="DP70" i="16" s="1"/>
  <c r="BR40" i="10"/>
  <c r="BE9" i="10" s="1"/>
  <c r="BF9" i="7" s="1"/>
  <c r="EP46" i="16"/>
  <c r="AT8" i="12"/>
  <c r="BF8" i="7"/>
  <c r="BE8" i="10"/>
  <c r="CM9" i="15"/>
  <c r="AP8" i="9"/>
  <c r="BF7" i="7"/>
  <c r="EP53" i="16" s="1"/>
  <c r="CM10" i="15"/>
  <c r="BO111" i="12"/>
  <c r="BO112" i="12" s="1"/>
  <c r="BO113" i="12" s="1"/>
  <c r="BO114" i="12" s="1"/>
  <c r="BO115" i="12" s="1"/>
  <c r="BO116" i="12" s="1"/>
  <c r="BO117" i="12" s="1"/>
  <c r="BO118" i="12" s="1"/>
  <c r="BO119" i="12" s="1"/>
  <c r="BO43" i="12" l="1"/>
  <c r="BO44" i="12" s="1"/>
  <c r="BO45" i="12" s="1"/>
  <c r="BO46" i="12" s="1"/>
  <c r="BO47" i="12" s="1"/>
  <c r="BO48" i="12" s="1"/>
  <c r="BO49" i="12" s="1"/>
  <c r="BO50" i="12" s="1"/>
  <c r="BO51" i="12" s="1"/>
  <c r="BX41" i="12" s="1"/>
  <c r="AT10" i="12"/>
  <c r="AX10" i="9" s="1"/>
  <c r="BO27" i="12"/>
  <c r="BO28" i="12" s="1"/>
  <c r="BO29" i="12" s="1"/>
  <c r="BO30" i="12" s="1"/>
  <c r="BO31" i="12" s="1"/>
  <c r="BO32" i="12" s="1"/>
  <c r="BO33" i="12" s="1"/>
  <c r="BO34" i="12" s="1"/>
  <c r="BX24" i="12" s="1"/>
  <c r="AT9" i="18"/>
  <c r="X26" i="9"/>
  <c r="BN26" i="9" s="1"/>
  <c r="DA41" i="10"/>
  <c r="A18" i="19" s="1"/>
  <c r="DM41" i="10"/>
  <c r="A56" i="19" s="1"/>
  <c r="AX6" i="9"/>
  <c r="AT6" i="12"/>
  <c r="BT79" i="16"/>
  <c r="BS12" i="15"/>
  <c r="BE6" i="10"/>
  <c r="X16" i="9"/>
  <c r="BN16" i="9" s="1"/>
  <c r="E176" i="16"/>
  <c r="EF24" i="11"/>
  <c r="AL8" i="7" s="1"/>
  <c r="ER24" i="11"/>
  <c r="AL14" i="7" s="1"/>
  <c r="CR24" i="11"/>
  <c r="CO41" i="16" s="1"/>
  <c r="DO167" i="18"/>
  <c r="A15" i="19" s="1"/>
  <c r="DL24" i="11"/>
  <c r="M11" i="7" s="1"/>
  <c r="S11" i="7" s="1"/>
  <c r="CZ24" i="11"/>
  <c r="M8" i="7" s="1"/>
  <c r="X6" i="9"/>
  <c r="DP147" i="16" s="1"/>
  <c r="EZ24" i="11"/>
  <c r="AB27" i="9" s="1"/>
  <c r="EV24" i="11"/>
  <c r="P8" i="7" s="1"/>
  <c r="AX9" i="9"/>
  <c r="X13" i="9"/>
  <c r="X14" i="9"/>
  <c r="BN14" i="9" s="1"/>
  <c r="X19" i="9"/>
  <c r="DP199" i="16" s="1"/>
  <c r="X28" i="9"/>
  <c r="BN28" i="9" s="1"/>
  <c r="X30" i="9"/>
  <c r="BN30" i="9" s="1"/>
  <c r="DT24" i="11"/>
  <c r="M13" i="7" s="1"/>
  <c r="S13" i="7" s="1"/>
  <c r="DH24" i="11"/>
  <c r="M10" i="7" s="1"/>
  <c r="S10" i="7" s="1"/>
  <c r="EJ24" i="11"/>
  <c r="AL9" i="7" s="1"/>
  <c r="EN24" i="11"/>
  <c r="AL11" i="7" s="1"/>
  <c r="EB24" i="11"/>
  <c r="AL7" i="7" s="1"/>
  <c r="DP24" i="11"/>
  <c r="M12" i="7" s="1"/>
  <c r="S12" i="7" s="1"/>
  <c r="DX24" i="11"/>
  <c r="M14" i="7" s="1"/>
  <c r="S14" i="7" s="1"/>
  <c r="AT9" i="12"/>
  <c r="EP39" i="16"/>
  <c r="CV24" i="11"/>
  <c r="M7" i="7" s="1"/>
  <c r="DD24" i="11"/>
  <c r="M9" i="7" s="1"/>
  <c r="S9" i="7" s="1"/>
  <c r="AX8" i="7"/>
  <c r="AL8" i="12"/>
  <c r="AW8" i="10"/>
  <c r="AX7" i="9"/>
  <c r="BE7" i="10"/>
  <c r="AT7" i="12"/>
  <c r="BN13" i="9" l="1"/>
  <c r="DP175" i="16"/>
  <c r="DP227" i="16"/>
  <c r="EP32" i="16"/>
  <c r="DH41" i="12"/>
  <c r="CP41" i="12"/>
  <c r="E95" i="16"/>
  <c r="BF10" i="7"/>
  <c r="BF14" i="7" s="1"/>
  <c r="U9" i="6" s="1"/>
  <c r="DQ258" i="16" s="1"/>
  <c r="BE10" i="10"/>
  <c r="BE14" i="10" s="1"/>
  <c r="DH24" i="12"/>
  <c r="CP24" i="12"/>
  <c r="P18" i="9"/>
  <c r="X18" i="9" s="1"/>
  <c r="P12" i="9"/>
  <c r="X12" i="9" s="1"/>
  <c r="AA76" i="16"/>
  <c r="BQ14" i="7"/>
  <c r="P21" i="9"/>
  <c r="X21" i="9" s="1"/>
  <c r="S8" i="7"/>
  <c r="AA62" i="16"/>
  <c r="BQ12" i="7"/>
  <c r="P29" i="9"/>
  <c r="X29" i="9" s="1"/>
  <c r="DP239" i="16" s="1"/>
  <c r="P19" i="9"/>
  <c r="P28" i="9"/>
  <c r="P20" i="9"/>
  <c r="X20" i="9" s="1"/>
  <c r="AC11" i="7"/>
  <c r="AR11" i="7" s="1"/>
  <c r="CO34" i="16" s="1"/>
  <c r="AA69" i="16"/>
  <c r="P17" i="9"/>
  <c r="X17" i="9" s="1"/>
  <c r="BQ13" i="7"/>
  <c r="AC9" i="7"/>
  <c r="BQ11" i="7"/>
  <c r="P10" i="9"/>
  <c r="X10" i="9" s="1"/>
  <c r="BH8" i="9" s="1"/>
  <c r="P9" i="9"/>
  <c r="X9" i="9" s="1"/>
  <c r="BH7" i="9" s="1"/>
  <c r="P8" i="9"/>
  <c r="X8" i="9" s="1"/>
  <c r="BH6" i="9" s="1"/>
  <c r="AA55" i="16"/>
  <c r="P11" i="9"/>
  <c r="X11" i="9" s="1"/>
  <c r="BH9" i="9" s="1"/>
  <c r="BQ10" i="7"/>
  <c r="P25" i="9"/>
  <c r="X25" i="9" s="1"/>
  <c r="BH14" i="9" s="1"/>
  <c r="AA48" i="16"/>
  <c r="P30" i="9"/>
  <c r="P26" i="9"/>
  <c r="P23" i="9"/>
  <c r="X23" i="9" s="1"/>
  <c r="BH12" i="9" s="1"/>
  <c r="P22" i="9"/>
  <c r="X22" i="9" s="1"/>
  <c r="P24" i="9"/>
  <c r="X24" i="9" s="1"/>
  <c r="BH13" i="9" s="1"/>
  <c r="P6" i="9"/>
  <c r="BQ9" i="7"/>
  <c r="AC7" i="7"/>
  <c r="AA41" i="16"/>
  <c r="P27" i="9"/>
  <c r="X27" i="9" s="1"/>
  <c r="AC14" i="7"/>
  <c r="AR14" i="7" s="1"/>
  <c r="BN6" i="9"/>
  <c r="AO7" i="7"/>
  <c r="AB18" i="9"/>
  <c r="P7" i="7"/>
  <c r="S7" i="7" s="1"/>
  <c r="AO9" i="7"/>
  <c r="AT14" i="12"/>
  <c r="BN19" i="9"/>
  <c r="DP243" i="16"/>
  <c r="DP235" i="16"/>
  <c r="AX14" i="9"/>
  <c r="CP176" i="12" l="1"/>
  <c r="A12" i="19" s="1"/>
  <c r="DH176" i="12"/>
  <c r="A50" i="19" s="1"/>
  <c r="BN29" i="9"/>
  <c r="BH11" i="9"/>
  <c r="AM8" i="15" s="1"/>
  <c r="AU8" i="15" s="1"/>
  <c r="DP211" i="16"/>
  <c r="BN22" i="9"/>
  <c r="BQ7" i="7"/>
  <c r="AA27" i="16"/>
  <c r="P7" i="9"/>
  <c r="X7" i="9" s="1"/>
  <c r="C16" i="15"/>
  <c r="A9" i="19"/>
  <c r="A47" i="19"/>
  <c r="DP191" i="16"/>
  <c r="BN17" i="9"/>
  <c r="DP203" i="16"/>
  <c r="BN20" i="9"/>
  <c r="BU41" i="16"/>
  <c r="BJ41" i="16" s="1"/>
  <c r="AC10" i="7"/>
  <c r="AR10" i="7" s="1"/>
  <c r="AC8" i="7"/>
  <c r="AR8" i="7" s="1"/>
  <c r="BQ8" i="7"/>
  <c r="AA34" i="16"/>
  <c r="AR9" i="7"/>
  <c r="P13" i="9"/>
  <c r="P14" i="9"/>
  <c r="P15" i="9"/>
  <c r="P16" i="9"/>
  <c r="DP207" i="16"/>
  <c r="BN21" i="9"/>
  <c r="BN12" i="9"/>
  <c r="DP171" i="16"/>
  <c r="BN18" i="9"/>
  <c r="DP195" i="16"/>
  <c r="BN27" i="9"/>
  <c r="DP231" i="16"/>
  <c r="A62" i="19"/>
  <c r="A24" i="19"/>
  <c r="CZ29" i="16"/>
  <c r="AR7" i="7"/>
  <c r="A32" i="19"/>
  <c r="A70" i="19"/>
  <c r="BS8" i="15" l="1"/>
  <c r="BS15" i="15" s="1"/>
  <c r="CM8" i="15"/>
  <c r="K33" i="15" s="1"/>
  <c r="BT59" i="16"/>
  <c r="BN7" i="9"/>
  <c r="BN33" i="9" s="1"/>
  <c r="BN34" i="9" s="1"/>
  <c r="DP151" i="16"/>
  <c r="K32" i="15"/>
  <c r="A29" i="19"/>
  <c r="A67" i="19"/>
  <c r="CO27" i="16"/>
  <c r="K35" i="15"/>
  <c r="BJ34" i="16"/>
  <c r="K36" i="15"/>
  <c r="K34" i="15"/>
  <c r="A66" i="19"/>
  <c r="BJ27" i="16"/>
  <c r="A28" i="19"/>
  <c r="A25" i="19" l="1"/>
  <c r="A63" i="19"/>
  <c r="A21" i="19"/>
  <c r="A59" i="19"/>
</calcChain>
</file>

<file path=xl/connections.xml><?xml version="1.0" encoding="utf-8"?>
<connections xmlns="http://schemas.openxmlformats.org/spreadsheetml/2006/main">
  <connection id="1" name="chargen" type="4" refreshedVersion="0" background="1">
    <webPr xml="1" sourceData="1" url="C:\Users\Scott\Documents\darkseid.xml" htmlTables="1" htmlFormat="all"/>
  </connection>
  <connection id="2" name="chargen1" type="4" refreshedVersion="0" background="1">
    <webPr xml="1" sourceData="1" url="C:\Users\Scott\Documents\chargen.xml" htmlTables="1" htmlFormat="all"/>
  </connection>
  <connection id="3" name="chargen2" type="4" refreshedVersion="0" background="1">
    <webPr xml="1" sourceData="1" url="C:\Users\Scott\Documents\chargen.xml" htmlTables="1" htmlFormat="all"/>
  </connection>
  <connection id="4" name="chargen21" type="4" refreshedVersion="0" background="1">
    <webPr xml="1" sourceData="1" url="C:\Users\Scott\Documents\chargen2.xml" htmlTables="1" htmlFormat="all"/>
  </connection>
  <connection id="5" name="chargen3" type="4" refreshedVersion="0" background="1">
    <webPr xml="1" sourceData="1" url="C:\Users\Scott\Documents\chargen.xml" htmlTables="1" htmlFormat="all"/>
  </connection>
  <connection id="6" name="chargen31" type="4" refreshedVersion="0" background="1">
    <webPr xml="1" sourceData="1" url="C:\Users\Scott\Documents\darkseid.xml" htmlTables="1" htmlFormat="all"/>
  </connection>
  <connection id="7" name="chargen4" type="4" refreshedVersion="0" background="1">
    <webPr xml="1" sourceData="1" url="C:\Users\Scott\Documents\chargen.xml" htmlTables="1" htmlFormat="all"/>
  </connection>
  <connection id="8" name="chargen5" type="4" refreshedVersion="0" background="1">
    <webPr xml="1" sourceData="1" url="C:\Users\Scott\Documents\JoesChar.xml" htmlTables="1" htmlFormat="all"/>
  </connection>
  <connection id="9" name="chargen6" type="4" refreshedVersion="0" background="1">
    <webPr xml="1" sourceData="1" url="C:\Users\Scott\Documents\chargen.xml" htmlTables="1" htmlFormat="all"/>
  </connection>
</connections>
</file>

<file path=xl/sharedStrings.xml><?xml version="1.0" encoding="utf-8"?>
<sst xmlns="http://schemas.openxmlformats.org/spreadsheetml/2006/main" count="3897" uniqueCount="1323">
  <si>
    <t>Ski's CharGen 3E</t>
  </si>
  <si>
    <t>by Ski Anderson (ski@yahoo.com)</t>
  </si>
  <si>
    <t>Revision History</t>
  </si>
  <si>
    <t>Version 1.00</t>
  </si>
  <si>
    <t xml:space="preserve">Began work using DC Adventures PDF.  </t>
  </si>
  <si>
    <t>Feature Request</t>
  </si>
  <si>
    <t>Instructions</t>
  </si>
  <si>
    <t>Fill out the information in the GREEN boxes.</t>
  </si>
  <si>
    <t>Everything else should auto-populate.</t>
  </si>
  <si>
    <t>Campaign Information</t>
  </si>
  <si>
    <t>Campaign Power Level</t>
  </si>
  <si>
    <t>Recommended Power Points:</t>
  </si>
  <si>
    <t>Power Points Awarded (XP):</t>
  </si>
  <si>
    <t>Power Points Spent:</t>
  </si>
  <si>
    <t>Character Details</t>
  </si>
  <si>
    <t>Name:</t>
  </si>
  <si>
    <t>Player:</t>
  </si>
  <si>
    <t>Alternate Identity:</t>
  </si>
  <si>
    <t>Type of Alternate Identity:</t>
  </si>
  <si>
    <t>Gender:</t>
  </si>
  <si>
    <t>Age:</t>
  </si>
  <si>
    <t>Height:</t>
  </si>
  <si>
    <t>Weight:</t>
  </si>
  <si>
    <t>Eyes:</t>
  </si>
  <si>
    <t>Hair:</t>
  </si>
  <si>
    <t>Group Affiliation:</t>
  </si>
  <si>
    <t>Base of Operations:</t>
  </si>
  <si>
    <t>Ability Scores</t>
  </si>
  <si>
    <t>Strength</t>
  </si>
  <si>
    <t>Stamina</t>
  </si>
  <si>
    <t>Agility</t>
  </si>
  <si>
    <t>Dexterity</t>
  </si>
  <si>
    <t>Fighting</t>
  </si>
  <si>
    <t>Intellect</t>
  </si>
  <si>
    <t>Awareness</t>
  </si>
  <si>
    <t>Presence</t>
  </si>
  <si>
    <t>Ranks</t>
  </si>
  <si>
    <t>Cost</t>
  </si>
  <si>
    <t>Enhanced
Trait</t>
  </si>
  <si>
    <t>Final
Ranks</t>
  </si>
  <si>
    <t>Ability Benchmarks</t>
  </si>
  <si>
    <t>Chosen Ability</t>
  </si>
  <si>
    <t>Data Sheet</t>
  </si>
  <si>
    <t>This page is for data only.</t>
  </si>
  <si>
    <t>Please do not modify.</t>
  </si>
  <si>
    <t>Ability Score Benchmarks</t>
  </si>
  <si>
    <t>Value</t>
  </si>
  <si>
    <t>Aquaman</t>
  </si>
  <si>
    <t>Batman</t>
  </si>
  <si>
    <t>Aquaman, Black Canary</t>
  </si>
  <si>
    <t>Captain Marvel</t>
  </si>
  <si>
    <t xml:space="preserve"> </t>
  </si>
  <si>
    <t>The Flash</t>
  </si>
  <si>
    <t>Martian Manhunter</t>
  </si>
  <si>
    <t>Nightwing</t>
  </si>
  <si>
    <t>Plastic Man</t>
  </si>
  <si>
    <t>Robin</t>
  </si>
  <si>
    <t>Captain Marvel, Superman</t>
  </si>
  <si>
    <t>Superman, Wonder Woman</t>
  </si>
  <si>
    <t>Wonder Woman</t>
  </si>
  <si>
    <t>Batman, Wonder Woman</t>
  </si>
  <si>
    <t>Zatanna</t>
  </si>
  <si>
    <t>Captain Marvel, Superman, Black Adam</t>
  </si>
  <si>
    <t>Black Adam</t>
  </si>
  <si>
    <t>Nightwing, Black Adam</t>
  </si>
  <si>
    <t>Captain Marvel, Black Adam</t>
  </si>
  <si>
    <t>Aquaman, Captain Marvel, Green Arrow, Green Lantern, Martian Manhunter, Robin, Black Adam</t>
  </si>
  <si>
    <t>Black Manta</t>
  </si>
  <si>
    <t>Aquaman, Black Canary, Captain Marvel, Superman, Wonder Woman, Black Manta</t>
  </si>
  <si>
    <t>Black Canary, Green Arrow, Plastic Man, Superman, Black Manta</t>
  </si>
  <si>
    <t>Black Canary, The Flash, Plastic Man, Black Manta</t>
  </si>
  <si>
    <t>Brainiac</t>
  </si>
  <si>
    <t>The Flash, Green Arrow, Brainiac</t>
  </si>
  <si>
    <t>Nightwing, Catwoman</t>
  </si>
  <si>
    <t>Catwoman</t>
  </si>
  <si>
    <t>Cheetah</t>
  </si>
  <si>
    <t>Batman, Cheetah</t>
  </si>
  <si>
    <t>Martian Manhunter, Robin, Superman, Catwoman, Cheetah</t>
  </si>
  <si>
    <t>Martian Manhunter, Nightwing, Zatanna, Catwoman, Cheetah, Circe</t>
  </si>
  <si>
    <t>Martian Manhunter, Nightwing, Robin, Wonder Woman, Zatanna, Catwoman, Circe</t>
  </si>
  <si>
    <t>Darkseid</t>
  </si>
  <si>
    <t>Captain Marvel, Green Lantern, Martian Manhunter, Superman, Zatanna, Black Adam, Brainiac, Darkseid</t>
  </si>
  <si>
    <t>Aquaman, Captain Marvel, Superman, Black Adam, Darkseid</t>
  </si>
  <si>
    <t>Batman, Darkseid</t>
  </si>
  <si>
    <t>Cheetah, Gorilla Grodd</t>
  </si>
  <si>
    <t>Aquaman, The Flash, Green Arrow, Black Manta, Gorilla Grodd</t>
  </si>
  <si>
    <t>Batman, Darkseid, Gorilla Grodd</t>
  </si>
  <si>
    <t>Green Arrow, Nightwing, Zatanna, Black Manta, Cheetah, Gorilla Grodd, The Joker</t>
  </si>
  <si>
    <t>Circe, Lex Luthor</t>
  </si>
  <si>
    <t>Nightwing, Prometheus</t>
  </si>
  <si>
    <t>Black Canary, The Flash, Nightwing, Black Manta, Catwoman, Circe, Prometheus</t>
  </si>
  <si>
    <t>Black Canary, Plastic Man, Robin, Prometheus</t>
  </si>
  <si>
    <t>Plastic Man, Robin, Prometheus</t>
  </si>
  <si>
    <t>Nightwing, Superman, Zatanna, Catwoman, Circe, Lex Luthor, Prometheus</t>
  </si>
  <si>
    <t>Black Canary, Green Arrow, Green Lantern, Plastic Man, Robin, Catwoman, The Joker, Lex Luthor, Sinestro</t>
  </si>
  <si>
    <t>Black Canary, The Flash, Green Lantern, Martian Manhunter, Brainiac, Circe, Lex Luthor, Sinestro</t>
  </si>
  <si>
    <t>Green Lantern, Plastic Man, Sinestro</t>
  </si>
  <si>
    <t>Green Arrow, Green Lantern, Black Adam, Sinestro</t>
  </si>
  <si>
    <t>Aquaman, The Flash, Green Lantern, Brainiac, Lex Luthor, Sinestro</t>
  </si>
  <si>
    <t>Darkseid, Solomon Grundy</t>
  </si>
  <si>
    <t>Solomon Grundy</t>
  </si>
  <si>
    <t xml:space="preserve">Solomon Grundy </t>
  </si>
  <si>
    <t>Captain Marvel, Black Manta, Gorilla Grodd, Solomon Grundy</t>
  </si>
  <si>
    <t>Note: If a specific ability is chosen, this will display examples from the DC Adventures book.  If no ability is chosen, it will reference the generic chart.</t>
  </si>
  <si>
    <t>Hawk</t>
  </si>
  <si>
    <t>Billy Batson, Zatanna, Circe</t>
  </si>
  <si>
    <t>The Flash, Government Agent, Militant, Soldier, Criminal, Gang Leader, Dolphin</t>
  </si>
  <si>
    <t>Batman, Vandal Savage</t>
  </si>
  <si>
    <t xml:space="preserve"> Robot, Lion</t>
  </si>
  <si>
    <t>Gorilla Grodd, Ape</t>
  </si>
  <si>
    <t>Martian Manhunter, Wonder Woman, Giant Robot</t>
  </si>
  <si>
    <t>Billy Batson, Robin, Militant, Crime Lord, Shark</t>
  </si>
  <si>
    <t>Green Arrow, Green Lantern, Zatanna, Lex Luthor, Sinestro, Government Agent, Police Officer</t>
  </si>
  <si>
    <t>Batman, The Joker, Ape</t>
  </si>
  <si>
    <t>Plastic Man, Vandal Savage</t>
  </si>
  <si>
    <t>Whale</t>
  </si>
  <si>
    <t>Note: I'm only listing enough examples to fill out a line on the Abilities page.  I'm not trying to reference every character or example in the book.</t>
  </si>
  <si>
    <t xml:space="preserve"> The Joker, Dolphin, Ape, Hawk, Lion</t>
  </si>
  <si>
    <t>Special Thanks</t>
  </si>
  <si>
    <t>Finish the Benchmarks (add in the rest of the NPC/animals)</t>
  </si>
  <si>
    <t>In Progress</t>
  </si>
  <si>
    <t>Defenses and Initiative</t>
  </si>
  <si>
    <t>Base Value</t>
  </si>
  <si>
    <t>Purchased
Ranks</t>
  </si>
  <si>
    <t>Dodge</t>
  </si>
  <si>
    <t>Fortitude</t>
  </si>
  <si>
    <t>Parry</t>
  </si>
  <si>
    <t>Toughness</t>
  </si>
  <si>
    <t>Will</t>
  </si>
  <si>
    <t>Initiative</t>
  </si>
  <si>
    <t>Imp
Initiative</t>
  </si>
  <si>
    <t>Power Points Used</t>
  </si>
  <si>
    <t>The Joker</t>
  </si>
  <si>
    <t>Thug</t>
  </si>
  <si>
    <t>Police Officer</t>
  </si>
  <si>
    <t>Crime Lord, Criminal, Ape</t>
  </si>
  <si>
    <t>Dophin, Shark, SWAT Officer</t>
  </si>
  <si>
    <t>Lion</t>
  </si>
  <si>
    <t>Government Agent, Soldier</t>
  </si>
  <si>
    <t>Superman, Brainiac, Lex Luthor</t>
  </si>
  <si>
    <t>Aquaman, Captain Marvel, Plasticman, Robin, Black Adam</t>
  </si>
  <si>
    <t>Black Canary, Green Lantern, Martian Manhunter, Zatanna, Black Manta, Darkseid</t>
  </si>
  <si>
    <t>Circe, Gorilla Grodd</t>
  </si>
  <si>
    <t>Batman, Green Arrow, Nightwing, Catwoman</t>
  </si>
  <si>
    <t>Cheetah, The Joker</t>
  </si>
  <si>
    <t>The Flash, Wonder Woman</t>
  </si>
  <si>
    <t>Giant Robot</t>
  </si>
  <si>
    <t>Zombie</t>
  </si>
  <si>
    <t>Crime Lord, Criminal, Gang Leader, Ape</t>
  </si>
  <si>
    <t>Police Officer, SWAT Officer, Dolphin, Shark, Wolf</t>
  </si>
  <si>
    <t>Billy Batson, Lion</t>
  </si>
  <si>
    <t>Zatanna, Lex Luthor, Solomon Grundy</t>
  </si>
  <si>
    <t>Captain Marvel, Green Lantern, Superman, Brainiac, Circe, Sinestro</t>
  </si>
  <si>
    <t>Aquaman, Plasticman, Robin, Black Adam, The Joker</t>
  </si>
  <si>
    <t>Martian Manhunter, Gorilla Grodd, Vandal Savage</t>
  </si>
  <si>
    <t>Batman, Black Canary, Catwoman</t>
  </si>
  <si>
    <t>Soldier</t>
  </si>
  <si>
    <t>Reporter, Police Officer, Ape, Hawk, Wolf</t>
  </si>
  <si>
    <t>Billy Batson, Government Agent, SWAT Officer, Dolphin, Shark, Lion</t>
  </si>
  <si>
    <t>Police Chief, Whale</t>
  </si>
  <si>
    <t>Crime Lord</t>
  </si>
  <si>
    <t>Robin, Black Manta, Solomon Grundy</t>
  </si>
  <si>
    <t>The Flash, Green Arrow, Plasticman</t>
  </si>
  <si>
    <t>Aquaman, Black Canary, Catwoman</t>
  </si>
  <si>
    <t>Batman, Zatanna, Brainiac, Cheetah, Darkseid, Gorilla Grodd, The Joker</t>
  </si>
  <si>
    <t>Lex Luthor, Vandal Savage</t>
  </si>
  <si>
    <t>Captain Marvel, Martian Manhunter, Superman</t>
  </si>
  <si>
    <t>Wonder Woman, Black Adam, Circe, Prometheus</t>
  </si>
  <si>
    <t>Green Arrow, Nightwing, Black Manta, Darkseid, Prometheus</t>
  </si>
  <si>
    <t>Sinestro</t>
  </si>
  <si>
    <t>Green Lantern</t>
  </si>
  <si>
    <t>Billy Batson</t>
  </si>
  <si>
    <t>Criminal, Gang Leader, Hawk</t>
  </si>
  <si>
    <t>Government Agent, Crime Lord</t>
  </si>
  <si>
    <t>Police Officer, Thug, Wolf</t>
  </si>
  <si>
    <t>Soldier, Dolphin, Shark</t>
  </si>
  <si>
    <t>Lex Luthor, SWAT Officer, Ape, Lion</t>
  </si>
  <si>
    <t>Green Arrow, Robin, Zatanna, The Joker</t>
  </si>
  <si>
    <t>Batman, Black Canary, The Flash</t>
  </si>
  <si>
    <t>Green Lantern, Black Manta, Prometheus, Sinestro</t>
  </si>
  <si>
    <t>Aquaman, Brainiac, Cheetah, Circe, Gorilla Grodd</t>
  </si>
  <si>
    <t>Vandal Savage, Whale</t>
  </si>
  <si>
    <t>Billy Batson, Crime Lord, Criminal, Gang Leader</t>
  </si>
  <si>
    <t>Green Lantern (without ring), Zatanna, Sinestro (without ring), Police Officer</t>
  </si>
  <si>
    <t>Zombie, Government Agent, Thug</t>
  </si>
  <si>
    <t>Lex Luthor, Dolphin, Shark</t>
  </si>
  <si>
    <t>Robin, Soldier</t>
  </si>
  <si>
    <t>Black Canary, Green Arrow, Nightwing, Catwoman, The Joker, Ape, Lion</t>
  </si>
  <si>
    <t>Vandal Savage</t>
  </si>
  <si>
    <t>Batman, The Flash, Black Manta</t>
  </si>
  <si>
    <t>Prometheus, Robot</t>
  </si>
  <si>
    <t>Aquaman, Plasticman, Circe</t>
  </si>
  <si>
    <t>Martian Manhunter, Whale</t>
  </si>
  <si>
    <t>Green Lantern, Wonder Woman, Sinestro</t>
  </si>
  <si>
    <t>Superman, Black Adam</t>
  </si>
  <si>
    <t>Captain Marvel, Darkseid</t>
  </si>
  <si>
    <t>Solomon Grundy, Giant Robot</t>
  </si>
  <si>
    <t>Skills</t>
  </si>
  <si>
    <t>Skill Name</t>
  </si>
  <si>
    <t>Ranged Combat</t>
  </si>
  <si>
    <t>Sleight of Hand</t>
  </si>
  <si>
    <t>Ability</t>
  </si>
  <si>
    <t>Untrained?</t>
  </si>
  <si>
    <t>Acrobatics</t>
  </si>
  <si>
    <t>Athletics</t>
  </si>
  <si>
    <t>Close Combat</t>
  </si>
  <si>
    <t>Type</t>
  </si>
  <si>
    <t>Deception</t>
  </si>
  <si>
    <t>Expertise</t>
  </si>
  <si>
    <t>Insight</t>
  </si>
  <si>
    <t>Intimidation</t>
  </si>
  <si>
    <t>Investigation</t>
  </si>
  <si>
    <t>Perception</t>
  </si>
  <si>
    <t>Persuasion</t>
  </si>
  <si>
    <t>Stealth</t>
  </si>
  <si>
    <t>Technology</t>
  </si>
  <si>
    <t>Treatment</t>
  </si>
  <si>
    <t>Vehicles</t>
  </si>
  <si>
    <t>AGL</t>
  </si>
  <si>
    <t>STR</t>
  </si>
  <si>
    <t>FGT</t>
  </si>
  <si>
    <t>PRE</t>
  </si>
  <si>
    <t>INT</t>
  </si>
  <si>
    <t>AWE</t>
  </si>
  <si>
    <t>DEX</t>
  </si>
  <si>
    <t>NO</t>
  </si>
  <si>
    <t>YES</t>
  </si>
  <si>
    <t>Final</t>
  </si>
  <si>
    <t>Advantages</t>
  </si>
  <si>
    <t>Advantage</t>
  </si>
  <si>
    <t>Favored Environment</t>
  </si>
  <si>
    <t>Additional Description</t>
  </si>
  <si>
    <t>Effect</t>
  </si>
  <si>
    <t>Accurate Attack</t>
  </si>
  <si>
    <t>All-out Attack</t>
  </si>
  <si>
    <t>Chokehold</t>
  </si>
  <si>
    <t>Close Attack</t>
  </si>
  <si>
    <t>Defensive Attack</t>
  </si>
  <si>
    <t>Defensive Roll</t>
  </si>
  <si>
    <t>Evasion</t>
  </si>
  <si>
    <t>Fast Grab</t>
  </si>
  <si>
    <t>Grabbing Finesse</t>
  </si>
  <si>
    <t>Great Endurance</t>
  </si>
  <si>
    <t>Improved Aim</t>
  </si>
  <si>
    <t>Improved Critical</t>
  </si>
  <si>
    <t>Improved Defense</t>
  </si>
  <si>
    <t>Improved Disarm</t>
  </si>
  <si>
    <t>Improved Grab</t>
  </si>
  <si>
    <t>Improved Initiative</t>
  </si>
  <si>
    <t>Improved Hold</t>
  </si>
  <si>
    <t>Improved Smash</t>
  </si>
  <si>
    <t>Improved Trip</t>
  </si>
  <si>
    <t>Improvised Weapon</t>
  </si>
  <si>
    <t>Move-by Action</t>
  </si>
  <si>
    <t>Power Attack</t>
  </si>
  <si>
    <t>Precise Attack</t>
  </si>
  <si>
    <t>Prone Fighting</t>
  </si>
  <si>
    <t>Quick Draw</t>
  </si>
  <si>
    <t>Ranged Attack</t>
  </si>
  <si>
    <t>Redirect</t>
  </si>
  <si>
    <t>Set-up</t>
  </si>
  <si>
    <t>Takedown</t>
  </si>
  <si>
    <t>Throwing Mastery</t>
  </si>
  <si>
    <t>Uncanny Dodge</t>
  </si>
  <si>
    <t>Weapon Bind</t>
  </si>
  <si>
    <t>Weapon Break</t>
  </si>
  <si>
    <t>Trade effect DC for attack bonus.</t>
  </si>
  <si>
    <t>Trade active defense for attack bonus.</t>
  </si>
  <si>
    <t>Suffocate an opponent you have successfully grabbed.</t>
  </si>
  <si>
    <t>+1 bonus to close attack checks per rank.</t>
  </si>
  <si>
    <t>Trade attack bonus for active defense bonus.</t>
  </si>
  <si>
    <t>+1 active defense bonus to Toughness per rank.</t>
  </si>
  <si>
    <t>Circumstance bonus to avoid area effects.</t>
  </si>
  <si>
    <t>Make a free grab check after an unarmed attack.</t>
  </si>
  <si>
    <t>Circumstance bonus to attack or defense in an environment.</t>
  </si>
  <si>
    <t>Substitute DEX for STR when making grab attacks.</t>
  </si>
  <si>
    <t>+5 checks involving endurance.</t>
  </si>
  <si>
    <t>Double circumstance bonuses for aiming.</t>
  </si>
  <si>
    <t>+1 to critical threat range with an attack per rank.</t>
  </si>
  <si>
    <t>+2 bonus to active defense when you take the defend action.</t>
  </si>
  <si>
    <t>No penalty for the disarm action.</t>
  </si>
  <si>
    <t>Make grab attacks with one arm.  Not vulnerable while grabbing.</t>
  </si>
  <si>
    <t>+4 bonus to initiative checks per rank.</t>
  </si>
  <si>
    <t>-5 circumstance penalty to escape from your holds.</t>
  </si>
  <si>
    <t>No penalty for the smash action.</t>
  </si>
  <si>
    <t>No penalty for the trip action.</t>
  </si>
  <si>
    <t>Use Close Combat: Unarmed skill with improvised weapons, +1 damage bonus.</t>
  </si>
  <si>
    <t>Move both before and after your standard action.</t>
  </si>
  <si>
    <t>Trade attack bonus for effect bonus.</t>
  </si>
  <si>
    <t>Ignore attack check penalties for either cover or concealment.</t>
  </si>
  <si>
    <t>No penalties for fighting while prone.</t>
  </si>
  <si>
    <t>Draw a weapon as a free action.</t>
  </si>
  <si>
    <t>+1 bonus to ranged attack checks per rank.</t>
  </si>
  <si>
    <t>Use Deception to redirect a missed attack at another target.</t>
  </si>
  <si>
    <t>Transfer the benefit of an interaction skill to an ally.</t>
  </si>
  <si>
    <t>Free extra attack when you incapacitate a minion.</t>
  </si>
  <si>
    <t>+1 damage bonus with thrown weapons per rank.</t>
  </si>
  <si>
    <t>Not vulnerable when surprised or caught off-guard.</t>
  </si>
  <si>
    <t>Free smash attack when you actively defend.</t>
  </si>
  <si>
    <t>Free disarm attempt when you actively defend.</t>
  </si>
  <si>
    <t>Ranked?</t>
  </si>
  <si>
    <t>Agile Feint</t>
  </si>
  <si>
    <t>Feint using Acrobatics skill or Speed rank</t>
  </si>
  <si>
    <t>Animal Empathy</t>
  </si>
  <si>
    <t>Artificer</t>
  </si>
  <si>
    <t>Assessment</t>
  </si>
  <si>
    <t>Attractive</t>
  </si>
  <si>
    <t>Use Interaction skills normally with animals.</t>
  </si>
  <si>
    <t>Use Expertise (Magic) to create temporary magical devices.</t>
  </si>
  <si>
    <t>Use Insight to learn an opponent's combat capabilities.</t>
  </si>
  <si>
    <t>Circumstance bonus to interaction based on your looks.</t>
  </si>
  <si>
    <t>Beginner's Luck</t>
  </si>
  <si>
    <t>Benefit</t>
  </si>
  <si>
    <t>Connected</t>
  </si>
  <si>
    <t>Contacts</t>
  </si>
  <si>
    <t>Daze</t>
  </si>
  <si>
    <t>Diehard</t>
  </si>
  <si>
    <t>Eidetic Memory</t>
  </si>
  <si>
    <t>Equipment</t>
  </si>
  <si>
    <t>Extraordinary Effort</t>
  </si>
  <si>
    <t>Fascinate</t>
  </si>
  <si>
    <t>Favored Foe</t>
  </si>
  <si>
    <t>Fearless</t>
  </si>
  <si>
    <t>Hide in Plain Sight</t>
  </si>
  <si>
    <t>Improvised Tools</t>
  </si>
  <si>
    <t>Inspire</t>
  </si>
  <si>
    <t>Instant Up</t>
  </si>
  <si>
    <t>Interpose</t>
  </si>
  <si>
    <t>Inventor</t>
  </si>
  <si>
    <t>Jack-of-All-Trades</t>
  </si>
  <si>
    <t>Languages</t>
  </si>
  <si>
    <t>Leadership</t>
  </si>
  <si>
    <t>Luck</t>
  </si>
  <si>
    <t>Minion</t>
  </si>
  <si>
    <t>Ritualist</t>
  </si>
  <si>
    <t>Second Chance</t>
  </si>
  <si>
    <t>Seize Initiative</t>
  </si>
  <si>
    <t>Sidekick</t>
  </si>
  <si>
    <t>Skill Mastery</t>
  </si>
  <si>
    <t>Startle</t>
  </si>
  <si>
    <t>Taunt</t>
  </si>
  <si>
    <t>Teamwork</t>
  </si>
  <si>
    <t>Tracking</t>
  </si>
  <si>
    <t>Trance</t>
  </si>
  <si>
    <t>Ultimate Effort</t>
  </si>
  <si>
    <t>Well-Informed</t>
  </si>
  <si>
    <t>Spend a hero point to gain 5 temporary ranks in a skill.</t>
  </si>
  <si>
    <t>Gain a significant perquisite or fringe benefit.</t>
  </si>
  <si>
    <t>Call in assistance or favors with a Persuasion check.</t>
  </si>
  <si>
    <t>Make an initial Investigation check in one minute.</t>
  </si>
  <si>
    <t>Use Deception or Intimidation to daze an opponent.</t>
  </si>
  <si>
    <t>Total recall, +5 circumstance bonus to remember things.</t>
  </si>
  <si>
    <t>5 points of equipment per rank.</t>
  </si>
  <si>
    <t>Gain two benefits when using extra effort.</t>
  </si>
  <si>
    <t>Use an interaction skill to entrance others.</t>
  </si>
  <si>
    <t>Circumstance bonus to certain checks against a type of opponent.</t>
  </si>
  <si>
    <t>Immune to fear effects.</t>
  </si>
  <si>
    <t>Hide while observed without need for a diversion.</t>
  </si>
  <si>
    <t>Automatically stablize when dying.</t>
  </si>
  <si>
    <t>No penalty for using skills without tools.</t>
  </si>
  <si>
    <t>Spend a hero point to grant allies a +1 circumstance bonus per rank.</t>
  </si>
  <si>
    <t>Stand from prone as a free action.</t>
  </si>
  <si>
    <t>Take an attack meant for an ally.</t>
  </si>
  <si>
    <t>Use Technology to create temporary devices.</t>
  </si>
  <si>
    <t>Use any skill untrained.</t>
  </si>
  <si>
    <t>Speak and understand additional languages.</t>
  </si>
  <si>
    <t>Spend a hero point to remove a condition from an ally.</t>
  </si>
  <si>
    <t>Re-roll a die once per rank.</t>
  </si>
  <si>
    <t>Gain a follower or minion with (15xrank) power points.</t>
  </si>
  <si>
    <t>Use Expertise (Magic) to create and perform rituals.</t>
  </si>
  <si>
    <t>Re-roll a failed check against a hazard once.</t>
  </si>
  <si>
    <t>Spend a hero point to go first in the initiative order.</t>
  </si>
  <si>
    <t>Gain a sidekick with (5xrank) power points.</t>
  </si>
  <si>
    <t>Make routine checks with one skill under any circumstances.</t>
  </si>
  <si>
    <t>Use Intimidation to feint during combat.</t>
  </si>
  <si>
    <t>Use Deception to demoralize in combat.</t>
  </si>
  <si>
    <t>+5 bonus to support team checks.</t>
  </si>
  <si>
    <t>Use Perception to follow tracks.</t>
  </si>
  <si>
    <t>Go into a deathlike trance that slows bodily functions.</t>
  </si>
  <si>
    <t>Spend a hero point to get an effective 20 on a specific check.</t>
  </si>
  <si>
    <t>Immediate Investigation or Persuasion check to know something.</t>
  </si>
  <si>
    <t>Calculations:</t>
  </si>
  <si>
    <t>Jack-of-All-Trades:</t>
  </si>
  <si>
    <t>Calculations</t>
  </si>
  <si>
    <t>Powers</t>
  </si>
  <si>
    <t>Power Name:</t>
  </si>
  <si>
    <t>Power Components</t>
  </si>
  <si>
    <t>Component Name:</t>
  </si>
  <si>
    <t>Power Effect:</t>
  </si>
  <si>
    <t>Type:</t>
  </si>
  <si>
    <t>Action:</t>
  </si>
  <si>
    <t>Range:</t>
  </si>
  <si>
    <t>Duration:</t>
  </si>
  <si>
    <t>Resistance:</t>
  </si>
  <si>
    <t>Base Effect Cost:</t>
  </si>
  <si>
    <t>Basic Description:</t>
  </si>
  <si>
    <t>Relevant Extras:</t>
  </si>
  <si>
    <t>Relevant Flaws:</t>
  </si>
  <si>
    <t>Relevant Flats:</t>
  </si>
  <si>
    <t>Description Modifier:</t>
  </si>
  <si>
    <t>Chosen Extras:</t>
  </si>
  <si>
    <t>Chosen Flaws:</t>
  </si>
  <si>
    <t>Chosen Flats:</t>
  </si>
  <si>
    <t>Base Cost:</t>
  </si>
  <si>
    <t>Extras:</t>
  </si>
  <si>
    <t>Flaws:</t>
  </si>
  <si>
    <t>Rank:</t>
  </si>
  <si>
    <t>Flat Modifiers:</t>
  </si>
  <si>
    <t>Component Cost:</t>
  </si>
  <si>
    <t>Power Effects</t>
  </si>
  <si>
    <t>Name</t>
  </si>
  <si>
    <t>Affliction</t>
  </si>
  <si>
    <t>Energy Absorption</t>
  </si>
  <si>
    <t>Remote Sensing</t>
  </si>
  <si>
    <t>Weaken</t>
  </si>
  <si>
    <t>Action</t>
  </si>
  <si>
    <t>Range</t>
  </si>
  <si>
    <t>Duration</t>
  </si>
  <si>
    <t>Resistance</t>
  </si>
  <si>
    <t>Base Cost</t>
  </si>
  <si>
    <t>Basic Description</t>
  </si>
  <si>
    <t>Extra</t>
  </si>
  <si>
    <t>Flaws</t>
  </si>
  <si>
    <t>Flats</t>
  </si>
  <si>
    <t>Attack</t>
  </si>
  <si>
    <t>Alternate Form</t>
  </si>
  <si>
    <t>Blast</t>
  </si>
  <si>
    <t>Burrow</t>
  </si>
  <si>
    <t>Communication</t>
  </si>
  <si>
    <t>Comprehend</t>
  </si>
  <si>
    <t>Concealment</t>
  </si>
  <si>
    <t>Create</t>
  </si>
  <si>
    <t>Damage</t>
  </si>
  <si>
    <t>Dazzle</t>
  </si>
  <si>
    <t>Deflect</t>
  </si>
  <si>
    <t>Duplication</t>
  </si>
  <si>
    <t>Element Control</t>
  </si>
  <si>
    <t>Elongation</t>
  </si>
  <si>
    <t>Energy Aura</t>
  </si>
  <si>
    <t>Energy Control</t>
  </si>
  <si>
    <t>Enhanced Trait</t>
  </si>
  <si>
    <t>Environment</t>
  </si>
  <si>
    <t>Extra Limbs</t>
  </si>
  <si>
    <t>Feature</t>
  </si>
  <si>
    <t>Flight</t>
  </si>
  <si>
    <t>Force Field</t>
  </si>
  <si>
    <t>Growth</t>
  </si>
  <si>
    <t>Healing</t>
  </si>
  <si>
    <t>Illusion</t>
  </si>
  <si>
    <t>Immortality</t>
  </si>
  <si>
    <t>Immunity</t>
  </si>
  <si>
    <t>Insubstantial</t>
  </si>
  <si>
    <t>Invisibility</t>
  </si>
  <si>
    <t>Leaping</t>
  </si>
  <si>
    <t>Luck Control</t>
  </si>
  <si>
    <t>Magic</t>
  </si>
  <si>
    <t>Mental Blast</t>
  </si>
  <si>
    <t>Mimic</t>
  </si>
  <si>
    <t>Mind Control</t>
  </si>
  <si>
    <t>Mind Reading</t>
  </si>
  <si>
    <t>Morph</t>
  </si>
  <si>
    <t>Move Object</t>
  </si>
  <si>
    <t>Movement</t>
  </si>
  <si>
    <t>Nullify</t>
  </si>
  <si>
    <t>Power-Lifting</t>
  </si>
  <si>
    <t>Protection</t>
  </si>
  <si>
    <t>Quickness</t>
  </si>
  <si>
    <t>Regeneration</t>
  </si>
  <si>
    <t>Senses</t>
  </si>
  <si>
    <t>Shapeshift</t>
  </si>
  <si>
    <t>Shrinking</t>
  </si>
  <si>
    <t>Sleep</t>
  </si>
  <si>
    <t>Snare</t>
  </si>
  <si>
    <t>Speed</t>
  </si>
  <si>
    <t>Strike</t>
  </si>
  <si>
    <t>Suffocation</t>
  </si>
  <si>
    <t>Summon</t>
  </si>
  <si>
    <t>Super-Speed</t>
  </si>
  <si>
    <t>Swimming</t>
  </si>
  <si>
    <t>Teleport</t>
  </si>
  <si>
    <t>Transform</t>
  </si>
  <si>
    <t>Variable</t>
  </si>
  <si>
    <t>Close</t>
  </si>
  <si>
    <t>Instant</t>
  </si>
  <si>
    <t>Fort or Will</t>
  </si>
  <si>
    <t>1 per rank</t>
  </si>
  <si>
    <t>Impose some debilitating condition(s) on a target.</t>
  </si>
  <si>
    <t>Alternate Resistance (+0), Concentration (+1), Cumulative (+1), Extra Condition (+1), Progressive (+2)</t>
  </si>
  <si>
    <t>Instant Recovery (-1), Limited Degree (-1)</t>
  </si>
  <si>
    <t>-</t>
  </si>
  <si>
    <t>Standard</t>
  </si>
  <si>
    <t>Ranged</t>
  </si>
  <si>
    <t>2 per rank</t>
  </si>
  <si>
    <t>Ranged damaging attack.</t>
  </si>
  <si>
    <t>Component</t>
  </si>
  <si>
    <t>Component 1:</t>
  </si>
  <si>
    <t>Component 2:</t>
  </si>
  <si>
    <t>Component 3:</t>
  </si>
  <si>
    <t>Component 4:</t>
  </si>
  <si>
    <t>Component 5:</t>
  </si>
  <si>
    <t>Component 6:</t>
  </si>
  <si>
    <t>Component 7:</t>
  </si>
  <si>
    <t>Component 8:</t>
  </si>
  <si>
    <t>Component 9:</t>
  </si>
  <si>
    <t>Component 10:</t>
  </si>
  <si>
    <t>Component Type</t>
  </si>
  <si>
    <t>Power Effect</t>
  </si>
  <si>
    <t>Description Mod</t>
  </si>
  <si>
    <t>Defenses</t>
  </si>
  <si>
    <t>Cost Calculation</t>
  </si>
  <si>
    <t>Free</t>
  </si>
  <si>
    <t>Personal</t>
  </si>
  <si>
    <t>Sustained</t>
  </si>
  <si>
    <t>You can fly through the air, including hovering.</t>
  </si>
  <si>
    <t>Continuous (+1)</t>
  </si>
  <si>
    <t>Aquatic (+1), Subtle (+1 or +2)</t>
  </si>
  <si>
    <t>Concentration (-1), Distracting (-1), Gliding, (-1), Levitation (-1), Platform (-1), Wings (-1)</t>
  </si>
  <si>
    <t xml:space="preserve">With the third edition of Mutants and Masterminds, powers are grouped together.  A group may contain a single power, be a collection of multiple powers that work together, or can be made up of an array of powers similar to 2E.  I have decided to try to break powers down into two chunks: the components and the group.
This worksheet is for creating components of powers.  You will then group those components together on the Powers sheet.  Each Power must contain at least one component.  The component does NOT to have the same name as the Power Effect (because you may the same Effect from muliple powers).
Example: Superman (from DC Hero's Handbook) has the Power "Invulnerability".  It has Protection 4, Impervious Toughness 18, and Immunity 10 as components.  On this worksheet you would create those three seperate components.  On the Powers worksheet, you would then combine them into the "Invulnerability" power.  </t>
  </si>
  <si>
    <t>General</t>
  </si>
  <si>
    <t>You can perform routine tasks fast.</t>
  </si>
  <si>
    <t>Limited to One Type (-1), Limited to One Task (-2)</t>
  </si>
  <si>
    <t>Add checks for alternate powers (ensure they don't exceed points allowance)</t>
  </si>
  <si>
    <t>Future</t>
  </si>
  <si>
    <t>You can move faster than normal.</t>
  </si>
  <si>
    <t>None</t>
  </si>
  <si>
    <t>Description Modifier</t>
  </si>
  <si>
    <t>Total Cost:</t>
  </si>
  <si>
    <t>Defense</t>
  </si>
  <si>
    <t>Permanent</t>
  </si>
  <si>
    <t>Protection shields you against damage, giving you +1 Toughness defense per rank.</t>
  </si>
  <si>
    <t>Sustained (0)</t>
  </si>
  <si>
    <t>Impervious Toughness</t>
  </si>
  <si>
    <t>You are immune to certain effects.</t>
  </si>
  <si>
    <t>Your Toughness defense becomes Impervious up to your rank.  This does not add to your Toughness defense.</t>
  </si>
  <si>
    <t>Affects Others (+1), Sustained (+0), Ranged (+1), Reflect (+1), Redirect (+1)</t>
  </si>
  <si>
    <t>Limited to Half Effect (-1)</t>
  </si>
  <si>
    <t>Sensory</t>
  </si>
  <si>
    <t>One or more of your senses are improved or you have additional sensory abilities beyond the normal five senses.</t>
  </si>
  <si>
    <t>Affects Others (+1), Area (+1), Dimensional (+1), Ranged (+1 or +2)</t>
  </si>
  <si>
    <t>Limited (-1), Unreliable (-1)</t>
  </si>
  <si>
    <t>Innate (+1), Noticeable (-1)</t>
  </si>
  <si>
    <t>Enhanced Strength</t>
  </si>
  <si>
    <t>Enhanced Stamina</t>
  </si>
  <si>
    <t>Enhanced Agility</t>
  </si>
  <si>
    <t>Enhanced Dexterity</t>
  </si>
  <si>
    <t>Enhanced Fighting</t>
  </si>
  <si>
    <t>Enhanced Intellect</t>
  </si>
  <si>
    <t>Enhanced Awareness</t>
  </si>
  <si>
    <t>Enhanced Presence</t>
  </si>
  <si>
    <t>As base trait</t>
  </si>
  <si>
    <t>Limited (-1), Permanent (+0)</t>
  </si>
  <si>
    <t>Reduced Trait (equal to lowered trait)</t>
  </si>
  <si>
    <t>You can temporarily improve one of your existing traits.</t>
  </si>
  <si>
    <t>Prometheus</t>
  </si>
  <si>
    <t>Lex Luthor</t>
  </si>
  <si>
    <t>The Joker, Prometheus</t>
  </si>
  <si>
    <t>Cheetah, Darkseid, Gorilla Grodd, The Joker, Prometheus</t>
  </si>
  <si>
    <t>Government Agent, Police Officer, Crime Lord, Thug</t>
  </si>
  <si>
    <t>Robot, Zombie</t>
  </si>
  <si>
    <t>DC ADVENTURES</t>
  </si>
  <si>
    <t>HERO</t>
  </si>
  <si>
    <t>PLAYER</t>
  </si>
  <si>
    <t>IDENTITY</t>
  </si>
  <si>
    <t>TYPE OF IDENTITY</t>
  </si>
  <si>
    <t>GENDER</t>
  </si>
  <si>
    <t>AGE</t>
  </si>
  <si>
    <t>HEIGHT</t>
  </si>
  <si>
    <t>WEIGHT</t>
  </si>
  <si>
    <t>EYES</t>
  </si>
  <si>
    <t>HAIR</t>
  </si>
  <si>
    <t>GROUP AFFILIATION</t>
  </si>
  <si>
    <t>BASE OF OPERATIONS</t>
  </si>
  <si>
    <t>POWER LEVEL</t>
  </si>
  <si>
    <t>ABILITIES</t>
  </si>
  <si>
    <t>POWERS</t>
  </si>
  <si>
    <t>ADVANTAGES</t>
  </si>
  <si>
    <t>SKILLS</t>
  </si>
  <si>
    <t>DEFENSES</t>
  </si>
  <si>
    <t>STRENGTH</t>
  </si>
  <si>
    <t>AWARENESS</t>
  </si>
  <si>
    <t>STAMINA</t>
  </si>
  <si>
    <t>AGILITY</t>
  </si>
  <si>
    <t>DEXTERITY</t>
  </si>
  <si>
    <t>FIGHTING</t>
  </si>
  <si>
    <t>INTELLECT</t>
  </si>
  <si>
    <t>PRESENCE</t>
  </si>
  <si>
    <t>DODGE</t>
  </si>
  <si>
    <t>PARRY</t>
  </si>
  <si>
    <t>FORTITUDE</t>
  </si>
  <si>
    <t>WILLPOWER</t>
  </si>
  <si>
    <t>TOUGHNESS</t>
  </si>
  <si>
    <t>+</t>
  </si>
  <si>
    <t>DEF ROLL</t>
  </si>
  <si>
    <t>PROT</t>
  </si>
  <si>
    <t>INITIATIVE</t>
  </si>
  <si>
    <t>Offensive Abilities</t>
  </si>
  <si>
    <t>Offensive Ability</t>
  </si>
  <si>
    <t>Other</t>
  </si>
  <si>
    <t>Close Combat or Ranged Combat Skill</t>
  </si>
  <si>
    <t>Combat Specializations List:</t>
  </si>
  <si>
    <t>--- Close Combat Skills ---</t>
  </si>
  <si>
    <t>--- Ranged Combat Skills ---</t>
  </si>
  <si>
    <t>Skill Value</t>
  </si>
  <si>
    <t>Other Notes</t>
  </si>
  <si>
    <t>Ranged  Attack</t>
  </si>
  <si>
    <t>Notes:</t>
  </si>
  <si>
    <t>Advantage refers to either the Close Attack or Ranged Attack advantages.</t>
  </si>
  <si>
    <t>Close Combat or Ranged Combat Skill refers to the specialization that you choose when you take that skill.</t>
  </si>
  <si>
    <t>If you do not have a Close Combat or Ranged Combat skill with a particular weapon, leave it blank and the spreadsheet will use either your Dexterity or Fighting score.</t>
  </si>
  <si>
    <t>Ability Value</t>
  </si>
  <si>
    <t>Final Value
To-Hit</t>
  </si>
  <si>
    <t>OFFENSE</t>
  </si>
  <si>
    <t>TO-HIT</t>
  </si>
  <si>
    <t>POWER</t>
  </si>
  <si>
    <t>NOTES</t>
  </si>
  <si>
    <t>TOTAL</t>
  </si>
  <si>
    <t>POWER POINTS</t>
  </si>
  <si>
    <t>HERO POINTS</t>
  </si>
  <si>
    <t>Complications</t>
  </si>
  <si>
    <t>Description</t>
  </si>
  <si>
    <t>Individual Descriptions</t>
  </si>
  <si>
    <t>Combined Descriptions</t>
  </si>
  <si>
    <t>EQUIPMENT</t>
  </si>
  <si>
    <t>Custom Equipment Components</t>
  </si>
  <si>
    <t>Like Powers, Equipment can be made up of multiple components.  Green Arrow's "Bow and Arrows", for example, contains 6 components: the standard arrow and then the other 5 arrow types as alternate effects.
To build Green Arrow's bow, you would create a Component for the standard arrow (blast 5), a component for the Cable Arrow (movement: swinging), etc.  Then on the Equipment page, you would create "Bow and Arrow", make the Standard Arrow your first component and the other arrows as Alternates.
The DC Adventures Book contains multiple lists of standard equipment such as guns, armor, vehicles, and gear.  Standard equipment does not need to be created.  You can select it from a list.</t>
  </si>
  <si>
    <t>You have a special form of movement.</t>
  </si>
  <si>
    <t>Custom Equipment</t>
  </si>
  <si>
    <t>Equipment Points</t>
  </si>
  <si>
    <t>Equipment Ranks</t>
  </si>
  <si>
    <t>Points Used</t>
  </si>
  <si>
    <t>Points Remaining</t>
  </si>
  <si>
    <t>Eq Name:</t>
  </si>
  <si>
    <t>Create character sheet similar to the DC Adventures one.</t>
  </si>
  <si>
    <t>Varies</t>
  </si>
  <si>
    <t>See desc</t>
  </si>
  <si>
    <t>Rank</t>
  </si>
  <si>
    <t>4 per rank</t>
  </si>
  <si>
    <t>Control</t>
  </si>
  <si>
    <t>Reaction</t>
  </si>
  <si>
    <t>1-2 per rank</t>
  </si>
  <si>
    <t>1-4 per rank</t>
  </si>
  <si>
    <t>5 per rank</t>
  </si>
  <si>
    <t>4 or 8</t>
  </si>
  <si>
    <t>3 per rank</t>
  </si>
  <si>
    <t>8 per rank</t>
  </si>
  <si>
    <t>Concentration</t>
  </si>
  <si>
    <t>Rank/Will</t>
  </si>
  <si>
    <t>1-5 per rank</t>
  </si>
  <si>
    <t>Move</t>
  </si>
  <si>
    <t>2-5 per rank</t>
  </si>
  <si>
    <t>7 per rank</t>
  </si>
  <si>
    <t>You can transform into something other than mere flesh and blood.  (NOTE: This is more of a power than a component)</t>
  </si>
  <si>
    <t>You can burrow throught the ground, leaving a tunnel behind if you choose.</t>
  </si>
  <si>
    <t>Penetrating (+1), Ranged (+1 or +2)</t>
  </si>
  <si>
    <t>Limited (-1)</t>
  </si>
  <si>
    <t>You can communicate over a distance using a medium other than your normal voice.</t>
  </si>
  <si>
    <t>Area (+1), Selective (+1)</t>
  </si>
  <si>
    <t>Limited (-1), Sense-Dependent (-1)</t>
  </si>
  <si>
    <t>Dimensional (+1), Subtle (+1 or +2)</t>
  </si>
  <si>
    <t>You can comprehend different sorts of communication.</t>
  </si>
  <si>
    <t>Type: Broad (-1), Type: Narrow (-2)</t>
  </si>
  <si>
    <t>You gain total concealment from a particular sense while this effect is active.</t>
  </si>
  <si>
    <t>Affects Others (+1), Area (+1), Attack (+1)</t>
  </si>
  <si>
    <t>Blending (-1), Limited (-1), Partial (-1), Passive (-1), Resistible (-1)</t>
  </si>
  <si>
    <t>Precise (+1)</t>
  </si>
  <si>
    <t>You can form solid objects essentially out of nowhere.</t>
  </si>
  <si>
    <t>Continuous (+1), Impervious (+1), Movable (+1), Selective (+1), Stationary (+0)</t>
  </si>
  <si>
    <t>Feedback (-1), Permanent (+0), Proportional (-1)</t>
  </si>
  <si>
    <t>Innate (+1), Precise (+1), Subtle (+1 or +2), Tether (+1)</t>
  </si>
  <si>
    <t>You can inflict damage by making a close attack.</t>
  </si>
  <si>
    <t>Created Power: Perception Ranged Move Object, Limited to Element</t>
  </si>
  <si>
    <t>Created Power: Enhanced Trait, Fades</t>
  </si>
  <si>
    <t>Created Power: Ranged, Cumulative Affliction, Limited to One Sense</t>
  </si>
  <si>
    <t>Created Power: Summon Duplicate, Active</t>
  </si>
  <si>
    <t>You can actively defend for characters other than yourself, deflecting or diverting attacks.</t>
  </si>
  <si>
    <t>Reflect (+1), Redirect (+1)</t>
  </si>
  <si>
    <t>You can temporarily improve your Stamina. Note: Use this effect for Personal-only powers.</t>
  </si>
  <si>
    <t>You can temporarily improve your Agility. Note: Use this effect for Personal-only powers.</t>
  </si>
  <si>
    <t>You can temporarily improve your Dexterity. Note: Use this effect for Personal-only powers.</t>
  </si>
  <si>
    <t>You can temporarily improve your Fighting. Note: Use this effect for Personal-only powers.</t>
  </si>
  <si>
    <t>You can temporarily improve your Intellect. Note: Use this effect for Personal-only powers.</t>
  </si>
  <si>
    <t>You can temporarily improve your Awareness. Note: Use this effect for Personal-only powers.</t>
  </si>
  <si>
    <t>You can temporarily improve your Presence. Note: Use this effect for Personal-only powers.</t>
  </si>
  <si>
    <t>You can elongate your body and/or limbs to extend your reach.</t>
  </si>
  <si>
    <t>You can surround your bdoy with an aura of damaging energy or similar effect. Created Power: Damage, Reaction</t>
  </si>
  <si>
    <t>You can generate and project a type of energy.  Created Power: Ranged Damage</t>
  </si>
  <si>
    <t>You can change the environment in an area.</t>
  </si>
  <si>
    <t>Selective (+1)</t>
  </si>
  <si>
    <t>You have extra manipulative limbs, such as arms, tentacles, or even prehensile hair or a tail.</t>
  </si>
  <si>
    <t>Continuous (+1), Projection (+1), Sustained (+0)</t>
  </si>
  <si>
    <t>Distracting (-1)</t>
  </si>
  <si>
    <t>You have one or more minor features, effects granting you an occassional useful ability.</t>
  </si>
  <si>
    <t>You can surround your body with a protective field.  Created Power: Protection, Sustained</t>
  </si>
  <si>
    <t>You can temporarily increase your size.</t>
  </si>
  <si>
    <t>Permanent (+0)</t>
  </si>
  <si>
    <t>Take Growth into consideration for STR and STA checks.</t>
  </si>
  <si>
    <t>You can heal Damage conditions by touching a subject and taking a standard action.</t>
  </si>
  <si>
    <t>Action (+1), Affects Objects (+1), Area (+1), Energizing (+1), Perception (+1), Ranged (+1), Restorative (+1), Resurrection (+1), Selective (+1)</t>
  </si>
  <si>
    <t>Empathic (-1), Limited (-1), Temporary (-1)</t>
  </si>
  <si>
    <t>Persistent (+1), Stabilize (+1)</t>
  </si>
  <si>
    <t>You can control others' senses to create false impressions or illusions.</t>
  </si>
  <si>
    <t>Independent (+1), Selective (+1)</t>
  </si>
  <si>
    <t>Feedback (-1), Limited to One Subject (-1), Ranged (-1), Resistible (-1)</t>
  </si>
  <si>
    <t>You can recover from death!</t>
  </si>
  <si>
    <t>You can assume a less solid form, with each rank becoming progressively less solid.</t>
  </si>
  <si>
    <t>Affects Others (+0 or +1), Attack (+0 or +1), Continuous (+1), Progressive (+0), Reaction (+1)</t>
  </si>
  <si>
    <t>Affects Corporeal (+1), Innate (+1), Precise (+1), Subtle (+1 or +2), Absent Strength (-1)</t>
  </si>
  <si>
    <t>You can vanish from sight at will.  Created Power: Visual Concealment</t>
  </si>
  <si>
    <t>You can make prodigious leaps, far more than even a skilled athlete.</t>
  </si>
  <si>
    <t>You are a sorcerer, witch, or wizard able to cast a variety of spells.  Your basic effect is a Blast (Ranged Damage).</t>
  </si>
  <si>
    <t>Affects Others (+0 or +1)</t>
  </si>
  <si>
    <t>Acrobatics Check Required (-1)</t>
  </si>
  <si>
    <t>Full Power (-1)</t>
  </si>
  <si>
    <t>You influence luck in various ways.</t>
  </si>
  <si>
    <t>Action (-1), Ranged (-1), Resistible (-1), Side Effect (-1)</t>
  </si>
  <si>
    <t>Luck (+1 per rank)</t>
  </si>
  <si>
    <t>You can strike targets' minds with "mental force".  Created Power: Perception Ranged Damage, Resisted by Will</t>
  </si>
  <si>
    <t>You can duplicate the traits of another character you can perceive.  Created Power: Variable</t>
  </si>
  <si>
    <t>You can impose your will on others.  Created Power: Perception Ranged, Cumulative Affliction, Resisted by Will</t>
  </si>
  <si>
    <t>You can read another character's mind.</t>
  </si>
  <si>
    <t>Cumulative (+1), Effortless (+1), Sensory Link (+1)</t>
  </si>
  <si>
    <t>Close (-1), Feedback (-1), Limited by Language (-1), Limited to Emotions (-1), Limited to Sensory Link (-1), Ranged (-1), Sense-Dependent (-1)</t>
  </si>
  <si>
    <t>Subtle (+1 or +2)</t>
  </si>
  <si>
    <t>You can alter your appearance.</t>
  </si>
  <si>
    <t>Attack (+0)</t>
  </si>
  <si>
    <t>Resistible (-1)</t>
  </si>
  <si>
    <t>Metamorph (+1 per rank)</t>
  </si>
  <si>
    <t>You can move objects at a distance without touching them.</t>
  </si>
  <si>
    <t>Improvised Weapon or Throwing Mastery (+1 per rank), Precise (+1), Subtle (+1)</t>
  </si>
  <si>
    <t>Continuous (+2), Damaging (+1), Perception (+1), Sustained (+1)</t>
  </si>
  <si>
    <t>Close (-1), Limited Direction (-1), Limited Material (-1)</t>
  </si>
  <si>
    <t>Nullify can counter effects of a particular descriptor, such as fire or magic.</t>
  </si>
  <si>
    <t>Alternate Resistance (+0), Area (+1), Broad (+1), Concentration (+1), Simultaneous (+1), Effortless (+1), Randomize (+0), Selective (+1), Sustained (+1)</t>
  </si>
  <si>
    <t>Side Effect (-1)</t>
  </si>
  <si>
    <t>Your lifting and carrying capacity is out of proportion with the rest of your Strength.  Created Power: Enhanced Strength, Limited to Lifting</t>
  </si>
  <si>
    <t>You recover quickly from damage.</t>
  </si>
  <si>
    <t>Persistent (+1)</t>
  </si>
  <si>
    <t>Source (-1)</t>
  </si>
  <si>
    <t>You can displace one or more of your senses over a distance.</t>
  </si>
  <si>
    <t>No Conduit (+1), Simultaneous (+1)</t>
  </si>
  <si>
    <t>Feedback (-1), Medium (-1)</t>
  </si>
  <si>
    <t>Dimensional (+1 per rank), Subtle (+1 per rank), Noticeable (-1)</t>
  </si>
  <si>
    <t>You can transform into different forms, gaining physical traits.  Created Power: Variable</t>
  </si>
  <si>
    <t>You cause the target to feel tremendous weariness.  Created Power: Ranged Affliction, Resisted by Fortitude</t>
  </si>
  <si>
    <t>You can temporarily decrease your size.</t>
  </si>
  <si>
    <t>Normal Strength (+1)</t>
  </si>
  <si>
    <t>Atomic (+1)</t>
  </si>
  <si>
    <t>Take Shrinking into consideration (and check for Normal Strength)</t>
  </si>
  <si>
    <t>You can restrain a target with bonds.  Created Power: Ranged, Cumulative Affliction, Extra Condition, Resisted by Dodge, Limited Degree</t>
  </si>
  <si>
    <t>You inflict additional damage in close combat.  Created Power: Damage</t>
  </si>
  <si>
    <t>You render the target unable to breath.  Created Power: Ranged, Progressive Affliction, Resisted by Fortitude</t>
  </si>
  <si>
    <t>You can call upon another creature to aid you.</t>
  </si>
  <si>
    <t>Active (+1), Controlled (+1), Heroic (+2), Horde (+1), Multiple Minions (+2), Variable Type (+1 or +2)</t>
  </si>
  <si>
    <t>Mental Link (+1), Sacrifice (+1)</t>
  </si>
  <si>
    <t>Attitude (-1 or -2), Resistible (-1)</t>
  </si>
  <si>
    <t>You are fast!  Created Power: Enhanced Initiative, Quickness, Speed.</t>
  </si>
  <si>
    <t>You can temporarily improve your Initiative. Note: Use this effect for Personal-only powers.</t>
  </si>
  <si>
    <t>Enhanced Initiative</t>
  </si>
  <si>
    <t>You can swim fast.</t>
  </si>
  <si>
    <t>You can move instantly from place to place.</t>
  </si>
  <si>
    <t>Accurate (+1), Easy (+1), Extended (+1), Portal (+2)</t>
  </si>
  <si>
    <t>Limited to Extended (-1), Medium (-1)</t>
  </si>
  <si>
    <t>Change Direction (+1), Change Velocity (+1), Increased Mass (+1), Turnabout (+1)</t>
  </si>
  <si>
    <t>You can change objects into other objects.</t>
  </si>
  <si>
    <t>You can gain or use potentially any effect of the appropriate type and descriptor!</t>
  </si>
  <si>
    <t>Action (+1, +2, or +3), Affects Others (+0 or +1), Perception (+1), Ranged (+1)</t>
  </si>
  <si>
    <t>Limited (-1 or more), Slow (-1)</t>
  </si>
  <si>
    <t>You can temporarily lower one of your target's traits.</t>
  </si>
  <si>
    <t>Affects Objects (+1), Broad (+1), Concentration (+1), Progressive (+2), Selective (+1), Simultaneous (+1)</t>
  </si>
  <si>
    <t>Incurable (+1), Precise (+1)</t>
  </si>
  <si>
    <t/>
  </si>
  <si>
    <t>Enhanced Dodge</t>
  </si>
  <si>
    <t>Enhanced Fortitude</t>
  </si>
  <si>
    <t>Enhanced Parry</t>
  </si>
  <si>
    <t>You can temporarily improve your Dodge defense. Note: Use this effect for Personal-only powers.</t>
  </si>
  <si>
    <t>You can temporarily improve your Fortitude defense. Note: Use this effect for Personal-only powers.</t>
  </si>
  <si>
    <t>You can temporarily improve your Parry defense. Note: Use this effect for Personal-only powers.</t>
  </si>
  <si>
    <t>Standard Equipment</t>
  </si>
  <si>
    <t>Custom equipment is built the same way as custom powers.  Name your equipment and then assign it equipment components.  You may choose Normal, Alternate, Dynamic, and None (just as you could with powers).
Standard equipment is from the book and you just need the name and points value.</t>
  </si>
  <si>
    <t>Standard Equipment Description</t>
  </si>
  <si>
    <t>Added Standard Equipment to Equipment page and Chararacter Sheet 1.</t>
  </si>
  <si>
    <t>Enhanced Will</t>
  </si>
  <si>
    <t>You can temporarily improve your Strength. Note: Use this effect for Personal-only powers.  Do not use this for Lifting-Only strength (use Power-Lifting).</t>
  </si>
  <si>
    <t>Finished Enhanced Trait calculations for Ability and Defense scores.</t>
  </si>
  <si>
    <t>Version 1.04</t>
  </si>
  <si>
    <t xml:space="preserve">Extended the Advantages list to 34 (Batman has 33!).  </t>
  </si>
  <si>
    <t>Fixed a bug on the calculations page that didn't take advantages into consideration.</t>
  </si>
  <si>
    <t>Forums Output</t>
  </si>
  <si>
    <t>[b]Abilities[/b]</t>
  </si>
  <si>
    <t>[b]Powers[/b]</t>
  </si>
  <si>
    <t>Character Sheet Output</t>
  </si>
  <si>
    <t>variable</t>
  </si>
  <si>
    <t>Use this for any other powers or effects you need to include.</t>
  </si>
  <si>
    <t>Forums Sheet Output</t>
  </si>
  <si>
    <t>[b]Equipment[/b]</t>
  </si>
  <si>
    <t>[b]Skills[/b]</t>
  </si>
  <si>
    <t>Concatenate and remove the last comma</t>
  </si>
  <si>
    <t>[b]Offense[/b]</t>
  </si>
  <si>
    <t>Concatenate</t>
  </si>
  <si>
    <t>[b]Defense[/b]</t>
  </si>
  <si>
    <t>[b]Power Points[/b]</t>
  </si>
  <si>
    <t>[b]Complications[/b]</t>
  </si>
  <si>
    <t>Design Notes</t>
  </si>
  <si>
    <t>Note: Used for output for the forums or just notes for yourself.</t>
  </si>
  <si>
    <t>[b]Design Notes[/b]</t>
  </si>
  <si>
    <t>End Cut-and-Paste Here</t>
  </si>
  <si>
    <t>Begin Cut-and-Paste Here</t>
  </si>
  <si>
    <t>Note: Depending on your OS, you may end up with some extra quotation marks (").  You may have to manually remove these after you perform the paste action into the forum message.</t>
  </si>
  <si>
    <t>Version 1.05</t>
  </si>
  <si>
    <t>Added forums output.  Still a work in progress.</t>
  </si>
  <si>
    <t>Improved initiative</t>
  </si>
  <si>
    <t>Fixed Improved Initiative calculation.</t>
  </si>
  <si>
    <t>Ability Score Matrix</t>
  </si>
  <si>
    <t>STA</t>
  </si>
  <si>
    <t>Version 1.06</t>
  </si>
  <si>
    <t>Changed Expertise to be able to use any Ability, not just INT.</t>
  </si>
  <si>
    <t>Version 1.07</t>
  </si>
  <si>
    <t xml:space="preserve">Converted to Excel 97-2003 version.  </t>
  </si>
  <si>
    <t>Import / Export functionality (possibly using XML)</t>
  </si>
  <si>
    <t>Version 1.08</t>
  </si>
  <si>
    <t>Changed the formatting on the Forums Output.</t>
  </si>
  <si>
    <t>Fixed "toughess" type.</t>
  </si>
  <si>
    <t>Added power points to the power output for the Forums Output.</t>
  </si>
  <si>
    <t>Custom</t>
  </si>
  <si>
    <t>Use this Power Effect to represent any other effect you want.  The output will include the Power Component name.</t>
  </si>
  <si>
    <t>Version 1.09</t>
  </si>
  <si>
    <t>Added a "Custom" Power Effect for things like devices or other misc. categories.</t>
  </si>
  <si>
    <t>Error Checking</t>
  </si>
  <si>
    <t>Skill Modifier</t>
  </si>
  <si>
    <t>Attack and Effect</t>
  </si>
  <si>
    <t>Dodge and Toughness</t>
  </si>
  <si>
    <t>Parry and Toughness</t>
  </si>
  <si>
    <t>Fortitude and Will</t>
  </si>
  <si>
    <t>Ability Rank + Skill Rank + Advantage Modifiers &lt;= PL + 10</t>
  </si>
  <si>
    <t>Attack + Effect</t>
  </si>
  <si>
    <t>Maximum Value</t>
  </si>
  <si>
    <t>Total of Attack Bonus and Effect Rank &lt;= PL x 2</t>
  </si>
  <si>
    <t>Total of Dodge and Toughness &lt;= PL x 2</t>
  </si>
  <si>
    <t>Total of Parry and Toughness &lt;= PL x 2</t>
  </si>
  <si>
    <t>Total of Fortitude and Will &lt;= PL x 2</t>
  </si>
  <si>
    <t>Power Cost Ratios</t>
  </si>
  <si>
    <t>Version 1.10</t>
  </si>
  <si>
    <t>Caught a math error with Effect Base Cost + Extras - Flaws being a negative number.  Added the ratios</t>
  </si>
  <si>
    <t>properly so that 0 = 1/2, -1 = 1/3, -2 = 1/4, -3 and lower = 1/5.</t>
  </si>
  <si>
    <t>Fixed Enhanced Strength.  Misssed a formula.</t>
  </si>
  <si>
    <t>Added basic error checking to the calculations page.</t>
  </si>
  <si>
    <t>Version 1.11</t>
  </si>
  <si>
    <t>Fixed the negative costs for custom powers issue.  I added custom powers to handle negative costs</t>
  </si>
  <si>
    <t>and then immediately made it impossible to use correctly.</t>
  </si>
  <si>
    <t>Cost Calcs</t>
  </si>
  <si>
    <t>B+E-F</t>
  </si>
  <si>
    <t>Custom?</t>
  </si>
  <si>
    <t>Multiplier</t>
  </si>
  <si>
    <t>Rank x M</t>
  </si>
  <si>
    <t>Note: There is a component called "Custom".  You can use that for any other category of power.  It was specifically designed for devices.  For a device, the component name would be something like "Removable", the Power Effect "Custom", the Base Cost "-5" (or whatever based on the cost of the power), and the Rank "1".  When building the Power on the next page, it is easiest to understand if the Custom Component is chosen first.
For Enhanced Ability Scores or Defenses, if the modify applies only to this character, you should choose the specific Enhance XXX power effect.  This is for spreadsheet calculation purposes.</t>
  </si>
  <si>
    <t>Fixed Equipment page - some had component pull-downs for powers, not equipment.</t>
  </si>
  <si>
    <t>Output Information</t>
  </si>
  <si>
    <t>If you choose YES, the character sheet will print the contents of the Extras, Flaws, and Flats for powers and custom equipment.  If you choose NO, it will only print what is in the description modifier box.</t>
  </si>
  <si>
    <t>Print Extras, Flaws, Flats?             (Default: YES)</t>
  </si>
  <si>
    <t>Added Output Information to the Basics sheet.  You can now choose if you want your output for powers</t>
  </si>
  <si>
    <t>to show just the Description Modifier or also the Extras/Flaws/Flats.</t>
  </si>
  <si>
    <t>For the purposes of this character builder, Powers are made up of components.  Even if you only want a Flight power, you must first create the Flight component and then add it to a Flight power.  It sounds convoluted but Mutants and Masterminds 3E is all about flexibility and this chargen is trying to implment that level of flexibility.
What can be more confusing is that powers can simply stack (like Superman's Invulnerability granting Protection, Impervious Toughness, and Immunity) or be an Alternate Effect (like Superman's Flight granting both Flight and Quickness but only one can be used as an Alter).  The costs for each component of Invulnerability would be combined.  The alternate effect in the Flight array would only cost a point.  
To represent this, when you add a power to an array, you can choose from: Normal (add the cost to the power), Alternate Effect (add only 1 point), Dynamic (add 2 points), or None (add 0 points for powers calculated elsewhere).  Note: If the first power component in a power needs to be dynamic, you will need to add a flat +1 modifier to pay for the costs.</t>
  </si>
  <si>
    <t>Examples</t>
  </si>
  <si>
    <t>The power creation system in Mutants and Masterminds gives you unlimited flexibility in designing your powers.  Sometimes though, that can be a little overwhelming.  On this worksheet, you can use the pull-down menu to see examples of how others have implmented powers.
These are not intended to be "standards" for any types of powers.  Each campaign is different and you should feel free to modify these powers however best suits your game.  
Currently there is no way to cut-and-paste from this sheet to the power components or equipment components pages.  That may be a future option.  Right now though, you unfortunately just have to keep flipping back and forth (or have a much better short-term memory than mine).</t>
  </si>
  <si>
    <t>Sample Power:</t>
  </si>
  <si>
    <t>Source:</t>
  </si>
  <si>
    <t>Power Examples</t>
  </si>
  <si>
    <t>Power</t>
  </si>
  <si>
    <t>Source</t>
  </si>
  <si>
    <t>Example</t>
  </si>
  <si>
    <t>Version 1.12</t>
  </si>
  <si>
    <t>Emergency release to fix some terrible lookup error in Power Component costs.</t>
  </si>
  <si>
    <t>Ranks Taken</t>
  </si>
  <si>
    <t>A warning will be displayed if you are using a fraction of a point.</t>
  </si>
  <si>
    <t>Version 1.13</t>
  </si>
  <si>
    <t>Added a calculation to show how many ranks in skills and warn about remaining points.</t>
  </si>
  <si>
    <t>Fixed a toughness calculation on the main character sheet.</t>
  </si>
  <si>
    <t>Fixed a math error on the calculations page when determining final attack value.</t>
  </si>
  <si>
    <t>Ranged Damage</t>
  </si>
  <si>
    <t>Version 1.14</t>
  </si>
  <si>
    <t>Added the Ranged Damage power component since they seem to like using it in the book</t>
  </si>
  <si>
    <t xml:space="preserve"> instead of Blast (which is the same thing).</t>
  </si>
  <si>
    <t>Renamed and colorized the tabs.  Got tired of scrolling back and forth between sheets.</t>
  </si>
  <si>
    <t>Added the DCA style character sheets.  Makes this file a LOT bigger.  I'll probably have two versions</t>
  </si>
  <si>
    <t>Corrected Enhanced Defenses math, equipment protection, and Enhanced Will/Willpower.</t>
  </si>
  <si>
    <t xml:space="preserve">of the sheet for download from now on.  Do not try to change the view scale of the DCA sheets!  </t>
  </si>
  <si>
    <t>It will make them look funny and you'll panic!  The sheets only work because of a goofy combination</t>
  </si>
  <si>
    <t>of Custom Header Images and background images sized just right.</t>
  </si>
  <si>
    <t>Version 1.15</t>
  </si>
  <si>
    <t>While waiting for feedback about the DCA Character sheet, I'm working on XML imports and exports.</t>
  </si>
  <si>
    <t>XML Imports and Exports</t>
  </si>
  <si>
    <t>New in version 1.15, I've added the ability to export character data and then import it later (like into</t>
  </si>
  <si>
    <t>a later version of this spreadsheet.  This should cut down on having to re-type characters each time</t>
  </si>
  <si>
    <t>I make a slight modification to this spreadsheet.</t>
  </si>
  <si>
    <t>Here's how it's done:</t>
  </si>
  <si>
    <t>To export your current character, go to DATA -&gt; XML -&gt; Export</t>
  </si>
  <si>
    <t>To import, load up a new sheet and go to DATA -&gt; XML -&gt; Import</t>
  </si>
  <si>
    <t>Impervious</t>
  </si>
  <si>
    <t>One trait that you specify becomes Impervious.</t>
  </si>
  <si>
    <t>You can temporarily improve your Will defense. Note: Use this effect for Personal-only powers.</t>
  </si>
  <si>
    <t>Read the directions above and to the right.</t>
  </si>
  <si>
    <t>Standard Equipment:</t>
  </si>
  <si>
    <t>Version 1.16</t>
  </si>
  <si>
    <t xml:space="preserve">Finished the XML stuff for Equipment.  </t>
  </si>
  <si>
    <t>Version 1.17</t>
  </si>
  <si>
    <t>Power Components that have limited in the Description (or Flaws if you have Print Extras/Flaws/Flats</t>
  </si>
  <si>
    <t>turned on) will not add to your ability, defense, or protection values.</t>
  </si>
  <si>
    <t>Custom Sheet ability scores point towards total value, not the base value.</t>
  </si>
  <si>
    <t>Removed the DCA sheet for now.  Working on it using a different spreadsheet.  I'm just having some</t>
  </si>
  <si>
    <t>serious issues with the formatting and I don't want to include it for public release.  I'll keep working</t>
  </si>
  <si>
    <t>on it in the background.</t>
  </si>
  <si>
    <t>[b]Advantages[/b]</t>
  </si>
  <si>
    <t>Fixed typo for Advantages on the Forums Output.</t>
  </si>
  <si>
    <t>If you don't see XML options, you may have to enable the Developer ribbon in the Excel 2007 menu</t>
  </si>
  <si>
    <t>structure.  If you're using OpenOffice… I have no idea how to do it.  Maybe someone will explain it</t>
  </si>
  <si>
    <t>to me and I can give directions here.</t>
  </si>
  <si>
    <t>Done</t>
  </si>
  <si>
    <t>On Hold</t>
  </si>
  <si>
    <t>Version 1.18</t>
  </si>
  <si>
    <t>Fixed a bug in the skill ranks math that was introduced when I added XML import/export support.</t>
  </si>
  <si>
    <t>Normal</t>
  </si>
  <si>
    <t>Enhanced Advantages</t>
  </si>
  <si>
    <t>Ranged Affliction</t>
  </si>
  <si>
    <t>Your powers grant you additional Advantages.</t>
  </si>
  <si>
    <t>Version 1.19</t>
  </si>
  <si>
    <t>Completely re-did the logic for power and equipment output.  Tried to make Alternate and Dynamic</t>
  </si>
  <si>
    <t>powers more apparent.  If you use Custom, it will always skip to the next line.  If you use Alternate</t>
  </si>
  <si>
    <t>or Dynamic, it will print "Alt" or "Dyn" before the power.  If you use None, it will never skip to the next</t>
  </si>
  <si>
    <t>line.  If you use Normal, it will look to see if the previous power was Alternate, Dynamic, or None.  If</t>
  </si>
  <si>
    <t>it was, it will skip a line.  If it wasn't, it will print on the same line.  Sound confusing?  It is.</t>
  </si>
  <si>
    <t>Captain America's Shield</t>
  </si>
  <si>
    <t>Taliesin</t>
  </si>
  <si>
    <t>Easily Removable [-1 point per rank, 4 ranks]
Shield Throw [Ranged Damage 2 (STR-based, Burst Area 4, Selective 4)]
Alt: Shield Deflection [Enhanced Dodge 4 (Sustained), Enhanced Parry 4 (Sustained), Impervious Toughness 8 (Sustained)]
Alt: Shield Bash [Damage 2 (STR-based)]</t>
  </si>
  <si>
    <t>Enhanced Advantages 2 [Die Hard, Great Endurance]
Immunity 3 [Aging, Disease, Poison]
Regeneration 12</t>
  </si>
  <si>
    <t>Wolverine's Healing Factor</t>
  </si>
  <si>
    <t>Conditions</t>
  </si>
  <si>
    <t>Compelled</t>
  </si>
  <si>
    <t>Controlled</t>
  </si>
  <si>
    <t>Dazed</t>
  </si>
  <si>
    <t>Debilitated</t>
  </si>
  <si>
    <t>Defenseless</t>
  </si>
  <si>
    <t>Disabled</t>
  </si>
  <si>
    <t>Fatigued</t>
  </si>
  <si>
    <t>Hindered</t>
  </si>
  <si>
    <t>Immobile</t>
  </si>
  <si>
    <t>Impaired</t>
  </si>
  <si>
    <t>Stunned</t>
  </si>
  <si>
    <t>Transformed</t>
  </si>
  <si>
    <t>Unaware</t>
  </si>
  <si>
    <t>Vulnerable</t>
  </si>
  <si>
    <t>Weakened</t>
  </si>
  <si>
    <t>Combined Conditions</t>
  </si>
  <si>
    <t>Asleep</t>
  </si>
  <si>
    <t>Blind</t>
  </si>
  <si>
    <t>Bound</t>
  </si>
  <si>
    <t>Deaf</t>
  </si>
  <si>
    <t>Dying</t>
  </si>
  <si>
    <t>Entranced</t>
  </si>
  <si>
    <t>Exhausted</t>
  </si>
  <si>
    <t>Incapacitated</t>
  </si>
  <si>
    <t>Paralyzed</t>
  </si>
  <si>
    <t>Prone</t>
  </si>
  <si>
    <t>Restrained</t>
  </si>
  <si>
    <t>Staggered</t>
  </si>
  <si>
    <t>Surprised</t>
  </si>
  <si>
    <t>Limited to a single standard action each turn, chosen by another controlling character. Controlled supercedes compelled.</t>
  </si>
  <si>
    <t>No free will.  Actions dictated by another controlling character.</t>
  </si>
  <si>
    <t>Single standard action per round.  Stunned supercedes Dazed.</t>
  </si>
  <si>
    <t>The character has one or more abilities lowered below -5.</t>
  </si>
  <si>
    <t>Active Defense bonuses of 0.  Attacks can make attacks as routine checks.  If the attacker makes a normal attack, any hit is</t>
  </si>
  <si>
    <t>treated as a critical hit.  Defenseless characters are often Prone.</t>
  </si>
  <si>
    <t>-5 circumstance penalty on checks.  Debilitated (if it applies to the same traits) supercedes disabled.</t>
  </si>
  <si>
    <t>Fatigued characters are hindered.  Characters recover from Fatigue after an hour of rest.</t>
  </si>
  <si>
    <t>Moves at half normal speed (-1 speed rank).  Immobile supercedes hindered.</t>
  </si>
  <si>
    <t>No movement speed and cannot move from the spot they occupy.</t>
  </si>
  <si>
    <t>-2 circumstance penalty on checks.  Disabled (if it applies to the same traits) supercedes Impaired.</t>
  </si>
  <si>
    <t>Unharmed and unaffected by other conditions.</t>
  </si>
  <si>
    <t>Cannot take any actions.</t>
  </si>
  <si>
    <t xml:space="preserve">Some or all traits altered.  </t>
  </si>
  <si>
    <t>Unable to make interaction or Perception checks or perform any action based on them.  Subjects have full concealment</t>
  </si>
  <si>
    <t>from all of a character's unaware senses.</t>
  </si>
  <si>
    <t>Half Active Defenses (rounding up).  Defenseless supercedes vulnerable.</t>
  </si>
  <si>
    <t>Temporarily lost power points in a trait.  Debilitated supercedes Weakened.</t>
  </si>
  <si>
    <t>Defenseless, Stunned, and Unaware.  Hearing Perception check with three or more levels of success wakes the character.</t>
  </si>
  <si>
    <t>Everything has full visual concealment.  Hindered, visually Unaware, and Vulnerable.</t>
  </si>
  <si>
    <t>Defenseless, Immobile, and Impaired.</t>
  </si>
  <si>
    <t>Everything has auditory concealment.  Interaction limited to sign-language and lip-reading.</t>
  </si>
  <si>
    <t>Incapacitated.  When a character gained Dying, making a Fortitude check (DC15).  If succeeds, nothing happens.  If two degrees</t>
  </si>
  <si>
    <t>of success, the character stabilizes, removing this condition.  If the check fails, the character remains Dying.  Three or more total</t>
  </si>
  <si>
    <t>degrees of failure mean the character dies.  Dying characters make a check each round until they stabilize or die.</t>
  </si>
  <si>
    <t>Stunned.  Any obvious threat automatically breaks the trance.  Allies can break with interaction skill check (DC10+Effect Rank)</t>
  </si>
  <si>
    <t>Impaired and Hindered.  Characters recover after an hour of rest in comfortable surroundings.</t>
  </si>
  <si>
    <t>Defenseless, Stunned, and Unaware.  Usually fall prone, unless some outside force keeps them standing.</t>
  </si>
  <si>
    <t>Defenseless, Immobile, and physically Stunned, frozen in place and unable to move.  Still aware and can take purely mental actions.</t>
  </si>
  <si>
    <t>Lying on the ground, receiving a -5 circumstance penalty on close attack checks.  Opponents receive a +5 circumstance bonus to</t>
  </si>
  <si>
    <t>close attack checks but a -5 penalty to ranged attacks.  Prone characters are Hindered.  Standing up is a Move action.</t>
  </si>
  <si>
    <t>Hindered and Vulnerable.  If the restraints are anchored to an immobile object, the character is Immobile instead of Hindered.</t>
  </si>
  <si>
    <t>Dazed and Hindered.</t>
  </si>
  <si>
    <t>Stunned and Vulnerable, caught off-guard and unable to act.</t>
  </si>
  <si>
    <t>Extra Effort Uses (Free Action, Limited to Once per Turn)</t>
  </si>
  <si>
    <t>Bonus</t>
  </si>
  <si>
    <t>Power Stunt</t>
  </si>
  <si>
    <t>Retry</t>
  </si>
  <si>
    <t>Gain an additional standard action during your turn.</t>
  </si>
  <si>
    <t>Perform one check with a +2 circumstance bonus or improve an existing bonus to +5 or negate one level of a penalty.</t>
  </si>
  <si>
    <t>Increase one of your power effects by +1 rank until the start of your next turn.  Permanent effects cannot be increased this way.</t>
  </si>
  <si>
    <t>Temporarily gain and use an Alternate Effect.  This lasts until the end of the scene or until it's duration expires.  Permanent effects</t>
  </si>
  <si>
    <t>cannot be used for power stunts.</t>
  </si>
  <si>
    <t>Gain an immediate additional resistance check against an ongoing effect.  If the extra effort incapacitates you, you forfeit all</t>
  </si>
  <si>
    <t>resistance checks against the effect until you recover.  The fatigue conditions do not affect you until you are free of the effect.</t>
  </si>
  <si>
    <t>Certain effects require extra effort to retry after a certain degree of failure.  This permits another attempt to use the effect.</t>
  </si>
  <si>
    <t>Increase the hero's speed rank by +1 until the start of the hero's next turn.</t>
  </si>
  <si>
    <t>Increase the hero's Strength rank by +1 until the start of the hero's next turn.</t>
  </si>
  <si>
    <t>At the start of the turn immediately after using extra effort, the hero becomes fatigued.  A fatigued hero who uses extra effort</t>
  </si>
  <si>
    <t>becomes exhausted.  An exhausted hero would become incapacitated.  If you spend a Hero Points at the start of the turn, you</t>
  </si>
  <si>
    <t>can negate this and suffer no adverse effects.</t>
  </si>
  <si>
    <t>Hero Point Uses (Spend as a Reaction, No Limit per Turn)</t>
  </si>
  <si>
    <t>Edit Scene</t>
  </si>
  <si>
    <t>Heroic Feat</t>
  </si>
  <si>
    <t>Improve Roll</t>
  </si>
  <si>
    <t>Inspiration</t>
  </si>
  <si>
    <t>Instant Counter</t>
  </si>
  <si>
    <t>Recover</t>
  </si>
  <si>
    <t>Edit a scene to grant your hero an advantage.    Cannot change events that have happened and the GM has final rule about limits.</t>
  </si>
  <si>
    <t>Gain benefits of one rank of an advantage you don't already have until the end of your next turn.  You must be capable of using the</t>
  </si>
  <si>
    <t>advantage and cannot gain the benefits of Fortune advantages.  You must have the prerequisites.</t>
  </si>
  <si>
    <t>Re-roll any die roll and take the better result.  On a 1-10, add 10 to the result.  Must be done before the GM announced the outcome.</t>
  </si>
  <si>
    <t xml:space="preserve">Hint, clue, or a bit of help from the GM.  </t>
  </si>
  <si>
    <t>Attempt to counter an effect used against you as a reaction.</t>
  </si>
  <si>
    <t>Immediately remove a dazed, fatigued, or stunned condition.</t>
  </si>
  <si>
    <t>Measurements Table</t>
  </si>
  <si>
    <t>Mass</t>
  </si>
  <si>
    <t>3 lbs.</t>
  </si>
  <si>
    <t>6 lbs.</t>
  </si>
  <si>
    <t>12 lbs.</t>
  </si>
  <si>
    <t>25 lbs.</t>
  </si>
  <si>
    <t>+1</t>
  </si>
  <si>
    <t>50 lbs.</t>
  </si>
  <si>
    <t>100 lbs.</t>
  </si>
  <si>
    <t>200 lbs.</t>
  </si>
  <si>
    <t>400 lbs.</t>
  </si>
  <si>
    <t>800 lbs.</t>
  </si>
  <si>
    <t>1,600 lbs.</t>
  </si>
  <si>
    <t>3,200 lbs.</t>
  </si>
  <si>
    <t>3 tons</t>
  </si>
  <si>
    <t>6 tons</t>
  </si>
  <si>
    <t>12 tons</t>
  </si>
  <si>
    <t>25 tons</t>
  </si>
  <si>
    <t>50 tons</t>
  </si>
  <si>
    <t>100 tons</t>
  </si>
  <si>
    <t>200 tons</t>
  </si>
  <si>
    <t>400 tons</t>
  </si>
  <si>
    <t>800 tons</t>
  </si>
  <si>
    <t>1,600 tons</t>
  </si>
  <si>
    <t>3.2 ktons</t>
  </si>
  <si>
    <t>6 ktons</t>
  </si>
  <si>
    <t>12 ktons</t>
  </si>
  <si>
    <t>25 ktons</t>
  </si>
  <si>
    <t>50 ktons</t>
  </si>
  <si>
    <t>100 ktons</t>
  </si>
  <si>
    <t>200 ktons</t>
  </si>
  <si>
    <t>400 ktons</t>
  </si>
  <si>
    <t>800 ktons</t>
  </si>
  <si>
    <t>1,600 ktons</t>
  </si>
  <si>
    <t>3,200 ktons</t>
  </si>
  <si>
    <t>6,400 ktons</t>
  </si>
  <si>
    <t>12,500 ktons</t>
  </si>
  <si>
    <t>25,000 ktons</t>
  </si>
  <si>
    <t>x2</t>
  </si>
  <si>
    <t>Time</t>
  </si>
  <si>
    <t>Distance</t>
  </si>
  <si>
    <t>Volume</t>
  </si>
  <si>
    <t>1/8 second</t>
  </si>
  <si>
    <t>1/4 second</t>
  </si>
  <si>
    <t>1/2 second</t>
  </si>
  <si>
    <t>1 second</t>
  </si>
  <si>
    <t>3 seconds</t>
  </si>
  <si>
    <t>6 seconds</t>
  </si>
  <si>
    <t>12 seconds</t>
  </si>
  <si>
    <t>30 seconds</t>
  </si>
  <si>
    <t>1 minute</t>
  </si>
  <si>
    <t>2 minutes</t>
  </si>
  <si>
    <t>4 minutes</t>
  </si>
  <si>
    <t>8 minutes</t>
  </si>
  <si>
    <t>15 minutes</t>
  </si>
  <si>
    <t>30 minutes</t>
  </si>
  <si>
    <t>1 hour</t>
  </si>
  <si>
    <t>2 hours</t>
  </si>
  <si>
    <t>4 hours</t>
  </si>
  <si>
    <t>8 hours</t>
  </si>
  <si>
    <t>16 hours</t>
  </si>
  <si>
    <t>1 day</t>
  </si>
  <si>
    <t>2 days</t>
  </si>
  <si>
    <t>4 days</t>
  </si>
  <si>
    <t>1 week</t>
  </si>
  <si>
    <t>2 weeks</t>
  </si>
  <si>
    <t>1 month</t>
  </si>
  <si>
    <t>2 months</t>
  </si>
  <si>
    <t>4 months</t>
  </si>
  <si>
    <t>8 months</t>
  </si>
  <si>
    <t>1.5 years</t>
  </si>
  <si>
    <t>3 years</t>
  </si>
  <si>
    <t>6 years</t>
  </si>
  <si>
    <t>12 years</t>
  </si>
  <si>
    <t>25 years</t>
  </si>
  <si>
    <t>50 years</t>
  </si>
  <si>
    <t>100 years</t>
  </si>
  <si>
    <t>200 years</t>
  </si>
  <si>
    <t>6 inches</t>
  </si>
  <si>
    <t>1 foot</t>
  </si>
  <si>
    <t>3 feet</t>
  </si>
  <si>
    <t>6 feet</t>
  </si>
  <si>
    <t>15 feet</t>
  </si>
  <si>
    <t>30 feet</t>
  </si>
  <si>
    <t>60 feet</t>
  </si>
  <si>
    <t>120 feet</t>
  </si>
  <si>
    <t>250 feet</t>
  </si>
  <si>
    <t>500 feet</t>
  </si>
  <si>
    <t>900 feet</t>
  </si>
  <si>
    <t>1,800 feet</t>
  </si>
  <si>
    <t>1/2 mile</t>
  </si>
  <si>
    <t>1 mile</t>
  </si>
  <si>
    <t>2 miles</t>
  </si>
  <si>
    <t>4 miles</t>
  </si>
  <si>
    <t>8 miles</t>
  </si>
  <si>
    <t>16 miles</t>
  </si>
  <si>
    <t>30 miles</t>
  </si>
  <si>
    <t>60 miles</t>
  </si>
  <si>
    <t>120 miles</t>
  </si>
  <si>
    <t>250 miles</t>
  </si>
  <si>
    <t>500 miles</t>
  </si>
  <si>
    <t>1,000 miles</t>
  </si>
  <si>
    <t>2,000 miles</t>
  </si>
  <si>
    <t>4,000 miles</t>
  </si>
  <si>
    <t>8,000 miles</t>
  </si>
  <si>
    <t>16,000 miles</t>
  </si>
  <si>
    <t>32,000 miles</t>
  </si>
  <si>
    <t>64,000 miles</t>
  </si>
  <si>
    <t>125,000 miles</t>
  </si>
  <si>
    <t>250,000 miles</t>
  </si>
  <si>
    <t>500,000 miles</t>
  </si>
  <si>
    <t>1 million miles</t>
  </si>
  <si>
    <t>2 million miles</t>
  </si>
  <si>
    <t>4 million miles</t>
  </si>
  <si>
    <t>1/32 cft.</t>
  </si>
  <si>
    <t>1.5 lb.</t>
  </si>
  <si>
    <t>1/16 cft.</t>
  </si>
  <si>
    <t>1/8 cft.</t>
  </si>
  <si>
    <t>1/4 cft.</t>
  </si>
  <si>
    <t>1/2 cft.</t>
  </si>
  <si>
    <t>1 cft.</t>
  </si>
  <si>
    <t>2 cft.</t>
  </si>
  <si>
    <t>4 cft.</t>
  </si>
  <si>
    <t>8 cft.</t>
  </si>
  <si>
    <t>15 cft.</t>
  </si>
  <si>
    <t>30 cft.</t>
  </si>
  <si>
    <t>60 cft.</t>
  </si>
  <si>
    <t>125 cft.</t>
  </si>
  <si>
    <t>250 cft.</t>
  </si>
  <si>
    <t>500 cft.</t>
  </si>
  <si>
    <t>1,000 cft.</t>
  </si>
  <si>
    <t>2,000 cft.</t>
  </si>
  <si>
    <t>4,000 cft.</t>
  </si>
  <si>
    <t>8,000 cft.</t>
  </si>
  <si>
    <t>15,000 cft.</t>
  </si>
  <si>
    <t>32,000 cft.</t>
  </si>
  <si>
    <t>65,000 cft.</t>
  </si>
  <si>
    <t>125,000 cft.</t>
  </si>
  <si>
    <t>250,000 cft.</t>
  </si>
  <si>
    <t>500,000 cft.</t>
  </si>
  <si>
    <t>1 million cft.</t>
  </si>
  <si>
    <t>2 million cft.</t>
  </si>
  <si>
    <t>4 million cft.</t>
  </si>
  <si>
    <t>8 million cft.</t>
  </si>
  <si>
    <t>15 million cft.</t>
  </si>
  <si>
    <t>32 million cft.</t>
  </si>
  <si>
    <t>65 million cft.</t>
  </si>
  <si>
    <t>125 million cft.</t>
  </si>
  <si>
    <t>250 million cft.</t>
  </si>
  <si>
    <t>500 million cft.</t>
  </si>
  <si>
    <t>1 billion cft.</t>
  </si>
  <si>
    <t>Distance Rank = Time Rank + Speed Rank</t>
  </si>
  <si>
    <t>Time Rank = Distance Rank - Speed Rank</t>
  </si>
  <si>
    <t>Throwing Distance Rank = Strength Rank - Mass Rank</t>
  </si>
  <si>
    <t>Skill Benchmarks</t>
  </si>
  <si>
    <t>Difficulty</t>
  </si>
  <si>
    <t>Very Easy (0)</t>
  </si>
  <si>
    <t>Easy (5)</t>
  </si>
  <si>
    <t>Average (10)</t>
  </si>
  <si>
    <t>Tough (15)</t>
  </si>
  <si>
    <t>Challenging (20)</t>
  </si>
  <si>
    <t>Formidable (25)</t>
  </si>
  <si>
    <t>Heroic (30)</t>
  </si>
  <si>
    <t>Super-Heroic (35)</t>
  </si>
  <si>
    <t>Nigh-Impossible (40)</t>
  </si>
  <si>
    <t>Skill Sub-Sets</t>
  </si>
  <si>
    <t>Balancing, Maneuvering, Standing from Prone, Tumbling</t>
  </si>
  <si>
    <t>Climbing, Jumping, Running, Swimming</t>
  </si>
  <si>
    <t>Bluffing, Disguise, Feinting, Inneundo, Tricking</t>
  </si>
  <si>
    <t>Detect Illusion, Detect Influence, Evaluate, Innuendo, Resist Influence</t>
  </si>
  <si>
    <t>Coercing, Demoralizing, Intimindating Minions</t>
  </si>
  <si>
    <t>Search, Gather Evidence, Analyze Evidence, Gather Information, Surveillance</t>
  </si>
  <si>
    <t>Hearing, Seeing, Other Senses</t>
  </si>
  <si>
    <t>Sleight of H</t>
  </si>
  <si>
    <t>Concealing, Contorting, Escaping, Legerdemain, Stealing</t>
  </si>
  <si>
    <t>Hiding, Tailing</t>
  </si>
  <si>
    <t>Operating, Building, Repairing, Jury-Rigging, Demolitions, Inventing, Security</t>
  </si>
  <si>
    <t>Diagnosis, Provide Care, Revive, Stabilize, Treat Disease and Poison</t>
  </si>
  <si>
    <t>Actions</t>
  </si>
  <si>
    <t>Aid (Standard)</t>
  </si>
  <si>
    <t>Aim (Standard)</t>
  </si>
  <si>
    <t>Attack (Standard)</t>
  </si>
  <si>
    <t>Charge (Standard)</t>
  </si>
  <si>
    <t>Command (Standard)</t>
  </si>
  <si>
    <t>Command (Move)</t>
  </si>
  <si>
    <t>Crawl (Move)</t>
  </si>
  <si>
    <t>Defend (Standard)</t>
  </si>
  <si>
    <t>Delay (No Action)</t>
  </si>
  <si>
    <t>Disarm (Standard)</t>
  </si>
  <si>
    <t>Drop an Item (Free)</t>
  </si>
  <si>
    <t>Drop Prone (Free)</t>
  </si>
  <si>
    <t>Escape (Move)</t>
  </si>
  <si>
    <t>Grab (Standard)</t>
  </si>
  <si>
    <t>Move (Move)</t>
  </si>
  <si>
    <t>Ready (Standard)</t>
  </si>
  <si>
    <t>Recover (Standard)</t>
  </si>
  <si>
    <t>Smash (Standard)</t>
  </si>
  <si>
    <t>Stand (Move)</t>
  </si>
  <si>
    <t>Trip (Standard)</t>
  </si>
  <si>
    <t>Maneuvers</t>
  </si>
  <si>
    <t>All-Out Attack</t>
  </si>
  <si>
    <t>Finishing Attack</t>
  </si>
  <si>
    <t>Slam Attack</t>
  </si>
  <si>
    <t>Surprise Attack</t>
  </si>
  <si>
    <t>Team Attack</t>
  </si>
  <si>
    <t>Added a Reference Sheet you can print.  I made it mostly for my playgroup so ignore it if you want.</t>
  </si>
  <si>
    <t>Version 1.20</t>
  </si>
  <si>
    <t>Corrected a rounding error for powers that cost less than 1 per rank.</t>
  </si>
  <si>
    <t>Cut and paste the rest of the Alt: / Dyn: formulas to all the powers.  Works better if it applies everywhere.</t>
  </si>
  <si>
    <t xml:space="preserve">Power refers to Effect Rank.  </t>
  </si>
  <si>
    <t>The Misc. column can be used for things like Accurate, Inaccuate, or Limited.</t>
  </si>
  <si>
    <t>Misc To-Hit Modifiers</t>
  </si>
  <si>
    <t>Version 1.21</t>
  </si>
  <si>
    <t>Added the Misc. column to the Calculations page for the THIRD time.  It disappears.  I don't understand.</t>
  </si>
  <si>
    <t>Version 1.22</t>
  </si>
  <si>
    <t xml:space="preserve">A macro in the Calculations page was eating some math.  </t>
  </si>
  <si>
    <t>Enh?</t>
  </si>
  <si>
    <t>Note: Use the Additional Description for things like Favored Environment which require more information.
The Enh? column is for Advantages provided by Enhanced Advantages power.  The cost does not get added here.  It is for output purposes only.  (Default = NO)</t>
  </si>
  <si>
    <t>Version 1.23</t>
  </si>
  <si>
    <t>Added "Enh?" column on the Advantages sheet.  Use this for Advantages provided by the Enhanced</t>
  </si>
  <si>
    <t>Advantage power effect where you don't want the cost calculated on the Advantages sheet itself.</t>
  </si>
  <si>
    <t>Added the XML support for that same column (what a pain).</t>
  </si>
  <si>
    <t>If the skill is untrained, it will not show a Final Value unless you put at least 1 rank into it (unless you have the Jack-of-all-Trades advantage).
Close Combat and Ranged Combat Base Values will include any levels of the appropriate Advantage.</t>
  </si>
  <si>
    <t>Incorporated Close Combat and Ranged Combat advantages into the Skills calculations rather than</t>
  </si>
  <si>
    <t>having them seperated.</t>
  </si>
  <si>
    <t>Version 1.24</t>
  </si>
  <si>
    <t>Reworked the formulas that controlled if unranked skills print or not.</t>
  </si>
  <si>
    <t>Forums Description</t>
  </si>
  <si>
    <t>Made the forums output for Enhanced Advantages italicized instead of preceded with a *</t>
  </si>
  <si>
    <t>Atomic Think Tank Forums</t>
  </si>
  <si>
    <t>Wikispaces Output</t>
  </si>
  <si>
    <t>===Abilities===</t>
  </si>
  <si>
    <t>===Powers===</t>
  </si>
  <si>
    <t>===Equipment===</t>
  </si>
  <si>
    <t>Standard Equipment (Forums Output)</t>
  </si>
  <si>
    <t>Standard Equipment (Wikispaces Output)</t>
  </si>
  <si>
    <t>Custom Equipment (Wikispaces Output)</t>
  </si>
  <si>
    <t>===Advantages===</t>
  </si>
  <si>
    <t>Wikipages Description</t>
  </si>
  <si>
    <t>===Skills===</t>
  </si>
  <si>
    <t>===Offense===</t>
  </si>
  <si>
    <t>===Defense===</t>
  </si>
  <si>
    <t>===Power Points===</t>
  </si>
  <si>
    <t>===Complications===</t>
  </si>
  <si>
    <t>===Design Notes===</t>
  </si>
  <si>
    <t>Version 1.25</t>
  </si>
  <si>
    <t>Fixed a cost for Duplication.</t>
  </si>
  <si>
    <t>For my own personal use, I've added a Wiki-style output to the Forums page.  I use it with wikispaces</t>
  </si>
  <si>
    <t>but I think it would work with others.</t>
  </si>
  <si>
    <t>Growth/
Shrinking</t>
  </si>
  <si>
    <t>Note: Final Toughness score is calculated later.  Points cannot be used to increase Toughness or Initiative.
Growth/Shrinking from Permanent effects only.</t>
  </si>
  <si>
    <t>Permanent Growth</t>
  </si>
  <si>
    <t>Pemanent Shrinking</t>
  </si>
  <si>
    <t>Version 1.26</t>
  </si>
  <si>
    <t>Added calculations for Permanent Growth and Permanent Shrinking effects.</t>
  </si>
  <si>
    <t>Eq Protection does not stack.</t>
  </si>
  <si>
    <t>Version 1.27</t>
  </si>
  <si>
    <t>Protection from Equipment no longer stacks.  Thanks charlieluce.</t>
  </si>
  <si>
    <t>Psistrike from the Forums for posting the chart of DCA character stat benchmarks.
Bombaatu for catching the Improved Initiative and Expertise problems.  Suggestions concerning Enhanced Advantages.
Shadowchaser for improvement suggestions for the forums output, volunteering characters for testing, and help with Growth/Shrinking.
Arknight for catching the Equipment Component mistake.  I didn't populate the pull-downs right.  He also caught Enhanced Defenses, Enhanced Willpower, and Protection Equipment errors for me.  He also spotted the problem with Limited abilities and defenses, and the total ability scores not being on the custom output.
scc for catching a mistake in the math logic for custom components.
CelticREI for catching a number of calculation mistakes, typos and a suggestion for keeping the macros from scrolling the screen.  Keeping me honest about the Alt: and Dyn: additions from version 1.19.  Suggestion for making Enhanced Advantages italicized.
demongg for all his work in figuring out how to make the DCA sheet work.
charlieluce for catching the equipment protection error.</t>
  </si>
  <si>
    <t>Version 1.28</t>
  </si>
  <si>
    <t>Macro error on the Abilities sheet.  Hitting clear cleared the wrong columns.</t>
  </si>
  <si>
    <t>Status Conditions:</t>
  </si>
  <si>
    <t>Wounds:</t>
  </si>
  <si>
    <t>Recovery Time:</t>
  </si>
  <si>
    <t>Bruises:</t>
  </si>
  <si>
    <t>Dazed (EoT):</t>
  </si>
  <si>
    <t>Incapacitated:</t>
  </si>
  <si>
    <t>Non-Lethal</t>
  </si>
  <si>
    <t>Lethal</t>
  </si>
  <si>
    <t>Dying:</t>
  </si>
  <si>
    <t>Staggered*:</t>
  </si>
  <si>
    <t>*and disabled for lethal</t>
  </si>
  <si>
    <t>Beauty</t>
  </si>
  <si>
    <t>Sense-Dependent</t>
  </si>
  <si>
    <t>Area Cone, Cumulative, Concentration</t>
  </si>
  <si>
    <t>Charming Gaze</t>
  </si>
  <si>
    <t>Entranced-&gt;Compelled-&gt;Controlled</t>
  </si>
  <si>
    <t>firearms</t>
  </si>
  <si>
    <t>Pistol</t>
  </si>
  <si>
    <t>Firearms</t>
  </si>
  <si>
    <t>3</t>
  </si>
  <si>
    <t>???</t>
  </si>
  <si>
    <t>Secret</t>
  </si>
  <si>
    <t>Female</t>
  </si>
  <si>
    <t>5'5"</t>
  </si>
  <si>
    <t>130</t>
  </si>
  <si>
    <t>Brown</t>
  </si>
  <si>
    <t>Black</t>
  </si>
  <si>
    <t>Yakuza</t>
  </si>
  <si>
    <t>Underworld</t>
  </si>
  <si>
    <t>Yakuza Leader</t>
  </si>
  <si>
    <t>Persuasion/Deception</t>
  </si>
  <si>
    <t>Japanese, English, Various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</si>
</sst>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8">
    <font>
      <sz val="11"/>
      <color theme="1"/>
      <name val="Calibri"/>
      <family val="2"/>
      <scheme val="minor"/>
    </font>
    <font>
      <sz val="8"/>
      <color theme="1"/>
      <name val="Calibri"/>
      <family val="2"/>
      <scheme val="minor"/>
    </font>
    <font>
      <b/>
      <sz val="8"/>
      <color theme="1"/>
      <name val="Calibri"/>
      <family val="2"/>
      <scheme val="minor"/>
    </font>
    <font>
      <sz val="10"/>
      <color theme="1"/>
      <name val="Calibri"/>
      <family val="2"/>
      <scheme val="minor"/>
    </font>
    <font>
      <b/>
      <sz val="18"/>
      <color theme="1"/>
      <name val="Calibri"/>
      <family val="2"/>
      <scheme val="minor"/>
    </font>
    <font>
      <b/>
      <sz val="10"/>
      <color theme="1"/>
      <name val="Calibri"/>
      <family val="2"/>
      <scheme val="minor"/>
    </font>
    <font>
      <i/>
      <sz val="10"/>
      <color theme="1"/>
      <name val="Calibri"/>
      <family val="2"/>
      <scheme val="minor"/>
    </font>
    <font>
      <sz val="14"/>
      <color theme="1"/>
      <name val="Arial"/>
      <family val="2"/>
    </font>
    <font>
      <sz val="24"/>
      <color theme="1"/>
      <name val="Arial"/>
      <family val="2"/>
    </font>
    <font>
      <i/>
      <sz val="60"/>
      <color theme="1"/>
      <name val="Newsflash BB"/>
    </font>
    <font>
      <b/>
      <sz val="24"/>
      <color theme="1"/>
      <name val="Arial"/>
      <family val="2"/>
    </font>
    <font>
      <b/>
      <sz val="9"/>
      <color theme="1"/>
      <name val="Calibri"/>
      <family val="2"/>
      <scheme val="minor"/>
    </font>
    <font>
      <sz val="9"/>
      <color theme="1"/>
      <name val="Calibri"/>
      <family val="2"/>
      <scheme val="minor"/>
    </font>
    <font>
      <sz val="8"/>
      <color theme="9" tint="-0.249977111117893"/>
      <name val="Calibri"/>
      <family val="2"/>
      <scheme val="minor"/>
    </font>
    <font>
      <sz val="8"/>
      <color rgb="FFC00000"/>
      <name val="Calibri"/>
      <family val="2"/>
      <scheme val="minor"/>
    </font>
    <font>
      <sz val="8"/>
      <color theme="4" tint="-0.249977111117893"/>
      <name val="Calibri"/>
      <family val="2"/>
      <scheme val="minor"/>
    </font>
    <font>
      <sz val="8"/>
      <color rgb="FF00B050"/>
      <name val="Calibri"/>
      <family val="2"/>
      <scheme val="minor"/>
    </font>
    <font>
      <b/>
      <sz val="20"/>
      <color theme="1"/>
      <name val="Calibri"/>
      <family val="2"/>
      <scheme val="minor"/>
    </font>
    <font>
      <i/>
      <sz val="9"/>
      <color theme="1"/>
      <name val="Calibri"/>
      <family val="2"/>
      <scheme val="minor"/>
    </font>
    <font>
      <i/>
      <sz val="8"/>
      <color theme="1"/>
      <name val="Calibri"/>
      <family val="2"/>
      <scheme val="minor"/>
    </font>
    <font>
      <sz val="24"/>
      <color theme="1"/>
      <name val="Arial Narrow"/>
      <family val="2"/>
    </font>
    <font>
      <b/>
      <sz val="18"/>
      <color theme="1"/>
      <name val="Arial"/>
      <family val="2"/>
    </font>
    <font>
      <b/>
      <sz val="36"/>
      <color theme="1"/>
      <name val="Arial"/>
      <family val="2"/>
    </font>
    <font>
      <sz val="20"/>
      <color theme="1"/>
      <name val="Arial Narrow"/>
      <family val="2"/>
    </font>
    <font>
      <b/>
      <sz val="20"/>
      <color theme="1"/>
      <name val="Arial"/>
      <family val="2"/>
    </font>
    <font>
      <sz val="22"/>
      <color theme="1"/>
      <name val="Arial"/>
      <family val="2"/>
    </font>
    <font>
      <b/>
      <sz val="14"/>
      <color theme="1"/>
      <name val="Arial"/>
      <family val="2"/>
    </font>
    <font>
      <i/>
      <sz val="36"/>
      <color theme="1"/>
      <name val="Impact"/>
      <family val="2"/>
    </font>
    <font>
      <sz val="18"/>
      <color theme="1"/>
      <name val="Calibri"/>
      <family val="2"/>
      <scheme val="minor"/>
    </font>
    <font>
      <sz val="26"/>
      <color theme="1"/>
      <name val="Arial"/>
      <family val="2"/>
    </font>
    <font>
      <sz val="28"/>
      <color theme="1"/>
      <name val="Arial"/>
      <family val="2"/>
    </font>
    <font>
      <sz val="20"/>
      <color theme="1"/>
      <name val="Arial"/>
      <family val="2"/>
    </font>
    <font>
      <sz val="22"/>
      <color theme="1"/>
      <name val="Calibri"/>
      <family val="2"/>
      <scheme val="minor"/>
    </font>
    <font>
      <sz val="16"/>
      <color theme="1"/>
      <name val="Arial"/>
      <family val="2"/>
    </font>
    <font>
      <sz val="11"/>
      <color rgb="FF000000"/>
      <name val="Calibri"/>
      <family val="2"/>
    </font>
    <font>
      <sz val="22"/>
      <color rgb="FF000000"/>
      <name val="Calibri"/>
      <family val="2"/>
    </font>
    <font>
      <sz val="26"/>
      <color rgb="FF000000"/>
      <name val="Calibri"/>
      <family val="2"/>
    </font>
    <font>
      <sz val="14"/>
      <color theme="0"/>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ck">
        <color indexed="64"/>
      </top>
      <bottom/>
      <diagonal/>
    </border>
    <border>
      <left/>
      <right/>
      <top/>
      <bottom style="thick">
        <color indexed="64"/>
      </bottom>
      <diagonal/>
    </border>
    <border>
      <left style="thick">
        <color indexed="64"/>
      </left>
      <right/>
      <top/>
      <bottom/>
      <diagonal/>
    </border>
    <border diagonalUp="1">
      <left/>
      <right/>
      <top/>
      <bottom/>
      <diagonal style="thick">
        <color indexed="64"/>
      </diagonal>
    </border>
    <border diagonalDown="1">
      <left/>
      <right/>
      <top/>
      <bottom/>
      <diagonal style="thick">
        <color indexed="64"/>
      </diagonal>
    </border>
    <border>
      <left/>
      <right style="thick">
        <color indexed="64"/>
      </right>
      <top/>
      <bottom/>
      <diagonal/>
    </border>
    <border>
      <left/>
      <right/>
      <top style="medium">
        <color indexed="64"/>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diagonalUp="1">
      <left/>
      <right/>
      <top style="thick">
        <color indexed="64"/>
      </top>
      <bottom/>
      <diagonal style="thick">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diagonalUp="1">
      <left/>
      <right/>
      <top/>
      <bottom/>
      <diagonal style="thick">
        <color theme="0" tint="-0.24994659260841701"/>
      </diagonal>
    </border>
    <border>
      <left style="thick">
        <color theme="0" tint="-0.24994659260841701"/>
      </left>
      <right/>
      <top/>
      <bottom/>
      <diagonal/>
    </border>
    <border diagonalDown="1">
      <left/>
      <right/>
      <top/>
      <bottom/>
      <diagonal style="thick">
        <color theme="0" tint="-0.24994659260841701"/>
      </diagonal>
    </border>
    <border>
      <left/>
      <right/>
      <top style="thick">
        <color theme="0" tint="-0.24994659260841701"/>
      </top>
      <bottom/>
      <diagonal/>
    </border>
    <border>
      <left/>
      <right style="thick">
        <color theme="0" tint="-0.24994659260841701"/>
      </right>
      <top style="thick">
        <color theme="0" tint="-0.24994659260841701"/>
      </top>
      <bottom/>
      <diagonal/>
    </border>
    <border>
      <left/>
      <right style="thick">
        <color theme="0" tint="-0.24994659260841701"/>
      </right>
      <top/>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right style="thick">
        <color theme="0" tint="-0.24994659260841701"/>
      </right>
      <top style="thick">
        <color theme="0" tint="-0.24994659260841701"/>
      </top>
      <bottom style="thick">
        <color theme="0" tint="-0.24994659260841701"/>
      </bottom>
      <diagonal/>
    </border>
    <border>
      <left style="thick">
        <color theme="0" tint="-0.24994659260841701"/>
      </left>
      <right/>
      <top style="thick">
        <color theme="0" tint="-0.24994659260841701"/>
      </top>
      <bottom/>
      <diagonal/>
    </border>
    <border diagonalUp="1">
      <left/>
      <right/>
      <top style="thick">
        <color indexed="64"/>
      </top>
      <bottom/>
      <diagonal style="thick">
        <color theme="0" tint="-0.24994659260841701"/>
      </diagonal>
    </border>
    <border diagonalDown="1">
      <left/>
      <right/>
      <top/>
      <bottom style="thick">
        <color indexed="64"/>
      </bottom>
      <diagonal style="thick">
        <color theme="0" tint="-0.24994659260841701"/>
      </diagonal>
    </border>
    <border>
      <left style="thick">
        <color theme="1"/>
      </left>
      <right/>
      <top/>
      <bottom/>
      <diagonal/>
    </border>
    <border diagonalDown="1">
      <left/>
      <right style="thick">
        <color theme="0" tint="-0.24994659260841701"/>
      </right>
      <top/>
      <bottom/>
      <diagonal style="thick">
        <color theme="0" tint="-0.24994659260841701"/>
      </diagonal>
    </border>
    <border diagonalDown="1">
      <left style="thick">
        <color theme="0" tint="-0.24994659260841701"/>
      </left>
      <right/>
      <top/>
      <bottom/>
      <diagonal style="thick">
        <color theme="0" tint="-0.24994659260841701"/>
      </diagonal>
    </border>
    <border diagonalDown="1">
      <left/>
      <right/>
      <top/>
      <bottom style="thick">
        <color theme="0" tint="-0.24994659260841701"/>
      </bottom>
      <diagonal style="thick">
        <color theme="0" tint="-0.24994659260841701"/>
      </diagonal>
    </border>
    <border diagonalDown="1">
      <left/>
      <right/>
      <top style="thick">
        <color theme="0" tint="-0.24994659260841701"/>
      </top>
      <bottom/>
      <diagonal style="thick">
        <color theme="0" tint="-0.24994659260841701"/>
      </diagonal>
    </border>
    <border diagonalUp="1">
      <left/>
      <right/>
      <top/>
      <bottom style="thick">
        <color theme="0" tint="-0.24994659260841701"/>
      </bottom>
      <diagonal style="thick">
        <color theme="0" tint="-0.24994659260841701"/>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diagonalUp="1">
      <left/>
      <right/>
      <top/>
      <bottom/>
      <diagonal style="thick">
        <color theme="0" tint="-0.34998626667073579"/>
      </diagonal>
    </border>
    <border diagonalDown="1">
      <left/>
      <right/>
      <top/>
      <bottom/>
      <diagonal style="thick">
        <color theme="0" tint="-0.34998626667073579"/>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right/>
      <top/>
      <bottom style="thick">
        <color theme="0" tint="-0.499984740745262"/>
      </bottom>
      <diagonal/>
    </border>
    <border diagonalUp="1">
      <left/>
      <right/>
      <top/>
      <bottom/>
      <diagonal style="thick">
        <color theme="0" tint="-0.499984740745262"/>
      </diagonal>
    </border>
    <border diagonalDown="1">
      <left/>
      <right/>
      <top/>
      <bottom/>
      <diagonal style="thick">
        <color theme="0" tint="-0.499984740745262"/>
      </diagonal>
    </border>
    <border>
      <left/>
      <right/>
      <top style="medium">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
      <left/>
      <right/>
      <top/>
      <bottom style="thin">
        <color theme="0" tint="-0.24994659260841701"/>
      </bottom>
      <diagonal/>
    </border>
    <border>
      <left/>
      <right/>
      <top style="thin">
        <color theme="0" tint="-0.24994659260841701"/>
      </top>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style="medium">
        <color indexed="64"/>
      </right>
      <top style="thin">
        <color theme="0" tint="-0.24994659260841701"/>
      </top>
      <bottom/>
      <diagonal/>
    </border>
    <border>
      <left style="medium">
        <color indexed="64"/>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thin">
        <color theme="0" tint="-0.14996795556505021"/>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style="thin">
        <color theme="0" tint="-0.14996795556505021"/>
      </top>
      <bottom style="thin">
        <color theme="0" tint="-0.14996795556505021"/>
      </bottom>
      <diagonal/>
    </border>
    <border>
      <left/>
      <right style="medium">
        <color indexed="64"/>
      </right>
      <top style="thin">
        <color theme="0" tint="-0.14996795556505021"/>
      </top>
      <bottom style="thin">
        <color theme="0" tint="-0.14996795556505021"/>
      </bottom>
      <diagonal/>
    </border>
    <border>
      <left style="medium">
        <color indexed="64"/>
      </left>
      <right/>
      <top/>
      <bottom style="thin">
        <color theme="0" tint="-0.14996795556505021"/>
      </bottom>
      <diagonal/>
    </border>
    <border>
      <left/>
      <right style="medium">
        <color indexed="64"/>
      </right>
      <top/>
      <bottom style="thin">
        <color theme="0" tint="-0.14996795556505021"/>
      </bottom>
      <diagonal/>
    </border>
    <border>
      <left style="medium">
        <color indexed="64"/>
      </left>
      <right/>
      <top style="thin">
        <color theme="0" tint="-0.14996795556505021"/>
      </top>
      <bottom/>
      <diagonal/>
    </border>
    <border>
      <left/>
      <right/>
      <top style="thin">
        <color theme="0" tint="-0.14996795556505021"/>
      </top>
      <bottom/>
      <diagonal/>
    </border>
    <border>
      <left/>
      <right style="medium">
        <color indexed="64"/>
      </right>
      <top style="thin">
        <color theme="0" tint="-0.14996795556505021"/>
      </top>
      <bottom/>
      <diagonal/>
    </border>
    <border>
      <left/>
      <right/>
      <top style="thin">
        <color theme="0" tint="-0.14993743705557422"/>
      </top>
      <bottom style="thin">
        <color theme="0" tint="-0.14993743705557422"/>
      </bottom>
      <diagonal/>
    </border>
    <border>
      <left/>
      <right style="medium">
        <color indexed="64"/>
      </right>
      <top style="thin">
        <color theme="0" tint="-0.14993743705557422"/>
      </top>
      <bottom style="thin">
        <color theme="0" tint="-0.14993743705557422"/>
      </bottom>
      <diagonal/>
    </border>
    <border>
      <left/>
      <right/>
      <top/>
      <bottom style="thin">
        <color theme="0" tint="-0.14993743705557422"/>
      </bottom>
      <diagonal/>
    </border>
    <border>
      <left/>
      <right/>
      <top style="thin">
        <color theme="0" tint="-0.14993743705557422"/>
      </top>
      <bottom/>
      <diagonal/>
    </border>
    <border>
      <left/>
      <right/>
      <top style="thin">
        <color indexed="64"/>
      </top>
      <bottom style="thin">
        <color theme="0" tint="-0.14996795556505021"/>
      </bottom>
      <diagonal/>
    </border>
    <border>
      <left/>
      <right/>
      <top/>
      <bottom style="thin">
        <color theme="0" tint="-0.49998474074526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indexed="64"/>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indexed="64"/>
      </right>
      <top/>
      <bottom style="thick">
        <color theme="1" tint="0.499984740745262"/>
      </bottom>
      <diagonal/>
    </border>
    <border>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style="dotted">
        <color indexed="64"/>
      </right>
      <top style="thin">
        <color indexed="64"/>
      </top>
      <bottom/>
      <diagonal/>
    </border>
    <border>
      <left style="dotted">
        <color indexed="64"/>
      </left>
      <right/>
      <top style="thin">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right style="dotted">
        <color indexed="64"/>
      </right>
      <top/>
      <bottom/>
      <diagonal/>
    </border>
    <border>
      <left style="dotted">
        <color indexed="64"/>
      </left>
      <right/>
      <top/>
      <bottom/>
      <diagonal/>
    </border>
    <border>
      <left/>
      <right style="dotted">
        <color indexed="64"/>
      </right>
      <top/>
      <bottom style="dotted">
        <color indexed="64"/>
      </bottom>
      <diagonal/>
    </border>
    <border>
      <left style="dotted">
        <color indexed="64"/>
      </left>
      <right/>
      <top/>
      <bottom style="dotted">
        <color indexed="64"/>
      </bottom>
      <diagonal/>
    </border>
    <border>
      <left/>
      <right style="dotted">
        <color indexed="64"/>
      </right>
      <top style="dotted">
        <color indexed="64"/>
      </top>
      <bottom/>
      <diagonal/>
    </border>
    <border>
      <left style="dotted">
        <color indexed="64"/>
      </left>
      <right/>
      <top style="dotted">
        <color indexed="64"/>
      </top>
      <bottom/>
      <diagonal/>
    </border>
    <border>
      <left/>
      <right style="dotted">
        <color indexed="64"/>
      </right>
      <top/>
      <bottom style="thin">
        <color indexed="64"/>
      </bottom>
      <diagonal/>
    </border>
    <border>
      <left style="dotted">
        <color indexed="64"/>
      </left>
      <right/>
      <top/>
      <bottom style="thin">
        <color indexed="64"/>
      </bottom>
      <diagonal/>
    </border>
  </borders>
  <cellStyleXfs count="1">
    <xf numFmtId="0" fontId="0" fillId="0" borderId="0"/>
  </cellStyleXfs>
  <cellXfs count="654">
    <xf numFmtId="0" fontId="0" fillId="0" borderId="0" xfId="0"/>
    <xf numFmtId="0" fontId="1" fillId="2" borderId="0" xfId="0" applyFont="1" applyFill="1" applyBorder="1"/>
    <xf numFmtId="0" fontId="1" fillId="3" borderId="0" xfId="0" applyFont="1" applyFill="1" applyBorder="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2" fillId="3" borderId="0" xfId="0" applyFont="1" applyFill="1" applyBorder="1"/>
    <xf numFmtId="0" fontId="3" fillId="2" borderId="0" xfId="0" applyFont="1" applyFill="1"/>
    <xf numFmtId="0" fontId="3" fillId="2" borderId="4" xfId="0" applyFont="1" applyFill="1" applyBorder="1"/>
    <xf numFmtId="0" fontId="3" fillId="2" borderId="0"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4" fillId="3" borderId="0" xfId="0" applyFont="1" applyFill="1" applyBorder="1" applyAlignment="1"/>
    <xf numFmtId="0" fontId="4" fillId="3" borderId="9" xfId="0" applyFont="1" applyFill="1" applyBorder="1" applyAlignment="1"/>
    <xf numFmtId="0" fontId="4" fillId="3" borderId="0" xfId="0" applyFont="1" applyFill="1" applyBorder="1" applyAlignment="1">
      <alignment horizontal="center"/>
    </xf>
    <xf numFmtId="0" fontId="3" fillId="3" borderId="0" xfId="0" applyFont="1" applyFill="1"/>
    <xf numFmtId="0" fontId="3" fillId="3" borderId="43" xfId="0" applyFont="1" applyFill="1" applyBorder="1"/>
    <xf numFmtId="0" fontId="3" fillId="3" borderId="44" xfId="0" applyFont="1" applyFill="1" applyBorder="1"/>
    <xf numFmtId="0" fontId="3" fillId="0" borderId="0" xfId="0" applyFont="1" applyFill="1" applyBorder="1"/>
    <xf numFmtId="0" fontId="3" fillId="0" borderId="43" xfId="0" applyFont="1" applyFill="1" applyBorder="1"/>
    <xf numFmtId="0" fontId="3" fillId="0" borderId="44" xfId="0" applyFont="1" applyFill="1" applyBorder="1"/>
    <xf numFmtId="0" fontId="5" fillId="2" borderId="0" xfId="0" applyFont="1" applyFill="1"/>
    <xf numFmtId="0" fontId="5" fillId="3" borderId="0" xfId="0" applyFont="1" applyFill="1" applyBorder="1"/>
    <xf numFmtId="0" fontId="4" fillId="3" borderId="5" xfId="0" applyFont="1" applyFill="1" applyBorder="1" applyAlignment="1"/>
    <xf numFmtId="0" fontId="4" fillId="2" borderId="4" xfId="0" applyFont="1" applyFill="1" applyBorder="1" applyAlignment="1"/>
    <xf numFmtId="0" fontId="3" fillId="3" borderId="0" xfId="0" applyFont="1" applyFill="1" applyBorder="1" applyAlignment="1">
      <alignment horizontal="center"/>
    </xf>
    <xf numFmtId="0" fontId="3" fillId="3" borderId="44" xfId="0" applyFont="1" applyFill="1" applyBorder="1" applyAlignment="1">
      <alignment horizontal="left"/>
    </xf>
    <xf numFmtId="0" fontId="3" fillId="3" borderId="9" xfId="0" applyFont="1" applyFill="1" applyBorder="1"/>
    <xf numFmtId="0" fontId="6" fillId="3" borderId="0" xfId="0" applyFont="1" applyFill="1"/>
    <xf numFmtId="0" fontId="3" fillId="3" borderId="0" xfId="0" quotePrefix="1" applyFont="1" applyFill="1"/>
    <xf numFmtId="0" fontId="3" fillId="4" borderId="4" xfId="0" applyFont="1" applyFill="1" applyBorder="1"/>
    <xf numFmtId="0" fontId="3" fillId="4" borderId="6" xfId="0" applyFont="1" applyFill="1" applyBorder="1"/>
    <xf numFmtId="0" fontId="3" fillId="2" borderId="0" xfId="0" applyFont="1" applyFill="1" applyAlignment="1">
      <alignment wrapText="1"/>
    </xf>
    <xf numFmtId="0" fontId="7" fillId="0" borderId="0" xfId="0" applyFont="1"/>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0" fontId="7" fillId="0" borderId="0" xfId="0" applyFont="1" applyBorder="1"/>
    <xf numFmtId="0" fontId="7" fillId="0" borderId="5" xfId="0" applyFont="1" applyBorder="1"/>
    <xf numFmtId="0" fontId="7" fillId="0" borderId="6" xfId="0" applyFont="1" applyBorder="1"/>
    <xf numFmtId="0" fontId="7" fillId="0" borderId="7" xfId="0" applyFont="1" applyBorder="1"/>
    <xf numFmtId="0" fontId="7" fillId="0" borderId="8" xfId="0" applyFont="1" applyBorder="1"/>
    <xf numFmtId="0" fontId="7" fillId="0" borderId="45" xfId="0" applyFont="1" applyBorder="1"/>
    <xf numFmtId="0" fontId="7" fillId="0" borderId="46" xfId="0" applyFont="1" applyBorder="1"/>
    <xf numFmtId="0" fontId="7" fillId="0" borderId="47"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0" fontId="8" fillId="0" borderId="0" xfId="0" applyFont="1" applyBorder="1" applyAlignment="1">
      <alignment vertical="center"/>
    </xf>
    <xf numFmtId="0" fontId="8" fillId="0" borderId="51" xfId="0" applyFont="1" applyBorder="1" applyAlignment="1">
      <alignment vertical="center"/>
    </xf>
    <xf numFmtId="0" fontId="8" fillId="0" borderId="0" xfId="0" applyFont="1" applyBorder="1" applyAlignment="1">
      <alignment horizontal="right" vertical="center"/>
    </xf>
    <xf numFmtId="0" fontId="0" fillId="0" borderId="46" xfId="0" applyBorder="1"/>
    <xf numFmtId="0" fontId="0" fillId="0" borderId="0" xfId="0" applyBorder="1"/>
    <xf numFmtId="0" fontId="0" fillId="0" borderId="50" xfId="0" applyBorder="1"/>
    <xf numFmtId="0" fontId="0" fillId="0" borderId="53" xfId="0" applyBorder="1"/>
    <xf numFmtId="0" fontId="0" fillId="0" borderId="51" xfId="0" applyBorder="1"/>
    <xf numFmtId="0" fontId="0" fillId="0" borderId="52" xfId="0" applyBorder="1"/>
    <xf numFmtId="0" fontId="0" fillId="0" borderId="45" xfId="0" applyBorder="1"/>
    <xf numFmtId="0" fontId="0" fillId="0" borderId="47" xfId="0" applyBorder="1"/>
    <xf numFmtId="0" fontId="8" fillId="0" borderId="0" xfId="0" applyFont="1" applyAlignment="1">
      <alignment vertical="center"/>
    </xf>
    <xf numFmtId="0" fontId="9" fillId="0" borderId="0" xfId="0" applyFont="1" applyBorder="1" applyAlignment="1">
      <alignment vertical="center" textRotation="4"/>
    </xf>
    <xf numFmtId="0" fontId="0" fillId="0" borderId="54" xfId="0" applyBorder="1"/>
    <xf numFmtId="0" fontId="7" fillId="0" borderId="53" xfId="0" applyFont="1" applyBorder="1"/>
    <xf numFmtId="0" fontId="7" fillId="0" borderId="54" xfId="0" applyFont="1" applyBorder="1"/>
    <xf numFmtId="0" fontId="7" fillId="3" borderId="0" xfId="0" applyFont="1" applyFill="1" applyBorder="1"/>
    <xf numFmtId="0" fontId="7" fillId="4" borderId="0" xfId="0" applyFont="1" applyFill="1" applyBorder="1"/>
    <xf numFmtId="0" fontId="7" fillId="2" borderId="0" xfId="0" applyFont="1" applyFill="1" applyBorder="1"/>
    <xf numFmtId="0" fontId="7" fillId="0" borderId="55" xfId="0" applyFont="1" applyBorder="1"/>
    <xf numFmtId="0" fontId="7" fillId="0" borderId="48" xfId="0" applyFont="1" applyBorder="1" applyAlignment="1">
      <alignment horizontal="right"/>
    </xf>
    <xf numFmtId="0" fontId="7" fillId="5" borderId="0" xfId="0" applyFont="1" applyFill="1" applyBorder="1"/>
    <xf numFmtId="0" fontId="7" fillId="5" borderId="0" xfId="0" applyFont="1" applyFill="1"/>
    <xf numFmtId="0" fontId="7" fillId="6" borderId="0" xfId="0" applyFont="1" applyFill="1" applyBorder="1"/>
    <xf numFmtId="0" fontId="7" fillId="7" borderId="0" xfId="0" applyFont="1" applyFill="1" applyBorder="1"/>
    <xf numFmtId="0" fontId="7" fillId="8" borderId="0" xfId="0" applyFont="1" applyFill="1" applyBorder="1"/>
    <xf numFmtId="0" fontId="7" fillId="9" borderId="0" xfId="0" applyFont="1" applyFill="1" applyBorder="1"/>
    <xf numFmtId="0" fontId="7" fillId="0" borderId="10" xfId="0" applyFont="1" applyBorder="1"/>
    <xf numFmtId="0" fontId="7" fillId="0" borderId="11" xfId="0" applyFont="1" applyBorder="1"/>
    <xf numFmtId="0" fontId="7" fillId="3" borderId="12" xfId="0" applyFont="1" applyFill="1" applyBorder="1" applyAlignment="1"/>
    <xf numFmtId="0" fontId="7" fillId="3" borderId="10" xfId="0" applyFont="1" applyFill="1" applyBorder="1" applyAlignment="1"/>
    <xf numFmtId="0" fontId="7" fillId="3" borderId="11" xfId="0" applyFont="1" applyFill="1" applyBorder="1" applyAlignment="1"/>
    <xf numFmtId="0" fontId="7" fillId="3" borderId="13" xfId="0" applyFont="1" applyFill="1" applyBorder="1" applyAlignment="1"/>
    <xf numFmtId="0" fontId="7" fillId="3" borderId="14" xfId="0" applyFont="1" applyFill="1" applyBorder="1" applyAlignment="1"/>
    <xf numFmtId="0" fontId="7" fillId="0" borderId="15" xfId="0" applyFont="1" applyBorder="1"/>
    <xf numFmtId="0" fontId="7" fillId="0" borderId="14" xfId="0" applyFont="1" applyBorder="1"/>
    <xf numFmtId="0" fontId="7" fillId="0" borderId="13" xfId="0" applyFont="1" applyBorder="1"/>
    <xf numFmtId="0" fontId="7" fillId="0" borderId="56" xfId="0" applyFont="1" applyBorder="1"/>
    <xf numFmtId="0" fontId="7" fillId="0" borderId="57" xfId="0" applyFont="1" applyBorder="1"/>
    <xf numFmtId="0" fontId="7" fillId="10" borderId="0" xfId="0" applyFont="1" applyFill="1" applyBorder="1"/>
    <xf numFmtId="0" fontId="7" fillId="11" borderId="0" xfId="0" applyFont="1" applyFill="1" applyBorder="1"/>
    <xf numFmtId="0" fontId="7" fillId="12" borderId="0" xfId="0" applyFont="1" applyFill="1"/>
    <xf numFmtId="0" fontId="7" fillId="12" borderId="0" xfId="0" applyFont="1" applyFill="1" applyBorder="1"/>
    <xf numFmtId="0" fontId="7" fillId="0" borderId="16" xfId="0" applyFont="1" applyBorder="1"/>
    <xf numFmtId="0" fontId="7" fillId="0" borderId="58" xfId="0" applyFont="1" applyBorder="1"/>
    <xf numFmtId="0" fontId="7" fillId="0" borderId="0" xfId="0" applyFont="1" applyBorder="1" applyAlignment="1">
      <alignment vertical="top"/>
    </xf>
    <xf numFmtId="0" fontId="0" fillId="12" borderId="0" xfId="0" applyFill="1"/>
    <xf numFmtId="0" fontId="7" fillId="0" borderId="12" xfId="0" applyFont="1" applyBorder="1"/>
    <xf numFmtId="0" fontId="7" fillId="0" borderId="59" xfId="0" applyFont="1" applyBorder="1"/>
    <xf numFmtId="0" fontId="7" fillId="0" borderId="60" xfId="0" applyFont="1" applyBorder="1"/>
    <xf numFmtId="0" fontId="7" fillId="0" borderId="61" xfId="0" applyFont="1" applyBorder="1"/>
    <xf numFmtId="0" fontId="0" fillId="7" borderId="0" xfId="0" applyFill="1"/>
    <xf numFmtId="0" fontId="0" fillId="2" borderId="0" xfId="0" applyFill="1"/>
    <xf numFmtId="0" fontId="3" fillId="2" borderId="0" xfId="0" quotePrefix="1" applyFont="1" applyFill="1"/>
    <xf numFmtId="0" fontId="0" fillId="0" borderId="62" xfId="0" applyBorder="1"/>
    <xf numFmtId="0" fontId="0" fillId="0" borderId="63" xfId="0" applyBorder="1"/>
    <xf numFmtId="0" fontId="7" fillId="0" borderId="64" xfId="0" applyFont="1" applyBorder="1"/>
    <xf numFmtId="0" fontId="7" fillId="0" borderId="65" xfId="0" applyFont="1" applyBorder="1"/>
    <xf numFmtId="0" fontId="7" fillId="0" borderId="66" xfId="0" applyFont="1" applyBorder="1"/>
    <xf numFmtId="0" fontId="7" fillId="0" borderId="67" xfId="0" applyFont="1" applyBorder="1"/>
    <xf numFmtId="0" fontId="7" fillId="0" borderId="68" xfId="0" applyFont="1" applyBorder="1"/>
    <xf numFmtId="0" fontId="10" fillId="0" borderId="67" xfId="0" applyFont="1" applyBorder="1" applyAlignment="1">
      <alignment vertical="center"/>
    </xf>
    <xf numFmtId="0" fontId="10" fillId="0" borderId="68" xfId="0" applyFont="1" applyBorder="1" applyAlignment="1">
      <alignment vertical="center"/>
    </xf>
    <xf numFmtId="0" fontId="10" fillId="0" borderId="69" xfId="0" applyFont="1" applyBorder="1" applyAlignment="1">
      <alignment vertical="center"/>
    </xf>
    <xf numFmtId="0" fontId="10" fillId="0" borderId="70" xfId="0" applyFont="1" applyBorder="1" applyAlignment="1">
      <alignment vertical="center"/>
    </xf>
    <xf numFmtId="0" fontId="7" fillId="0" borderId="71"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76" xfId="0" applyFont="1" applyBorder="1"/>
    <xf numFmtId="0" fontId="7" fillId="0" borderId="77" xfId="0" applyFont="1" applyBorder="1"/>
    <xf numFmtId="0" fontId="7" fillId="0" borderId="78" xfId="0" applyFont="1" applyBorder="1"/>
    <xf numFmtId="0" fontId="7" fillId="0" borderId="79" xfId="0" applyFont="1" applyBorder="1"/>
    <xf numFmtId="0" fontId="0" fillId="0" borderId="7" xfId="0" applyBorder="1"/>
    <xf numFmtId="0" fontId="4" fillId="3" borderId="12" xfId="0" applyFont="1" applyFill="1" applyBorder="1" applyAlignment="1"/>
    <xf numFmtId="0" fontId="3" fillId="3" borderId="15" xfId="0" applyFont="1" applyFill="1" applyBorder="1"/>
    <xf numFmtId="0" fontId="3" fillId="3" borderId="17" xfId="0" applyFont="1" applyFill="1" applyBorder="1"/>
    <xf numFmtId="0" fontId="3" fillId="3" borderId="10" xfId="0" applyFont="1" applyFill="1" applyBorder="1"/>
    <xf numFmtId="0" fontId="3" fillId="3" borderId="18" xfId="0" applyFont="1" applyFill="1" applyBorder="1"/>
    <xf numFmtId="0" fontId="3" fillId="3" borderId="12" xfId="0" applyFont="1" applyFill="1" applyBorder="1"/>
    <xf numFmtId="0" fontId="3" fillId="3" borderId="19" xfId="0" applyFont="1" applyFill="1" applyBorder="1"/>
    <xf numFmtId="0" fontId="3" fillId="3" borderId="11" xfId="0" applyFont="1" applyFill="1" applyBorder="1"/>
    <xf numFmtId="0" fontId="3" fillId="3" borderId="20" xfId="0" applyFont="1" applyFill="1" applyBorder="1"/>
    <xf numFmtId="0" fontId="3" fillId="2" borderId="21" xfId="0" applyFont="1" applyFill="1" applyBorder="1"/>
    <xf numFmtId="0" fontId="3" fillId="2" borderId="22" xfId="0" applyFont="1" applyFill="1" applyBorder="1"/>
    <xf numFmtId="0" fontId="3" fillId="2" borderId="23" xfId="0" applyFont="1" applyFill="1" applyBorder="1"/>
    <xf numFmtId="0" fontId="3" fillId="2" borderId="24" xfId="0" applyFont="1" applyFill="1" applyBorder="1"/>
    <xf numFmtId="0" fontId="3" fillId="2" borderId="25" xfId="0" applyFont="1" applyFill="1" applyBorder="1"/>
    <xf numFmtId="0" fontId="3" fillId="2" borderId="9" xfId="0" applyFont="1" applyFill="1" applyBorder="1"/>
    <xf numFmtId="0" fontId="6" fillId="3" borderId="5" xfId="0" applyFont="1" applyFill="1" applyBorder="1"/>
    <xf numFmtId="0" fontId="0" fillId="3" borderId="0" xfId="0" applyFill="1"/>
    <xf numFmtId="0" fontId="3" fillId="3" borderId="0" xfId="0" applyFont="1" applyFill="1" applyAlignment="1">
      <alignment vertical="top" wrapText="1"/>
    </xf>
    <xf numFmtId="0" fontId="5" fillId="3" borderId="9" xfId="0" applyFont="1" applyFill="1" applyBorder="1"/>
    <xf numFmtId="0" fontId="3" fillId="3" borderId="0" xfId="0" applyFont="1" applyFill="1" applyAlignment="1">
      <alignment horizontal="left"/>
    </xf>
    <xf numFmtId="0" fontId="3" fillId="3" borderId="0" xfId="0" applyFont="1" applyFill="1" applyAlignment="1">
      <alignment horizontal="left" vertical="top" wrapText="1"/>
    </xf>
    <xf numFmtId="0" fontId="3" fillId="3" borderId="0" xfId="0" applyFont="1" applyFill="1" applyAlignment="1">
      <alignment horizontal="left" wrapText="1"/>
    </xf>
    <xf numFmtId="0" fontId="3" fillId="3" borderId="22" xfId="0" applyFont="1" applyFill="1" applyBorder="1" applyAlignment="1">
      <alignment horizontal="left"/>
    </xf>
    <xf numFmtId="0" fontId="3" fillId="3" borderId="44" xfId="0" applyFont="1" applyFill="1" applyBorder="1" applyAlignment="1">
      <alignment horizontal="left"/>
    </xf>
    <xf numFmtId="49" fontId="1" fillId="2" borderId="0" xfId="0" applyNumberFormat="1" applyFont="1" applyFill="1" applyBorder="1"/>
    <xf numFmtId="49" fontId="3" fillId="3" borderId="2" xfId="0" applyNumberFormat="1" applyFont="1" applyFill="1" applyBorder="1"/>
    <xf numFmtId="49" fontId="3" fillId="3" borderId="0" xfId="0" applyNumberFormat="1" applyFont="1" applyFill="1" applyBorder="1"/>
    <xf numFmtId="0" fontId="5" fillId="2" borderId="26" xfId="0" applyFont="1" applyFill="1" applyBorder="1" applyAlignment="1"/>
    <xf numFmtId="0" fontId="3" fillId="2" borderId="16" xfId="0" applyFont="1" applyFill="1" applyBorder="1"/>
    <xf numFmtId="0" fontId="3" fillId="2" borderId="27" xfId="0" applyFont="1" applyFill="1" applyBorder="1"/>
    <xf numFmtId="0" fontId="3" fillId="2" borderId="16" xfId="0" applyFont="1" applyFill="1" applyBorder="1" applyAlignment="1"/>
    <xf numFmtId="0" fontId="3" fillId="3" borderId="80" xfId="0" applyFont="1" applyFill="1" applyBorder="1" applyAlignment="1"/>
    <xf numFmtId="0" fontId="1" fillId="3" borderId="80" xfId="0" applyFont="1" applyFill="1" applyBorder="1"/>
    <xf numFmtId="0" fontId="3" fillId="3" borderId="80" xfId="0" applyFont="1" applyFill="1" applyBorder="1"/>
    <xf numFmtId="0" fontId="3" fillId="3" borderId="81" xfId="0" applyFont="1" applyFill="1" applyBorder="1"/>
    <xf numFmtId="0" fontId="1" fillId="3" borderId="81" xfId="0" applyFont="1" applyFill="1" applyBorder="1"/>
    <xf numFmtId="0" fontId="1" fillId="3" borderId="81" xfId="0" quotePrefix="1" applyFont="1" applyFill="1" applyBorder="1"/>
    <xf numFmtId="0" fontId="3" fillId="3" borderId="82" xfId="0" applyFont="1" applyFill="1" applyBorder="1"/>
    <xf numFmtId="0" fontId="1" fillId="3" borderId="82" xfId="0" applyFont="1" applyFill="1" applyBorder="1"/>
    <xf numFmtId="0" fontId="3" fillId="3" borderId="83" xfId="0" applyFont="1" applyFill="1" applyBorder="1"/>
    <xf numFmtId="0" fontId="1" fillId="3" borderId="83" xfId="0" applyFont="1" applyFill="1" applyBorder="1"/>
    <xf numFmtId="0" fontId="3" fillId="3" borderId="84" xfId="0" applyFont="1" applyFill="1" applyBorder="1"/>
    <xf numFmtId="0" fontId="1" fillId="3" borderId="84" xfId="0" applyFont="1" applyFill="1" applyBorder="1"/>
    <xf numFmtId="0" fontId="11" fillId="3" borderId="85" xfId="0" applyFont="1" applyFill="1" applyBorder="1"/>
    <xf numFmtId="0" fontId="3" fillId="3" borderId="86" xfId="0" applyFont="1" applyFill="1" applyBorder="1"/>
    <xf numFmtId="0" fontId="11" fillId="3" borderId="87" xfId="0" applyFont="1" applyFill="1" applyBorder="1"/>
    <xf numFmtId="0" fontId="3" fillId="3" borderId="88" xfId="0" applyFont="1" applyFill="1" applyBorder="1"/>
    <xf numFmtId="0" fontId="11" fillId="3" borderId="89" xfId="0" applyFont="1" applyFill="1" applyBorder="1"/>
    <xf numFmtId="0" fontId="3" fillId="3" borderId="90" xfId="0" applyFont="1" applyFill="1" applyBorder="1"/>
    <xf numFmtId="0" fontId="11" fillId="3" borderId="91" xfId="0" applyFont="1" applyFill="1" applyBorder="1"/>
    <xf numFmtId="0" fontId="3" fillId="3" borderId="92" xfId="0" applyFont="1" applyFill="1" applyBorder="1"/>
    <xf numFmtId="0" fontId="11" fillId="3" borderId="93" xfId="0" applyFont="1" applyFill="1" applyBorder="1"/>
    <xf numFmtId="0" fontId="3" fillId="3" borderId="94" xfId="0" applyFont="1" applyFill="1" applyBorder="1"/>
    <xf numFmtId="0" fontId="5" fillId="3" borderId="85" xfId="0" applyFont="1" applyFill="1" applyBorder="1"/>
    <xf numFmtId="0" fontId="5" fillId="3" borderId="87" xfId="0" applyFont="1" applyFill="1" applyBorder="1"/>
    <xf numFmtId="0" fontId="5" fillId="3" borderId="89" xfId="0" applyFont="1" applyFill="1" applyBorder="1"/>
    <xf numFmtId="0" fontId="5" fillId="3" borderId="91" xfId="0" applyFont="1" applyFill="1" applyBorder="1"/>
    <xf numFmtId="0" fontId="5" fillId="3" borderId="93" xfId="0" applyFont="1" applyFill="1" applyBorder="1"/>
    <xf numFmtId="0" fontId="11" fillId="3" borderId="4" xfId="0" applyFont="1" applyFill="1" applyBorder="1"/>
    <xf numFmtId="0" fontId="5" fillId="2" borderId="26" xfId="0" applyFont="1" applyFill="1" applyBorder="1"/>
    <xf numFmtId="0" fontId="11" fillId="3" borderId="95" xfId="0" applyFont="1" applyFill="1" applyBorder="1"/>
    <xf numFmtId="0" fontId="3" fillId="3" borderId="96" xfId="0" applyFont="1" applyFill="1" applyBorder="1"/>
    <xf numFmtId="0" fontId="1" fillId="3" borderId="96" xfId="0" applyFont="1" applyFill="1" applyBorder="1"/>
    <xf numFmtId="0" fontId="3" fillId="3" borderId="97" xfId="0" applyFont="1" applyFill="1" applyBorder="1"/>
    <xf numFmtId="0" fontId="5" fillId="3" borderId="98" xfId="0" applyFont="1" applyFill="1" applyBorder="1"/>
    <xf numFmtId="0" fontId="1" fillId="3" borderId="44" xfId="0" applyFont="1" applyFill="1" applyBorder="1"/>
    <xf numFmtId="0" fontId="3" fillId="3" borderId="99" xfId="0" applyFont="1" applyFill="1" applyBorder="1"/>
    <xf numFmtId="0" fontId="5" fillId="3" borderId="100" xfId="0" applyFont="1" applyFill="1" applyBorder="1"/>
    <xf numFmtId="0" fontId="1" fillId="3" borderId="43" xfId="0" applyFont="1" applyFill="1" applyBorder="1"/>
    <xf numFmtId="0" fontId="3" fillId="3" borderId="101" xfId="0" applyFont="1" applyFill="1" applyBorder="1"/>
    <xf numFmtId="0" fontId="5" fillId="3" borderId="102" xfId="0" applyFont="1" applyFill="1" applyBorder="1"/>
    <xf numFmtId="0" fontId="3" fillId="3" borderId="103" xfId="0" applyFont="1" applyFill="1" applyBorder="1"/>
    <xf numFmtId="0" fontId="1" fillId="3" borderId="103" xfId="0" applyFont="1" applyFill="1" applyBorder="1"/>
    <xf numFmtId="0" fontId="3" fillId="3" borderId="104" xfId="0" applyFont="1" applyFill="1" applyBorder="1"/>
    <xf numFmtId="0" fontId="3" fillId="3" borderId="87" xfId="0" applyFont="1" applyFill="1" applyBorder="1"/>
    <xf numFmtId="0" fontId="3" fillId="3" borderId="93" xfId="0" applyFont="1" applyFill="1" applyBorder="1"/>
    <xf numFmtId="0" fontId="5" fillId="2" borderId="16" xfId="0" applyFont="1" applyFill="1" applyBorder="1"/>
    <xf numFmtId="0" fontId="5" fillId="2" borderId="27" xfId="0" applyFont="1" applyFill="1" applyBorder="1"/>
    <xf numFmtId="0" fontId="3" fillId="3" borderId="85" xfId="0" applyFont="1" applyFill="1" applyBorder="1"/>
    <xf numFmtId="0" fontId="12" fillId="3" borderId="4" xfId="0" applyFont="1" applyFill="1" applyBorder="1"/>
    <xf numFmtId="0" fontId="5" fillId="3" borderId="0" xfId="0" applyFont="1" applyFill="1"/>
    <xf numFmtId="0" fontId="3" fillId="3" borderId="0" xfId="0" applyFont="1" applyFill="1" applyAlignment="1">
      <alignment wrapText="1"/>
    </xf>
    <xf numFmtId="0" fontId="37" fillId="0" borderId="0" xfId="0" applyFont="1"/>
    <xf numFmtId="0" fontId="1" fillId="3" borderId="0" xfId="0" applyFont="1" applyFill="1" applyBorder="1" applyAlignment="1">
      <alignment horizontal="center" vertical="center" wrapText="1"/>
    </xf>
    <xf numFmtId="0" fontId="1" fillId="3" borderId="22" xfId="0" applyFont="1" applyFill="1" applyBorder="1" applyAlignment="1">
      <alignment horizontal="left" vertical="top" wrapText="1"/>
    </xf>
    <xf numFmtId="0" fontId="1" fillId="3" borderId="0" xfId="0" applyFont="1" applyFill="1" applyBorder="1" applyAlignment="1">
      <alignment horizontal="left" vertical="top" wrapText="1"/>
    </xf>
    <xf numFmtId="0" fontId="4" fillId="3" borderId="0" xfId="0" applyFont="1" applyFill="1" applyBorder="1" applyAlignment="1">
      <alignment horizontal="center"/>
    </xf>
    <xf numFmtId="0" fontId="4" fillId="3" borderId="9" xfId="0" applyFont="1" applyFill="1" applyBorder="1" applyAlignment="1">
      <alignment horizontal="center"/>
    </xf>
    <xf numFmtId="0" fontId="4" fillId="3" borderId="0" xfId="0" applyFont="1" applyFill="1" applyBorder="1" applyAlignment="1">
      <alignment horizontal="left"/>
    </xf>
    <xf numFmtId="0" fontId="4" fillId="3" borderId="9" xfId="0" applyFont="1" applyFill="1" applyBorder="1" applyAlignment="1">
      <alignment horizontal="left"/>
    </xf>
    <xf numFmtId="0" fontId="1" fillId="3" borderId="0" xfId="0" applyFont="1" applyFill="1" applyBorder="1" applyAlignment="1">
      <alignment horizontal="center"/>
    </xf>
    <xf numFmtId="0" fontId="13" fillId="3" borderId="22" xfId="0" applyFont="1" applyFill="1" applyBorder="1" applyAlignment="1">
      <alignment horizontal="center"/>
    </xf>
    <xf numFmtId="0" fontId="14" fillId="3" borderId="0" xfId="0" applyFont="1" applyFill="1" applyBorder="1" applyAlignment="1">
      <alignment horizontal="center"/>
    </xf>
    <xf numFmtId="0" fontId="15" fillId="3" borderId="0" xfId="0" applyFont="1" applyFill="1" applyBorder="1" applyAlignment="1">
      <alignment horizontal="center"/>
    </xf>
    <xf numFmtId="0" fontId="16" fillId="3" borderId="0" xfId="0" applyFont="1" applyFill="1" applyBorder="1" applyAlignment="1">
      <alignment horizontal="center"/>
    </xf>
    <xf numFmtId="1" fontId="5" fillId="13" borderId="26" xfId="0" applyNumberFormat="1" applyFont="1" applyFill="1" applyBorder="1" applyAlignment="1">
      <alignment horizontal="center"/>
    </xf>
    <xf numFmtId="1" fontId="5" fillId="13" borderId="16" xfId="0" applyNumberFormat="1" applyFont="1" applyFill="1" applyBorder="1" applyAlignment="1">
      <alignment horizontal="center"/>
    </xf>
    <xf numFmtId="1" fontId="5" fillId="13" borderId="27" xfId="0" applyNumberFormat="1" applyFont="1" applyFill="1" applyBorder="1" applyAlignment="1">
      <alignment horizontal="center"/>
    </xf>
    <xf numFmtId="0" fontId="5" fillId="3" borderId="26" xfId="0" applyFont="1" applyFill="1" applyBorder="1" applyAlignment="1">
      <alignment horizontal="center"/>
    </xf>
    <xf numFmtId="0" fontId="5" fillId="3" borderId="16" xfId="0" applyFont="1" applyFill="1" applyBorder="1" applyAlignment="1">
      <alignment horizontal="center"/>
    </xf>
    <xf numFmtId="0" fontId="5" fillId="3" borderId="27" xfId="0" applyFont="1" applyFill="1" applyBorder="1" applyAlignment="1">
      <alignment horizontal="center"/>
    </xf>
    <xf numFmtId="1" fontId="17" fillId="13" borderId="1" xfId="0" applyNumberFormat="1" applyFont="1" applyFill="1" applyBorder="1" applyAlignment="1">
      <alignment horizontal="center"/>
    </xf>
    <xf numFmtId="1" fontId="17" fillId="13" borderId="2" xfId="0" applyNumberFormat="1" applyFont="1" applyFill="1" applyBorder="1" applyAlignment="1">
      <alignment horizontal="center"/>
    </xf>
    <xf numFmtId="1" fontId="17" fillId="13" borderId="3" xfId="0" applyNumberFormat="1" applyFont="1" applyFill="1" applyBorder="1" applyAlignment="1">
      <alignment horizontal="center"/>
    </xf>
    <xf numFmtId="1" fontId="17" fillId="13" borderId="6" xfId="0" applyNumberFormat="1" applyFont="1" applyFill="1" applyBorder="1" applyAlignment="1">
      <alignment horizontal="center"/>
    </xf>
    <xf numFmtId="1" fontId="17" fillId="13" borderId="7" xfId="0" applyNumberFormat="1" applyFont="1" applyFill="1" applyBorder="1" applyAlignment="1">
      <alignment horizontal="center"/>
    </xf>
    <xf numFmtId="1" fontId="17" fillId="13" borderId="8" xfId="0" applyNumberFormat="1" applyFont="1" applyFill="1" applyBorder="1" applyAlignment="1">
      <alignment horizontal="center"/>
    </xf>
    <xf numFmtId="49" fontId="3" fillId="14" borderId="26" xfId="0" applyNumberFormat="1" applyFont="1" applyFill="1" applyBorder="1" applyAlignment="1">
      <alignment horizontal="center"/>
    </xf>
    <xf numFmtId="49" fontId="3" fillId="14" borderId="16" xfId="0" applyNumberFormat="1" applyFont="1" applyFill="1" applyBorder="1" applyAlignment="1">
      <alignment horizontal="center"/>
    </xf>
    <xf numFmtId="49" fontId="3" fillId="14" borderId="27" xfId="0" applyNumberFormat="1" applyFont="1" applyFill="1" applyBorder="1" applyAlignment="1">
      <alignment horizontal="center"/>
    </xf>
    <xf numFmtId="0" fontId="6" fillId="3" borderId="0" xfId="0" applyFont="1" applyFill="1" applyBorder="1" applyAlignment="1">
      <alignment horizontal="left" vertical="top" wrapText="1"/>
    </xf>
    <xf numFmtId="49" fontId="3" fillId="13" borderId="26" xfId="0" applyNumberFormat="1" applyFont="1" applyFill="1" applyBorder="1" applyAlignment="1">
      <alignment horizontal="center"/>
    </xf>
    <xf numFmtId="49" fontId="3" fillId="13" borderId="16" xfId="0" applyNumberFormat="1" applyFont="1" applyFill="1" applyBorder="1" applyAlignment="1">
      <alignment horizontal="center"/>
    </xf>
    <xf numFmtId="49" fontId="3" fillId="13" borderId="27" xfId="0" applyNumberFormat="1" applyFont="1" applyFill="1" applyBorder="1" applyAlignment="1">
      <alignment horizontal="center"/>
    </xf>
    <xf numFmtId="0" fontId="3" fillId="3" borderId="26" xfId="0" applyFont="1" applyFill="1" applyBorder="1" applyAlignment="1">
      <alignment horizontal="center"/>
    </xf>
    <xf numFmtId="0" fontId="3" fillId="3" borderId="16" xfId="0" applyFont="1" applyFill="1" applyBorder="1" applyAlignment="1">
      <alignment horizontal="center"/>
    </xf>
    <xf numFmtId="0" fontId="3" fillId="3" borderId="27" xfId="0" applyFont="1" applyFill="1" applyBorder="1" applyAlignment="1">
      <alignment horizontal="center"/>
    </xf>
    <xf numFmtId="1" fontId="3" fillId="3" borderId="26" xfId="0" applyNumberFormat="1" applyFont="1" applyFill="1" applyBorder="1" applyAlignment="1">
      <alignment horizontal="center"/>
    </xf>
    <xf numFmtId="0" fontId="3" fillId="3" borderId="22" xfId="0" applyFont="1" applyFill="1" applyBorder="1" applyAlignment="1">
      <alignment horizontal="center" wrapText="1"/>
    </xf>
    <xf numFmtId="0" fontId="3" fillId="3" borderId="7" xfId="0" applyFont="1" applyFill="1" applyBorder="1" applyAlignment="1">
      <alignment horizontal="center" wrapText="1"/>
    </xf>
    <xf numFmtId="0" fontId="1" fillId="3" borderId="22" xfId="0" applyFont="1" applyFill="1" applyBorder="1" applyAlignment="1">
      <alignment horizontal="center" wrapText="1"/>
    </xf>
    <xf numFmtId="0" fontId="1" fillId="3" borderId="22" xfId="0" applyFont="1" applyFill="1" applyBorder="1" applyAlignment="1">
      <alignment horizontal="center"/>
    </xf>
    <xf numFmtId="0" fontId="1" fillId="3" borderId="7" xfId="0" applyFont="1" applyFill="1" applyBorder="1" applyAlignment="1">
      <alignment horizontal="center"/>
    </xf>
    <xf numFmtId="0" fontId="3" fillId="3" borderId="22" xfId="0" applyFont="1" applyFill="1" applyBorder="1" applyAlignment="1">
      <alignment horizontal="center"/>
    </xf>
    <xf numFmtId="0" fontId="3" fillId="3" borderId="7" xfId="0" applyFont="1" applyFill="1" applyBorder="1" applyAlignment="1">
      <alignment horizontal="center"/>
    </xf>
    <xf numFmtId="1" fontId="3" fillId="14" borderId="26" xfId="0" applyNumberFormat="1" applyFont="1" applyFill="1" applyBorder="1" applyAlignment="1">
      <alignment horizontal="center"/>
    </xf>
    <xf numFmtId="1" fontId="3" fillId="14" borderId="16" xfId="0" applyNumberFormat="1" applyFont="1" applyFill="1" applyBorder="1" applyAlignment="1">
      <alignment horizontal="center"/>
    </xf>
    <xf numFmtId="1" fontId="3" fillId="14" borderId="27" xfId="0" applyNumberFormat="1" applyFont="1" applyFill="1" applyBorder="1" applyAlignment="1">
      <alignment horizontal="center"/>
    </xf>
    <xf numFmtId="1" fontId="3" fillId="3" borderId="16" xfId="0" applyNumberFormat="1" applyFont="1" applyFill="1" applyBorder="1" applyAlignment="1">
      <alignment horizontal="center"/>
    </xf>
    <xf numFmtId="1" fontId="3" fillId="3" borderId="27" xfId="0" applyNumberFormat="1" applyFont="1" applyFill="1" applyBorder="1" applyAlignment="1">
      <alignment horizontal="center"/>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3" borderId="5" xfId="0" applyFont="1" applyFill="1" applyBorder="1" applyAlignment="1">
      <alignment horizontal="center"/>
    </xf>
    <xf numFmtId="0" fontId="3" fillId="3" borderId="2" xfId="0" applyFont="1" applyFill="1" applyBorder="1" applyAlignment="1">
      <alignment horizontal="center" wrapText="1"/>
    </xf>
    <xf numFmtId="0" fontId="3" fillId="3" borderId="2" xfId="0" applyFont="1" applyFill="1" applyBorder="1" applyAlignment="1">
      <alignment horizontal="center"/>
    </xf>
    <xf numFmtId="0" fontId="3" fillId="3" borderId="44" xfId="0" applyFont="1" applyFill="1" applyBorder="1" applyAlignment="1">
      <alignment horizontal="left"/>
    </xf>
    <xf numFmtId="0" fontId="3" fillId="3" borderId="43" xfId="0" applyFont="1" applyFill="1" applyBorder="1" applyAlignment="1">
      <alignment horizontal="left"/>
    </xf>
    <xf numFmtId="0" fontId="3" fillId="13" borderId="26" xfId="0" applyFont="1" applyFill="1" applyBorder="1" applyAlignment="1">
      <alignment horizontal="center"/>
    </xf>
    <xf numFmtId="0" fontId="3" fillId="13" borderId="16" xfId="0" applyFont="1" applyFill="1" applyBorder="1" applyAlignment="1">
      <alignment horizontal="center"/>
    </xf>
    <xf numFmtId="0" fontId="3" fillId="13" borderId="27" xfId="0" applyFont="1" applyFill="1" applyBorder="1" applyAlignment="1">
      <alignment horizontal="center"/>
    </xf>
    <xf numFmtId="1" fontId="3" fillId="13" borderId="26"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27" xfId="0" applyNumberFormat="1" applyFont="1" applyFill="1" applyBorder="1" applyAlignment="1">
      <alignment horizontal="center"/>
    </xf>
    <xf numFmtId="0" fontId="18" fillId="3" borderId="0" xfId="0" applyFont="1" applyFill="1" applyBorder="1" applyAlignment="1">
      <alignment horizontal="center" vertical="top" wrapText="1"/>
    </xf>
    <xf numFmtId="0" fontId="3" fillId="5" borderId="26" xfId="0" applyFont="1" applyFill="1" applyBorder="1" applyAlignment="1">
      <alignment horizontal="center"/>
    </xf>
    <xf numFmtId="0" fontId="3" fillId="5" borderId="16" xfId="0" applyFont="1" applyFill="1" applyBorder="1" applyAlignment="1">
      <alignment horizontal="center"/>
    </xf>
    <xf numFmtId="0" fontId="3" fillId="5" borderId="27" xfId="0" applyFont="1" applyFill="1" applyBorder="1" applyAlignment="1">
      <alignment horizontal="center"/>
    </xf>
    <xf numFmtId="0" fontId="6" fillId="2" borderId="0" xfId="0" applyFont="1" applyFill="1" applyAlignment="1">
      <alignment horizontal="center" vertical="center" wrapText="1"/>
    </xf>
    <xf numFmtId="164" fontId="3" fillId="3" borderId="26" xfId="0" applyNumberFormat="1" applyFont="1" applyFill="1" applyBorder="1" applyAlignment="1">
      <alignment horizontal="center"/>
    </xf>
    <xf numFmtId="164" fontId="3" fillId="3" borderId="16" xfId="0" applyNumberFormat="1" applyFont="1" applyFill="1" applyBorder="1" applyAlignment="1">
      <alignment horizontal="center"/>
    </xf>
    <xf numFmtId="164" fontId="3" fillId="3" borderId="27" xfId="0" applyNumberFormat="1" applyFont="1" applyFill="1" applyBorder="1" applyAlignment="1">
      <alignment horizontal="center"/>
    </xf>
    <xf numFmtId="1" fontId="3" fillId="5" borderId="26" xfId="0" applyNumberFormat="1" applyFont="1" applyFill="1" applyBorder="1" applyAlignment="1">
      <alignment horizontal="center"/>
    </xf>
    <xf numFmtId="1" fontId="3" fillId="5" borderId="16" xfId="0" applyNumberFormat="1" applyFont="1" applyFill="1" applyBorder="1" applyAlignment="1">
      <alignment horizontal="center"/>
    </xf>
    <xf numFmtId="1" fontId="3" fillId="5" borderId="27" xfId="0" applyNumberFormat="1" applyFont="1" applyFill="1" applyBorder="1" applyAlignment="1">
      <alignment horizontal="center"/>
    </xf>
    <xf numFmtId="0" fontId="3" fillId="2" borderId="0" xfId="0" applyFont="1" applyFill="1" applyAlignment="1">
      <alignment horizontal="left"/>
    </xf>
    <xf numFmtId="0" fontId="3" fillId="2" borderId="0" xfId="0" applyFont="1" applyFill="1" applyAlignment="1">
      <alignment horizontal="center"/>
    </xf>
    <xf numFmtId="49" fontId="3" fillId="13" borderId="26" xfId="0" applyNumberFormat="1" applyFont="1" applyFill="1" applyBorder="1" applyAlignment="1">
      <alignment horizontal="left"/>
    </xf>
    <xf numFmtId="49" fontId="3" fillId="13" borderId="16" xfId="0" applyNumberFormat="1" applyFont="1" applyFill="1" applyBorder="1" applyAlignment="1">
      <alignment horizontal="left"/>
    </xf>
    <xf numFmtId="49" fontId="3" fillId="13" borderId="27" xfId="0" applyNumberFormat="1" applyFont="1" applyFill="1" applyBorder="1" applyAlignment="1">
      <alignment horizontal="left"/>
    </xf>
    <xf numFmtId="0" fontId="3" fillId="3" borderId="0" xfId="0" applyFont="1" applyFill="1" applyBorder="1" applyAlignment="1">
      <alignment horizontal="left"/>
    </xf>
    <xf numFmtId="0" fontId="3" fillId="3" borderId="105" xfId="0" applyFont="1" applyFill="1" applyBorder="1" applyAlignment="1">
      <alignment horizontal="left"/>
    </xf>
    <xf numFmtId="0" fontId="3" fillId="3" borderId="105" xfId="0" applyFont="1" applyFill="1" applyBorder="1" applyAlignment="1">
      <alignment horizontal="center"/>
    </xf>
    <xf numFmtId="0" fontId="19" fillId="3" borderId="2"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9" fillId="3" borderId="9" xfId="0" applyFont="1" applyFill="1" applyBorder="1" applyAlignment="1">
      <alignment horizontal="center" vertical="center" wrapText="1"/>
    </xf>
    <xf numFmtId="164" fontId="3" fillId="3" borderId="98" xfId="0" applyNumberFormat="1" applyFont="1" applyFill="1" applyBorder="1" applyAlignment="1">
      <alignment horizontal="center"/>
    </xf>
    <xf numFmtId="164" fontId="3" fillId="3" borderId="44" xfId="0" applyNumberFormat="1" applyFont="1" applyFill="1" applyBorder="1" applyAlignment="1">
      <alignment horizontal="center"/>
    </xf>
    <xf numFmtId="49" fontId="3" fillId="14" borderId="26" xfId="0" applyNumberFormat="1" applyFont="1" applyFill="1" applyBorder="1" applyAlignment="1">
      <alignment horizontal="left"/>
    </xf>
    <xf numFmtId="49" fontId="3" fillId="14" borderId="16" xfId="0" applyNumberFormat="1" applyFont="1" applyFill="1" applyBorder="1" applyAlignment="1">
      <alignment horizontal="left"/>
    </xf>
    <xf numFmtId="49" fontId="3" fillId="14" borderId="27" xfId="0" applyNumberFormat="1" applyFont="1" applyFill="1" applyBorder="1" applyAlignment="1">
      <alignment horizontal="left"/>
    </xf>
    <xf numFmtId="0" fontId="3" fillId="3" borderId="103" xfId="0" applyFont="1" applyFill="1" applyBorder="1" applyAlignment="1">
      <alignment horizontal="left"/>
    </xf>
    <xf numFmtId="0" fontId="6" fillId="3" borderId="44" xfId="0" applyFont="1" applyFill="1" applyBorder="1" applyAlignment="1">
      <alignment horizontal="left"/>
    </xf>
    <xf numFmtId="0" fontId="3" fillId="3" borderId="106" xfId="0" applyFont="1" applyFill="1" applyBorder="1" applyAlignment="1">
      <alignment horizontal="center"/>
    </xf>
    <xf numFmtId="0" fontId="3" fillId="3" borderId="107" xfId="0" applyFont="1" applyFill="1" applyBorder="1" applyAlignment="1">
      <alignment horizontal="center"/>
    </xf>
    <xf numFmtId="0" fontId="3" fillId="3" borderId="108" xfId="0" applyFont="1" applyFill="1" applyBorder="1" applyAlignment="1">
      <alignment horizontal="center"/>
    </xf>
    <xf numFmtId="0" fontId="6" fillId="3" borderId="22" xfId="0" applyFont="1" applyFill="1" applyBorder="1" applyAlignment="1">
      <alignment horizontal="center" vertical="top" wrapText="1"/>
    </xf>
    <xf numFmtId="0" fontId="6" fillId="3" borderId="0" xfId="0" applyFont="1" applyFill="1" applyBorder="1" applyAlignment="1">
      <alignment horizontal="center" vertical="top" wrapText="1"/>
    </xf>
    <xf numFmtId="0" fontId="3" fillId="3" borderId="109" xfId="0" applyFont="1" applyFill="1" applyBorder="1" applyAlignment="1">
      <alignment horizontal="left"/>
    </xf>
    <xf numFmtId="0" fontId="3" fillId="2" borderId="1" xfId="0" applyFont="1" applyFill="1" applyBorder="1" applyAlignment="1">
      <alignment horizontal="center" vertical="top" wrapText="1"/>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0" fontId="3" fillId="2" borderId="8" xfId="0" applyFont="1" applyFill="1" applyBorder="1" applyAlignment="1">
      <alignment horizontal="center" vertical="top" wrapText="1"/>
    </xf>
    <xf numFmtId="49" fontId="1" fillId="13" borderId="26" xfId="0" applyNumberFormat="1" applyFont="1" applyFill="1" applyBorder="1" applyAlignment="1">
      <alignment horizontal="center"/>
    </xf>
    <xf numFmtId="49" fontId="1" fillId="13" borderId="16" xfId="0" applyNumberFormat="1" applyFont="1" applyFill="1" applyBorder="1" applyAlignment="1">
      <alignment horizontal="center"/>
    </xf>
    <xf numFmtId="49" fontId="1" fillId="13" borderId="27" xfId="0" applyNumberFormat="1" applyFont="1" applyFill="1" applyBorder="1" applyAlignment="1">
      <alignment horizontal="center"/>
    </xf>
    <xf numFmtId="1" fontId="3" fillId="2" borderId="0" xfId="0" applyNumberFormat="1" applyFont="1" applyFill="1" applyAlignment="1">
      <alignment horizontal="center"/>
    </xf>
    <xf numFmtId="0" fontId="1" fillId="2" borderId="0" xfId="0" applyFont="1" applyFill="1" applyAlignment="1">
      <alignment horizontal="center"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6"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1" fillId="3" borderId="26" xfId="0" applyFont="1" applyFill="1" applyBorder="1" applyAlignment="1">
      <alignment horizontal="left"/>
    </xf>
    <xf numFmtId="0" fontId="1" fillId="3" borderId="16" xfId="0" applyFont="1" applyFill="1" applyBorder="1" applyAlignment="1">
      <alignment horizontal="left"/>
    </xf>
    <xf numFmtId="0" fontId="1" fillId="3" borderId="27" xfId="0" applyFont="1" applyFill="1" applyBorder="1" applyAlignment="1">
      <alignment horizontal="left"/>
    </xf>
    <xf numFmtId="49" fontId="3" fillId="3" borderId="26" xfId="0" applyNumberFormat="1" applyFont="1" applyFill="1" applyBorder="1" applyAlignment="1">
      <alignment horizontal="left"/>
    </xf>
    <xf numFmtId="49" fontId="3" fillId="3" borderId="16" xfId="0" applyNumberFormat="1" applyFont="1" applyFill="1" applyBorder="1" applyAlignment="1">
      <alignment horizontal="left"/>
    </xf>
    <xf numFmtId="0" fontId="6" fillId="3" borderId="28" xfId="0" applyFont="1" applyFill="1" applyBorder="1" applyAlignment="1">
      <alignment horizontal="center"/>
    </xf>
    <xf numFmtId="0" fontId="6" fillId="3" borderId="0" xfId="0" applyFont="1" applyFill="1" applyBorder="1" applyAlignment="1">
      <alignment horizontal="center"/>
    </xf>
    <xf numFmtId="0" fontId="3" fillId="2" borderId="21" xfId="0" applyFont="1" applyFill="1" applyBorder="1" applyAlignment="1">
      <alignment horizontal="left" vertical="top" wrapText="1"/>
    </xf>
    <xf numFmtId="0" fontId="3" fillId="2" borderId="22" xfId="0" applyFont="1" applyFill="1" applyBorder="1" applyAlignment="1">
      <alignment horizontal="left" vertical="top" wrapText="1"/>
    </xf>
    <xf numFmtId="0" fontId="3" fillId="2" borderId="29"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9" xfId="0" applyFont="1" applyFill="1" applyBorder="1" applyAlignment="1">
      <alignment horizontal="left" vertical="top" wrapText="1"/>
    </xf>
    <xf numFmtId="0" fontId="3" fillId="2" borderId="30" xfId="0" applyFont="1" applyFill="1" applyBorder="1" applyAlignment="1">
      <alignment horizontal="left" vertical="top" wrapText="1"/>
    </xf>
    <xf numFmtId="0" fontId="3" fillId="2" borderId="22" xfId="0" applyFont="1" applyFill="1" applyBorder="1" applyAlignment="1">
      <alignment horizontal="center"/>
    </xf>
    <xf numFmtId="0" fontId="3" fillId="2" borderId="29" xfId="0" applyFont="1" applyFill="1" applyBorder="1" applyAlignment="1">
      <alignment horizontal="center"/>
    </xf>
    <xf numFmtId="0" fontId="3" fillId="2" borderId="0" xfId="0" applyFont="1" applyFill="1" applyBorder="1" applyAlignment="1">
      <alignment horizontal="center"/>
    </xf>
    <xf numFmtId="0" fontId="3" fillId="2" borderId="24" xfId="0" applyFont="1" applyFill="1" applyBorder="1" applyAlignment="1">
      <alignment horizontal="center"/>
    </xf>
    <xf numFmtId="0" fontId="3" fillId="2" borderId="9" xfId="0" applyFont="1" applyFill="1" applyBorder="1" applyAlignment="1">
      <alignment horizontal="center"/>
    </xf>
    <xf numFmtId="0" fontId="3" fillId="2" borderId="30" xfId="0" applyFont="1" applyFill="1" applyBorder="1" applyAlignment="1">
      <alignment horizontal="center"/>
    </xf>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5" fillId="2" borderId="0" xfId="0" applyFont="1" applyFill="1" applyAlignment="1">
      <alignment horizontal="center" wrapText="1"/>
    </xf>
    <xf numFmtId="0" fontId="3" fillId="2" borderId="31" xfId="0" applyFont="1" applyFill="1" applyBorder="1" applyAlignment="1">
      <alignment horizontal="center"/>
    </xf>
    <xf numFmtId="0" fontId="3" fillId="2" borderId="31" xfId="0" applyFont="1" applyFill="1" applyBorder="1" applyAlignment="1">
      <alignment horizontal="left"/>
    </xf>
    <xf numFmtId="0" fontId="5" fillId="2" borderId="0" xfId="0" applyFont="1" applyFill="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23" xfId="0" applyFont="1" applyFill="1" applyBorder="1" applyAlignment="1">
      <alignment horizontal="left" vertical="top" wrapText="1"/>
    </xf>
    <xf numFmtId="0" fontId="3" fillId="3" borderId="24" xfId="0" applyFont="1" applyFill="1" applyBorder="1" applyAlignment="1">
      <alignment horizontal="left" vertical="top" wrapText="1"/>
    </xf>
    <xf numFmtId="0" fontId="3" fillId="3" borderId="25"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30" xfId="0" applyFont="1" applyFill="1" applyBorder="1" applyAlignment="1">
      <alignment horizontal="left" vertical="top" wrapText="1"/>
    </xf>
    <xf numFmtId="2" fontId="3" fillId="2" borderId="0" xfId="0" applyNumberFormat="1" applyFont="1" applyFill="1" applyAlignment="1">
      <alignment horizontal="center"/>
    </xf>
    <xf numFmtId="0" fontId="3" fillId="2" borderId="32" xfId="0" applyFont="1" applyFill="1" applyBorder="1" applyAlignment="1">
      <alignment horizontal="left"/>
    </xf>
    <xf numFmtId="0" fontId="3" fillId="2" borderId="33" xfId="0" applyFont="1" applyFill="1" applyBorder="1" applyAlignment="1">
      <alignment horizontal="left"/>
    </xf>
    <xf numFmtId="0" fontId="3" fillId="2" borderId="34" xfId="0" applyFont="1" applyFill="1" applyBorder="1" applyAlignment="1">
      <alignment horizontal="left"/>
    </xf>
    <xf numFmtId="0" fontId="3" fillId="2" borderId="31" xfId="0" applyFont="1" applyFill="1" applyBorder="1" applyAlignment="1">
      <alignment horizontal="left" wrapText="1"/>
    </xf>
    <xf numFmtId="0" fontId="3" fillId="3" borderId="0" xfId="0" applyFont="1" applyFill="1" applyBorder="1" applyAlignment="1">
      <alignment horizontal="center" wrapText="1"/>
    </xf>
    <xf numFmtId="49" fontId="3" fillId="13" borderId="1" xfId="0" applyNumberFormat="1" applyFont="1" applyFill="1" applyBorder="1" applyAlignment="1">
      <alignment horizontal="left" vertical="top"/>
    </xf>
    <xf numFmtId="49" fontId="3" fillId="13" borderId="2" xfId="0" applyNumberFormat="1" applyFont="1" applyFill="1" applyBorder="1" applyAlignment="1">
      <alignment horizontal="left" vertical="top"/>
    </xf>
    <xf numFmtId="49" fontId="3" fillId="13" borderId="3" xfId="0" applyNumberFormat="1" applyFont="1" applyFill="1" applyBorder="1" applyAlignment="1">
      <alignment horizontal="left" vertical="top"/>
    </xf>
    <xf numFmtId="49" fontId="3" fillId="13" borderId="6" xfId="0" applyNumberFormat="1" applyFont="1" applyFill="1" applyBorder="1" applyAlignment="1">
      <alignment horizontal="left" vertical="top"/>
    </xf>
    <xf numFmtId="49" fontId="3" fillId="13" borderId="7" xfId="0" applyNumberFormat="1" applyFont="1" applyFill="1" applyBorder="1" applyAlignment="1">
      <alignment horizontal="left" vertical="top"/>
    </xf>
    <xf numFmtId="49" fontId="3" fillId="13" borderId="8" xfId="0" applyNumberFormat="1" applyFont="1" applyFill="1" applyBorder="1" applyAlignment="1">
      <alignment horizontal="left" vertical="top"/>
    </xf>
    <xf numFmtId="49" fontId="3" fillId="3" borderId="26" xfId="0" applyNumberFormat="1" applyFont="1" applyFill="1" applyBorder="1" applyAlignment="1">
      <alignment horizontal="center"/>
    </xf>
    <xf numFmtId="49" fontId="3" fillId="3" borderId="16" xfId="0" applyNumberFormat="1" applyFont="1" applyFill="1" applyBorder="1" applyAlignment="1">
      <alignment horizontal="center"/>
    </xf>
    <xf numFmtId="49" fontId="3" fillId="3" borderId="27" xfId="0" applyNumberFormat="1" applyFont="1" applyFill="1" applyBorder="1" applyAlignment="1">
      <alignment horizontal="center"/>
    </xf>
    <xf numFmtId="0" fontId="3" fillId="3" borderId="26" xfId="0" applyFont="1" applyFill="1" applyBorder="1" applyAlignment="1">
      <alignment horizontal="left"/>
    </xf>
    <xf numFmtId="0" fontId="3" fillId="3" borderId="16" xfId="0" applyFont="1" applyFill="1" applyBorder="1" applyAlignment="1">
      <alignment horizontal="left"/>
    </xf>
    <xf numFmtId="0" fontId="3" fillId="3" borderId="27" xfId="0" applyFont="1" applyFill="1" applyBorder="1" applyAlignment="1">
      <alignment horizontal="left"/>
    </xf>
    <xf numFmtId="0" fontId="3" fillId="3" borderId="6" xfId="0" applyFont="1" applyFill="1" applyBorder="1" applyAlignment="1">
      <alignment horizontal="center"/>
    </xf>
    <xf numFmtId="0" fontId="3" fillId="2" borderId="0" xfId="0" applyFont="1" applyFill="1" applyAlignment="1">
      <alignment horizontal="center" wrapText="1"/>
    </xf>
    <xf numFmtId="0" fontId="0" fillId="0" borderId="22" xfId="0" applyBorder="1"/>
    <xf numFmtId="0" fontId="0" fillId="0" borderId="29" xfId="0" applyBorder="1"/>
    <xf numFmtId="0" fontId="0" fillId="0" borderId="23" xfId="0" applyBorder="1"/>
    <xf numFmtId="0" fontId="0" fillId="0" borderId="0" xfId="0"/>
    <xf numFmtId="0" fontId="0" fillId="0" borderId="24" xfId="0" applyBorder="1"/>
    <xf numFmtId="0" fontId="0" fillId="0" borderId="25" xfId="0" applyBorder="1"/>
    <xf numFmtId="0" fontId="0" fillId="0" borderId="9" xfId="0" applyBorder="1"/>
    <xf numFmtId="0" fontId="0" fillId="0" borderId="30" xfId="0" applyBorder="1"/>
    <xf numFmtId="49" fontId="3" fillId="2" borderId="32" xfId="0" applyNumberFormat="1" applyFont="1" applyFill="1" applyBorder="1" applyAlignment="1">
      <alignment horizontal="center"/>
    </xf>
    <xf numFmtId="0" fontId="0" fillId="0" borderId="34" xfId="0" applyBorder="1"/>
    <xf numFmtId="0" fontId="3" fillId="2" borderId="32" xfId="0" applyFont="1" applyFill="1" applyBorder="1" applyAlignment="1">
      <alignment horizontal="left" wrapText="1"/>
    </xf>
    <xf numFmtId="0" fontId="0" fillId="0" borderId="33" xfId="0" applyBorder="1" applyAlignment="1"/>
    <xf numFmtId="0" fontId="0" fillId="0" borderId="34" xfId="0" applyBorder="1" applyAlignment="1"/>
    <xf numFmtId="0" fontId="3" fillId="2" borderId="33" xfId="0" applyFont="1" applyFill="1" applyBorder="1" applyAlignment="1">
      <alignment horizontal="left" wrapText="1"/>
    </xf>
    <xf numFmtId="0" fontId="3" fillId="2" borderId="34" xfId="0" applyFont="1" applyFill="1" applyBorder="1" applyAlignment="1">
      <alignment horizontal="left" wrapText="1"/>
    </xf>
    <xf numFmtId="0" fontId="0" fillId="0" borderId="16" xfId="0" applyBorder="1"/>
    <xf numFmtId="0" fontId="0" fillId="0" borderId="27" xfId="0" applyBorder="1"/>
    <xf numFmtId="0" fontId="3" fillId="3" borderId="28" xfId="0" applyFont="1" applyFill="1" applyBorder="1" applyAlignment="1">
      <alignment horizontal="left"/>
    </xf>
    <xf numFmtId="0" fontId="3" fillId="3" borderId="5" xfId="0" applyFont="1" applyFill="1" applyBorder="1" applyAlignment="1">
      <alignment horizontal="center"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4" fillId="3" borderId="2" xfId="0" applyFont="1" applyFill="1" applyBorder="1" applyAlignment="1">
      <alignment horizontal="center"/>
    </xf>
    <xf numFmtId="49" fontId="3" fillId="14" borderId="1" xfId="0" applyNumberFormat="1" applyFont="1" applyFill="1" applyBorder="1" applyAlignment="1">
      <alignment horizontal="left" vertical="top" wrapText="1"/>
    </xf>
    <xf numFmtId="49" fontId="3" fillId="14" borderId="2" xfId="0" applyNumberFormat="1" applyFont="1" applyFill="1" applyBorder="1" applyAlignment="1">
      <alignment horizontal="left" vertical="top" wrapText="1"/>
    </xf>
    <xf numFmtId="49" fontId="3" fillId="14" borderId="3" xfId="0" applyNumberFormat="1" applyFont="1" applyFill="1" applyBorder="1" applyAlignment="1">
      <alignment horizontal="left" vertical="top" wrapText="1"/>
    </xf>
    <xf numFmtId="49" fontId="3" fillId="14" borderId="4" xfId="0" applyNumberFormat="1" applyFont="1" applyFill="1" applyBorder="1" applyAlignment="1">
      <alignment horizontal="left" vertical="top" wrapText="1"/>
    </xf>
    <xf numFmtId="49" fontId="3" fillId="14" borderId="0" xfId="0" applyNumberFormat="1" applyFont="1" applyFill="1" applyBorder="1" applyAlignment="1">
      <alignment horizontal="left" vertical="top" wrapText="1"/>
    </xf>
    <xf numFmtId="49" fontId="3" fillId="14" borderId="5" xfId="0" applyNumberFormat="1" applyFont="1" applyFill="1" applyBorder="1" applyAlignment="1">
      <alignment horizontal="left" vertical="top" wrapText="1"/>
    </xf>
    <xf numFmtId="49" fontId="3" fillId="14" borderId="6" xfId="0" applyNumberFormat="1" applyFont="1" applyFill="1" applyBorder="1" applyAlignment="1">
      <alignment horizontal="left" vertical="top" wrapText="1"/>
    </xf>
    <xf numFmtId="49" fontId="3" fillId="14" borderId="7" xfId="0" applyNumberFormat="1" applyFont="1" applyFill="1" applyBorder="1" applyAlignment="1">
      <alignment horizontal="left" vertical="top" wrapText="1"/>
    </xf>
    <xf numFmtId="49" fontId="3" fillId="14" borderId="8" xfId="0" applyNumberFormat="1" applyFont="1" applyFill="1" applyBorder="1" applyAlignment="1">
      <alignment horizontal="left" vertical="top" wrapText="1"/>
    </xf>
    <xf numFmtId="0" fontId="6" fillId="3" borderId="2" xfId="0" applyFont="1" applyFill="1" applyBorder="1" applyAlignment="1">
      <alignment horizontal="left"/>
    </xf>
    <xf numFmtId="0" fontId="6" fillId="3" borderId="7" xfId="0" applyFont="1" applyFill="1" applyBorder="1" applyAlignment="1">
      <alignment horizontal="left"/>
    </xf>
    <xf numFmtId="164" fontId="3" fillId="2" borderId="26" xfId="0" applyNumberFormat="1" applyFont="1" applyFill="1" applyBorder="1" applyAlignment="1">
      <alignment horizontal="center"/>
    </xf>
    <xf numFmtId="164" fontId="3" fillId="2" borderId="16" xfId="0" applyNumberFormat="1" applyFont="1" applyFill="1" applyBorder="1" applyAlignment="1">
      <alignment horizontal="center"/>
    </xf>
    <xf numFmtId="164" fontId="3" fillId="2" borderId="27" xfId="0" applyNumberFormat="1" applyFont="1" applyFill="1" applyBorder="1" applyAlignment="1">
      <alignment horizontal="center"/>
    </xf>
    <xf numFmtId="0" fontId="5" fillId="3" borderId="0" xfId="0" applyFont="1" applyFill="1" applyBorder="1" applyAlignment="1">
      <alignment horizontal="center" wrapText="1"/>
    </xf>
    <xf numFmtId="0" fontId="5" fillId="3" borderId="0" xfId="0" applyFont="1" applyFill="1" applyBorder="1" applyAlignment="1">
      <alignment horizontal="center"/>
    </xf>
    <xf numFmtId="0" fontId="5" fillId="3" borderId="7" xfId="0" applyFont="1" applyFill="1" applyBorder="1" applyAlignment="1">
      <alignment horizontal="center"/>
    </xf>
    <xf numFmtId="164" fontId="3" fillId="13" borderId="26" xfId="0" applyNumberFormat="1" applyFont="1" applyFill="1" applyBorder="1" applyAlignment="1">
      <alignment horizontal="center"/>
    </xf>
    <xf numFmtId="164" fontId="3" fillId="13" borderId="16" xfId="0" applyNumberFormat="1" applyFont="1" applyFill="1" applyBorder="1" applyAlignment="1">
      <alignment horizontal="center"/>
    </xf>
    <xf numFmtId="164" fontId="3" fillId="13" borderId="27" xfId="0" applyNumberFormat="1" applyFont="1" applyFill="1" applyBorder="1" applyAlignment="1">
      <alignment horizontal="center"/>
    </xf>
    <xf numFmtId="0" fontId="5" fillId="15" borderId="26" xfId="0" applyFont="1" applyFill="1" applyBorder="1" applyAlignment="1">
      <alignment horizontal="center"/>
    </xf>
    <xf numFmtId="0" fontId="5" fillId="15" borderId="16" xfId="0" applyFont="1" applyFill="1" applyBorder="1" applyAlignment="1">
      <alignment horizontal="center"/>
    </xf>
    <xf numFmtId="0" fontId="5" fillId="15" borderId="27" xfId="0" applyFont="1" applyFill="1" applyBorder="1" applyAlignment="1">
      <alignment horizontal="center"/>
    </xf>
    <xf numFmtId="164" fontId="3" fillId="2" borderId="0" xfId="0" applyNumberFormat="1" applyFont="1" applyFill="1" applyAlignment="1">
      <alignment horizontal="center"/>
    </xf>
    <xf numFmtId="164" fontId="3" fillId="2" borderId="31" xfId="0" applyNumberFormat="1" applyFont="1" applyFill="1" applyBorder="1" applyAlignment="1">
      <alignment horizontal="center"/>
    </xf>
    <xf numFmtId="0" fontId="25" fillId="0" borderId="147" xfId="0" applyFont="1" applyBorder="1" applyAlignment="1">
      <alignment horizontal="center"/>
    </xf>
    <xf numFmtId="0" fontId="25" fillId="0" borderId="154" xfId="0" applyFont="1" applyBorder="1" applyAlignment="1">
      <alignment horizontal="center"/>
    </xf>
    <xf numFmtId="0" fontId="25" fillId="0" borderId="23" xfId="0" applyFont="1" applyBorder="1" applyAlignment="1">
      <alignment horizontal="center"/>
    </xf>
    <xf numFmtId="0" fontId="25" fillId="0" borderId="150" xfId="0" applyFont="1" applyBorder="1" applyAlignment="1">
      <alignment horizontal="center"/>
    </xf>
    <xf numFmtId="0" fontId="25" fillId="0" borderId="142" xfId="0" applyFont="1" applyBorder="1" applyAlignment="1">
      <alignment horizontal="center"/>
    </xf>
    <xf numFmtId="0" fontId="25" fillId="0" borderId="152" xfId="0" applyFont="1" applyBorder="1" applyAlignment="1">
      <alignment horizontal="center"/>
    </xf>
    <xf numFmtId="0" fontId="32" fillId="0" borderId="155" xfId="0" applyFont="1" applyBorder="1" applyAlignment="1">
      <alignment horizontal="center"/>
    </xf>
    <xf numFmtId="0" fontId="32" fillId="0" borderId="148" xfId="0" applyFont="1" applyBorder="1" applyAlignment="1">
      <alignment horizontal="center"/>
    </xf>
    <xf numFmtId="0" fontId="32" fillId="0" borderId="154" xfId="0" applyFont="1" applyBorder="1" applyAlignment="1">
      <alignment horizontal="center"/>
    </xf>
    <xf numFmtId="0" fontId="32" fillId="0" borderId="151" xfId="0" applyFont="1" applyBorder="1" applyAlignment="1">
      <alignment horizontal="center"/>
    </xf>
    <xf numFmtId="0" fontId="32" fillId="0" borderId="0" xfId="0" applyFont="1" applyBorder="1" applyAlignment="1">
      <alignment horizontal="center"/>
    </xf>
    <xf numFmtId="0" fontId="32" fillId="0" borderId="150" xfId="0" applyFont="1" applyBorder="1" applyAlignment="1">
      <alignment horizontal="center"/>
    </xf>
    <xf numFmtId="0" fontId="32" fillId="0" borderId="153" xfId="0" applyFont="1" applyBorder="1" applyAlignment="1">
      <alignment horizontal="center"/>
    </xf>
    <xf numFmtId="0" fontId="32" fillId="0" borderId="143" xfId="0" applyFont="1" applyBorder="1" applyAlignment="1">
      <alignment horizontal="center"/>
    </xf>
    <xf numFmtId="0" fontId="32" fillId="0" borderId="152" xfId="0" applyFont="1" applyBorder="1" applyAlignment="1">
      <alignment horizontal="center"/>
    </xf>
    <xf numFmtId="0" fontId="32" fillId="0" borderId="149" xfId="0" applyFont="1" applyBorder="1" applyAlignment="1">
      <alignment horizontal="center"/>
    </xf>
    <xf numFmtId="0" fontId="32" fillId="0" borderId="24" xfId="0" applyFont="1" applyBorder="1" applyAlignment="1">
      <alignment horizontal="center"/>
    </xf>
    <xf numFmtId="0" fontId="32" fillId="0" borderId="144" xfId="0" applyFont="1" applyBorder="1" applyAlignment="1">
      <alignment horizontal="center"/>
    </xf>
    <xf numFmtId="0" fontId="29" fillId="0" borderId="124" xfId="0" applyFont="1" applyBorder="1" applyAlignment="1">
      <alignment horizontal="center"/>
    </xf>
    <xf numFmtId="0" fontId="29" fillId="0" borderId="125" xfId="0" applyFont="1" applyBorder="1" applyAlignment="1">
      <alignment horizontal="center"/>
    </xf>
    <xf numFmtId="0" fontId="29" fillId="0" borderId="126" xfId="0" applyFont="1" applyBorder="1" applyAlignment="1">
      <alignment horizontal="center"/>
    </xf>
    <xf numFmtId="0" fontId="29" fillId="0" borderId="127" xfId="0" applyFont="1" applyBorder="1" applyAlignment="1">
      <alignment horizontal="center"/>
    </xf>
    <xf numFmtId="0" fontId="29" fillId="0" borderId="128" xfId="0" applyFont="1" applyBorder="1" applyAlignment="1">
      <alignment horizontal="center"/>
    </xf>
    <xf numFmtId="0" fontId="29" fillId="0" borderId="129" xfId="0" applyFont="1" applyBorder="1" applyAlignment="1">
      <alignment horizontal="center"/>
    </xf>
    <xf numFmtId="0" fontId="29" fillId="0" borderId="130" xfId="0" applyFont="1" applyBorder="1" applyAlignment="1">
      <alignment horizontal="center"/>
    </xf>
    <xf numFmtId="0" fontId="29" fillId="0" borderId="131" xfId="0" applyFont="1" applyBorder="1" applyAlignment="1">
      <alignment horizontal="center"/>
    </xf>
    <xf numFmtId="0" fontId="29" fillId="0" borderId="132" xfId="0" applyFont="1" applyBorder="1" applyAlignment="1">
      <alignment horizontal="center"/>
    </xf>
    <xf numFmtId="0" fontId="25" fillId="0" borderId="133" xfId="0" applyFont="1" applyBorder="1" applyAlignment="1">
      <alignment horizontal="center"/>
    </xf>
    <xf numFmtId="0" fontId="25" fillId="0" borderId="134" xfId="0" applyFont="1" applyBorder="1" applyAlignment="1">
      <alignment horizontal="center"/>
    </xf>
    <xf numFmtId="0" fontId="25" fillId="0" borderId="136" xfId="0" applyFont="1" applyBorder="1" applyAlignment="1">
      <alignment horizontal="center"/>
    </xf>
    <xf numFmtId="0" fontId="25" fillId="0" borderId="137" xfId="0" applyFont="1" applyBorder="1" applyAlignment="1">
      <alignment horizontal="center"/>
    </xf>
    <xf numFmtId="0" fontId="25" fillId="0" borderId="135" xfId="0" applyFont="1" applyBorder="1" applyAlignment="1">
      <alignment horizontal="center"/>
    </xf>
    <xf numFmtId="0" fontId="25" fillId="0" borderId="138"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30" fillId="0" borderId="29" xfId="0" applyFont="1" applyBorder="1" applyAlignment="1">
      <alignment horizontal="center"/>
    </xf>
    <xf numFmtId="0" fontId="30" fillId="0" borderId="23" xfId="0" applyFont="1" applyBorder="1" applyAlignment="1">
      <alignment horizontal="center"/>
    </xf>
    <xf numFmtId="0" fontId="30" fillId="0" borderId="0" xfId="0" applyFont="1" applyBorder="1" applyAlignment="1">
      <alignment horizontal="center"/>
    </xf>
    <xf numFmtId="0" fontId="30" fillId="0" borderId="24" xfId="0" applyFont="1" applyBorder="1" applyAlignment="1">
      <alignment horizontal="center"/>
    </xf>
    <xf numFmtId="0" fontId="30" fillId="0" borderId="25" xfId="0" applyFont="1" applyBorder="1" applyAlignment="1">
      <alignment horizontal="center"/>
    </xf>
    <xf numFmtId="0" fontId="30" fillId="0" borderId="9" xfId="0" applyFont="1" applyBorder="1" applyAlignment="1">
      <alignment horizontal="center"/>
    </xf>
    <xf numFmtId="0" fontId="30" fillId="0" borderId="30" xfId="0" applyFont="1" applyBorder="1" applyAlignment="1">
      <alignment horizontal="center"/>
    </xf>
    <xf numFmtId="0" fontId="31" fillId="0" borderId="21" xfId="0" applyFont="1" applyBorder="1" applyAlignment="1">
      <alignment horizontal="center"/>
    </xf>
    <xf numFmtId="0" fontId="31" fillId="0" borderId="22" xfId="0" applyFont="1" applyBorder="1" applyAlignment="1">
      <alignment horizontal="center"/>
    </xf>
    <xf numFmtId="0" fontId="31" fillId="0" borderId="29" xfId="0" applyFont="1" applyBorder="1" applyAlignment="1">
      <alignment horizontal="center"/>
    </xf>
    <xf numFmtId="0" fontId="31" fillId="0" borderId="23" xfId="0" applyFont="1" applyBorder="1" applyAlignment="1">
      <alignment horizontal="center"/>
    </xf>
    <xf numFmtId="0" fontId="31" fillId="0" borderId="0" xfId="0" applyFont="1" applyBorder="1" applyAlignment="1">
      <alignment horizontal="center"/>
    </xf>
    <xf numFmtId="0" fontId="31" fillId="0" borderId="24" xfId="0" applyFont="1" applyBorder="1" applyAlignment="1">
      <alignment horizontal="center"/>
    </xf>
    <xf numFmtId="0" fontId="31" fillId="0" borderId="142" xfId="0" applyFont="1" applyBorder="1" applyAlignment="1">
      <alignment horizontal="center"/>
    </xf>
    <xf numFmtId="0" fontId="31" fillId="0" borderId="143" xfId="0" applyFont="1" applyBorder="1" applyAlignment="1">
      <alignment horizontal="center"/>
    </xf>
    <xf numFmtId="0" fontId="31" fillId="0" borderId="144" xfId="0" applyFont="1" applyBorder="1" applyAlignment="1">
      <alignment horizontal="center"/>
    </xf>
    <xf numFmtId="0" fontId="25" fillId="0" borderId="21" xfId="0" applyFont="1" applyBorder="1" applyAlignment="1">
      <alignment horizontal="center"/>
    </xf>
    <xf numFmtId="0" fontId="25" fillId="0" borderId="145" xfId="0" applyFont="1" applyBorder="1" applyAlignment="1">
      <alignment horizontal="center"/>
    </xf>
    <xf numFmtId="0" fontId="32" fillId="0" borderId="146" xfId="0" applyFont="1" applyBorder="1" applyAlignment="1">
      <alignment horizontal="center"/>
    </xf>
    <xf numFmtId="0" fontId="32" fillId="0" borderId="22" xfId="0" applyFont="1" applyBorder="1" applyAlignment="1">
      <alignment horizontal="center"/>
    </xf>
    <xf numFmtId="0" fontId="32" fillId="0" borderId="145" xfId="0" applyFont="1" applyBorder="1" applyAlignment="1">
      <alignment horizontal="center"/>
    </xf>
    <xf numFmtId="0" fontId="32" fillId="0" borderId="29" xfId="0" applyFont="1" applyBorder="1" applyAlignment="1">
      <alignment horizontal="center"/>
    </xf>
    <xf numFmtId="0" fontId="31" fillId="0" borderId="147" xfId="0" applyFont="1" applyBorder="1" applyAlignment="1">
      <alignment horizontal="center"/>
    </xf>
    <xf numFmtId="0" fontId="31" fillId="0" borderId="148" xfId="0" applyFont="1" applyBorder="1" applyAlignment="1">
      <alignment horizontal="center"/>
    </xf>
    <xf numFmtId="0" fontId="31" fillId="0" borderId="149" xfId="0" applyFont="1" applyBorder="1" applyAlignment="1">
      <alignment horizontal="center"/>
    </xf>
    <xf numFmtId="0" fontId="31" fillId="0" borderId="25" xfId="0" applyFont="1" applyBorder="1" applyAlignment="1">
      <alignment horizontal="center"/>
    </xf>
    <xf numFmtId="0" fontId="31" fillId="0" borderId="9" xfId="0" applyFont="1" applyBorder="1" applyAlignment="1">
      <alignment horizontal="center"/>
    </xf>
    <xf numFmtId="0" fontId="31" fillId="0" borderId="30" xfId="0" applyFont="1" applyBorder="1" applyAlignment="1">
      <alignment horizontal="center"/>
    </xf>
    <xf numFmtId="0" fontId="25" fillId="0" borderId="139" xfId="0" applyFont="1" applyBorder="1" applyAlignment="1">
      <alignment horizontal="center"/>
    </xf>
    <xf numFmtId="0" fontId="25" fillId="0" borderId="140" xfId="0" applyFont="1" applyBorder="1" applyAlignment="1">
      <alignment horizontal="center"/>
    </xf>
    <xf numFmtId="0" fontId="31" fillId="0" borderId="23" xfId="0" applyNumberFormat="1" applyFont="1" applyBorder="1" applyAlignment="1">
      <alignment horizontal="left"/>
    </xf>
    <xf numFmtId="0" fontId="31" fillId="0" borderId="0" xfId="0" applyNumberFormat="1" applyFont="1" applyBorder="1" applyAlignment="1">
      <alignment horizontal="left"/>
    </xf>
    <xf numFmtId="0" fontId="20" fillId="0" borderId="0" xfId="0" applyFont="1" applyBorder="1" applyAlignment="1">
      <alignment horizontal="center"/>
    </xf>
    <xf numFmtId="0" fontId="20" fillId="0" borderId="110" xfId="0" applyFont="1" applyBorder="1" applyAlignment="1">
      <alignment horizontal="center"/>
    </xf>
    <xf numFmtId="0" fontId="25" fillId="0" borderId="141" xfId="0" applyFont="1" applyBorder="1" applyAlignment="1">
      <alignment horizontal="center"/>
    </xf>
    <xf numFmtId="0" fontId="8" fillId="0" borderId="37" xfId="0" applyFont="1" applyBorder="1" applyAlignment="1">
      <alignment horizontal="left"/>
    </xf>
    <xf numFmtId="0" fontId="8" fillId="0" borderId="22" xfId="0" applyFont="1" applyBorder="1" applyAlignment="1">
      <alignment horizontal="left"/>
    </xf>
    <xf numFmtId="0" fontId="8" fillId="0" borderId="38" xfId="0" applyFont="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5" xfId="0" applyFont="1" applyBorder="1" applyAlignment="1">
      <alignment horizontal="left"/>
    </xf>
    <xf numFmtId="0" fontId="8" fillId="0" borderId="19" xfId="0" applyFont="1" applyBorder="1" applyAlignment="1">
      <alignment horizontal="left"/>
    </xf>
    <xf numFmtId="0" fontId="8" fillId="0" borderId="11" xfId="0" applyFont="1" applyBorder="1" applyAlignment="1">
      <alignment horizontal="left"/>
    </xf>
    <xf numFmtId="0" fontId="8" fillId="0" borderId="20" xfId="0" applyFont="1" applyBorder="1" applyAlignment="1">
      <alignment horizontal="left"/>
    </xf>
    <xf numFmtId="0" fontId="8" fillId="0" borderId="35" xfId="0" applyFont="1" applyBorder="1" applyAlignment="1">
      <alignment horizontal="left"/>
    </xf>
    <xf numFmtId="0" fontId="8" fillId="0" borderId="9" xfId="0" applyFont="1" applyBorder="1" applyAlignment="1">
      <alignment horizontal="left"/>
    </xf>
    <xf numFmtId="0" fontId="8" fillId="0" borderId="36" xfId="0" applyFont="1" applyBorder="1" applyAlignment="1">
      <alignment horizontal="left"/>
    </xf>
    <xf numFmtId="0" fontId="21" fillId="0" borderId="0" xfId="0" applyFont="1" applyBorder="1" applyAlignment="1">
      <alignment horizontal="center" vertical="top" wrapText="1"/>
    </xf>
    <xf numFmtId="0" fontId="22" fillId="0" borderId="0" xfId="0" applyFont="1" applyBorder="1" applyAlignment="1">
      <alignment horizontal="center" vertical="center"/>
    </xf>
    <xf numFmtId="0" fontId="10" fillId="0" borderId="10" xfId="0" applyFont="1" applyBorder="1" applyAlignment="1">
      <alignment horizontal="center"/>
    </xf>
    <xf numFmtId="0" fontId="10" fillId="0" borderId="0" xfId="0" applyFont="1" applyBorder="1" applyAlignment="1">
      <alignment horizontal="center"/>
    </xf>
    <xf numFmtId="0" fontId="8" fillId="0" borderId="48" xfId="0" applyFont="1" applyBorder="1" applyAlignment="1">
      <alignment horizontal="center" vertical="center"/>
    </xf>
    <xf numFmtId="0" fontId="8" fillId="0" borderId="0" xfId="0" applyFont="1" applyBorder="1" applyAlignment="1">
      <alignment horizontal="center" vertical="center"/>
    </xf>
    <xf numFmtId="0" fontId="8" fillId="0" borderId="51" xfId="0" applyFont="1" applyBorder="1" applyAlignment="1">
      <alignment horizontal="center" vertical="center"/>
    </xf>
    <xf numFmtId="164" fontId="10" fillId="0" borderId="48" xfId="0" applyNumberFormat="1" applyFont="1" applyBorder="1" applyAlignment="1">
      <alignment horizontal="center" vertical="center"/>
    </xf>
    <xf numFmtId="164" fontId="10" fillId="0" borderId="0" xfId="0" applyNumberFormat="1" applyFont="1" applyBorder="1" applyAlignment="1">
      <alignment horizontal="center" vertical="center"/>
    </xf>
    <xf numFmtId="164" fontId="10" fillId="0" borderId="51" xfId="0" applyNumberFormat="1" applyFont="1" applyBorder="1" applyAlignment="1">
      <alignment horizontal="center" vertical="center"/>
    </xf>
    <xf numFmtId="1" fontId="10" fillId="0" borderId="48" xfId="0" applyNumberFormat="1" applyFont="1" applyBorder="1" applyAlignment="1">
      <alignment horizontal="center" vertical="center"/>
    </xf>
    <xf numFmtId="1" fontId="10" fillId="0" borderId="0"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23" fillId="0" borderId="48" xfId="0" applyFont="1" applyBorder="1" applyAlignment="1">
      <alignment horizontal="left" vertical="center"/>
    </xf>
    <xf numFmtId="0" fontId="23" fillId="0" borderId="0" xfId="0" applyFont="1" applyBorder="1" applyAlignment="1">
      <alignment horizontal="left" vertical="center"/>
    </xf>
    <xf numFmtId="0" fontId="23" fillId="0" borderId="51" xfId="0" applyFont="1" applyBorder="1" applyAlignment="1">
      <alignment horizontal="left" vertical="center"/>
    </xf>
    <xf numFmtId="0" fontId="10" fillId="3" borderId="0" xfId="0" applyFont="1" applyFill="1" applyBorder="1" applyAlignment="1">
      <alignment horizontal="center"/>
    </xf>
    <xf numFmtId="0" fontId="10" fillId="0" borderId="65" xfId="0" applyFont="1" applyBorder="1" applyAlignment="1">
      <alignment horizontal="center" vertical="center"/>
    </xf>
    <xf numFmtId="0" fontId="10" fillId="0" borderId="0" xfId="0" applyFont="1" applyBorder="1" applyAlignment="1">
      <alignment horizontal="center" vertical="center"/>
    </xf>
    <xf numFmtId="0" fontId="10" fillId="0" borderId="72" xfId="0" applyFont="1" applyBorder="1" applyAlignment="1">
      <alignment horizontal="center" vertical="center"/>
    </xf>
    <xf numFmtId="0" fontId="8" fillId="0" borderId="0" xfId="0" applyFont="1" applyBorder="1" applyAlignment="1">
      <alignment horizontal="left" vertical="top" wrapText="1"/>
    </xf>
    <xf numFmtId="0" fontId="10" fillId="3" borderId="0" xfId="0" applyFont="1" applyFill="1" applyBorder="1" applyAlignment="1">
      <alignment horizontal="left"/>
    </xf>
    <xf numFmtId="0" fontId="20" fillId="0" borderId="0" xfId="0" applyFont="1" applyAlignment="1">
      <alignment horizontal="left" vertical="top" wrapText="1"/>
    </xf>
    <xf numFmtId="0" fontId="21" fillId="0" borderId="0" xfId="0" applyFont="1" applyBorder="1" applyAlignment="1">
      <alignment horizontal="left"/>
    </xf>
    <xf numFmtId="0" fontId="7" fillId="0" borderId="0" xfId="0" applyFont="1" applyBorder="1" applyAlignment="1">
      <alignment horizontal="center" vertical="top"/>
    </xf>
    <xf numFmtId="0" fontId="7" fillId="0" borderId="0" xfId="0" applyFont="1" applyBorder="1" applyAlignment="1">
      <alignment horizontal="center" vertical="top" wrapText="1"/>
    </xf>
    <xf numFmtId="0" fontId="21" fillId="0" borderId="0" xfId="0" applyFont="1" applyBorder="1" applyAlignment="1">
      <alignment horizontal="center"/>
    </xf>
    <xf numFmtId="0" fontId="21" fillId="2" borderId="111" xfId="0" applyFont="1" applyFill="1" applyBorder="1" applyAlignment="1">
      <alignment horizontal="center" vertical="center"/>
    </xf>
    <xf numFmtId="0" fontId="21" fillId="2" borderId="112" xfId="0" applyFont="1" applyFill="1" applyBorder="1" applyAlignment="1">
      <alignment horizontal="center" vertical="center"/>
    </xf>
    <xf numFmtId="0" fontId="21" fillId="2" borderId="113" xfId="0" applyFont="1" applyFill="1" applyBorder="1" applyAlignment="1">
      <alignment horizontal="center" vertical="center"/>
    </xf>
    <xf numFmtId="0" fontId="21" fillId="2" borderId="11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115" xfId="0" applyFont="1" applyFill="1" applyBorder="1" applyAlignment="1">
      <alignment horizontal="center" vertical="center"/>
    </xf>
    <xf numFmtId="0" fontId="21" fillId="2" borderId="116" xfId="0" applyFont="1" applyFill="1" applyBorder="1" applyAlignment="1">
      <alignment horizontal="center" vertical="center"/>
    </xf>
    <xf numFmtId="0" fontId="21" fillId="2" borderId="117" xfId="0" applyFont="1" applyFill="1" applyBorder="1" applyAlignment="1">
      <alignment horizontal="center" vertical="center"/>
    </xf>
    <xf numFmtId="0" fontId="21" fillId="5" borderId="111" xfId="0" applyFont="1" applyFill="1" applyBorder="1" applyAlignment="1">
      <alignment horizontal="center" vertical="center"/>
    </xf>
    <xf numFmtId="0" fontId="21" fillId="5" borderId="112" xfId="0" applyFont="1" applyFill="1" applyBorder="1" applyAlignment="1">
      <alignment horizontal="center" vertical="center"/>
    </xf>
    <xf numFmtId="0" fontId="21" fillId="5" borderId="113" xfId="0" applyFont="1" applyFill="1" applyBorder="1" applyAlignment="1">
      <alignment horizontal="center" vertical="center"/>
    </xf>
    <xf numFmtId="0" fontId="21" fillId="5" borderId="114"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15" xfId="0" applyFont="1" applyFill="1" applyBorder="1" applyAlignment="1">
      <alignment horizontal="center" vertical="center"/>
    </xf>
    <xf numFmtId="0" fontId="21" fillId="5" borderId="115" xfId="0" applyFont="1" applyFill="1" applyBorder="1" applyAlignment="1">
      <alignment horizontal="center" vertical="center"/>
    </xf>
    <xf numFmtId="0" fontId="21" fillId="5" borderId="116" xfId="0" applyFont="1" applyFill="1" applyBorder="1" applyAlignment="1">
      <alignment horizontal="center" vertical="center"/>
    </xf>
    <xf numFmtId="0" fontId="21" fillId="5" borderId="117" xfId="0" applyFont="1" applyFill="1" applyBorder="1" applyAlignment="1">
      <alignment horizontal="center" vertical="center"/>
    </xf>
    <xf numFmtId="0" fontId="24" fillId="0" borderId="0" xfId="0" applyFont="1" applyBorder="1" applyAlignment="1">
      <alignment horizontal="center" vertical="center"/>
    </xf>
    <xf numFmtId="0" fontId="25" fillId="0" borderId="12" xfId="0" applyFont="1" applyBorder="1" applyAlignment="1">
      <alignment horizontal="center" vertical="center"/>
    </xf>
    <xf numFmtId="0" fontId="25" fillId="0" borderId="0" xfId="0" applyFont="1" applyBorder="1" applyAlignment="1">
      <alignment horizontal="center" vertical="center"/>
    </xf>
    <xf numFmtId="0" fontId="26" fillId="0" borderId="48" xfId="0" applyFont="1" applyBorder="1" applyAlignment="1">
      <alignment horizontal="left"/>
    </xf>
    <xf numFmtId="0" fontId="26" fillId="0" borderId="0" xfId="0" applyFont="1" applyBorder="1" applyAlignment="1">
      <alignment horizontal="left"/>
    </xf>
    <xf numFmtId="0" fontId="8" fillId="0" borderId="48" xfId="0" applyFont="1" applyBorder="1" applyAlignment="1">
      <alignment horizontal="right" vertical="center"/>
    </xf>
    <xf numFmtId="0" fontId="8" fillId="0" borderId="0" xfId="0" applyFont="1" applyBorder="1" applyAlignment="1">
      <alignment horizontal="right" vertical="center"/>
    </xf>
    <xf numFmtId="0" fontId="8" fillId="0" borderId="51" xfId="0" applyFont="1" applyBorder="1" applyAlignment="1">
      <alignment horizontal="right" vertical="center"/>
    </xf>
    <xf numFmtId="0" fontId="7" fillId="0" borderId="39" xfId="0" applyFont="1" applyBorder="1" applyAlignment="1">
      <alignment horizontal="center"/>
    </xf>
    <xf numFmtId="0" fontId="7" fillId="0" borderId="13" xfId="0" applyFont="1" applyBorder="1" applyAlignment="1">
      <alignment horizontal="center"/>
    </xf>
    <xf numFmtId="0" fontId="10" fillId="0" borderId="17" xfId="0" applyFont="1" applyBorder="1" applyAlignment="1">
      <alignment horizontal="center" vertical="center"/>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21" fillId="4" borderId="111" xfId="0" applyFont="1" applyFill="1" applyBorder="1" applyAlignment="1">
      <alignment horizontal="center" vertical="center"/>
    </xf>
    <xf numFmtId="0" fontId="21" fillId="4" borderId="112"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4"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15" xfId="0" applyFont="1" applyFill="1" applyBorder="1" applyAlignment="1">
      <alignment horizontal="center" vertical="center"/>
    </xf>
    <xf numFmtId="0" fontId="21" fillId="4" borderId="116" xfId="0" applyFont="1" applyFill="1" applyBorder="1" applyAlignment="1">
      <alignment horizontal="center" vertical="center"/>
    </xf>
    <xf numFmtId="0" fontId="21" fillId="4" borderId="117" xfId="0" applyFont="1" applyFill="1" applyBorder="1" applyAlignment="1">
      <alignment horizontal="center" vertical="center"/>
    </xf>
    <xf numFmtId="0" fontId="27" fillId="0" borderId="0" xfId="0" applyFont="1" applyBorder="1" applyAlignment="1">
      <alignment horizontal="center" vertical="center" textRotation="4"/>
    </xf>
    <xf numFmtId="0" fontId="32" fillId="0" borderId="157" xfId="0" applyFont="1" applyBorder="1" applyAlignment="1">
      <alignment horizontal="center"/>
    </xf>
    <xf numFmtId="0" fontId="32" fillId="0" borderId="9" xfId="0" applyFont="1" applyBorder="1" applyAlignment="1">
      <alignment horizontal="center"/>
    </xf>
    <xf numFmtId="0" fontId="32" fillId="0" borderId="30" xfId="0" applyFont="1" applyBorder="1" applyAlignment="1">
      <alignment horizontal="center"/>
    </xf>
    <xf numFmtId="0" fontId="32" fillId="0" borderId="156" xfId="0" applyFont="1" applyBorder="1" applyAlignment="1">
      <alignment horizontal="center"/>
    </xf>
    <xf numFmtId="0" fontId="25" fillId="0" borderId="25" xfId="0" applyFont="1" applyBorder="1" applyAlignment="1">
      <alignment horizontal="center"/>
    </xf>
    <xf numFmtId="0" fontId="25" fillId="0" borderId="156" xfId="0" applyFont="1" applyBorder="1" applyAlignment="1">
      <alignment horizontal="center"/>
    </xf>
    <xf numFmtId="0" fontId="33" fillId="0" borderId="22" xfId="0" applyFont="1" applyBorder="1" applyAlignment="1">
      <alignment horizontal="center"/>
    </xf>
    <xf numFmtId="0" fontId="33" fillId="0" borderId="0" xfId="0" applyFont="1" applyBorder="1" applyAlignment="1">
      <alignment horizontal="center"/>
    </xf>
    <xf numFmtId="0" fontId="8" fillId="0" borderId="0" xfId="0" applyFont="1" applyAlignment="1">
      <alignment horizontal="right" vertical="center"/>
    </xf>
    <xf numFmtId="0" fontId="21" fillId="9" borderId="111" xfId="0" applyFont="1" applyFill="1" applyBorder="1" applyAlignment="1">
      <alignment horizontal="center" vertical="center"/>
    </xf>
    <xf numFmtId="0" fontId="21" fillId="9" borderId="112" xfId="0" applyFont="1" applyFill="1" applyBorder="1" applyAlignment="1">
      <alignment horizontal="center" vertical="center"/>
    </xf>
    <xf numFmtId="0" fontId="21" fillId="9" borderId="113" xfId="0" applyFont="1" applyFill="1" applyBorder="1" applyAlignment="1">
      <alignment horizontal="center" vertical="center"/>
    </xf>
    <xf numFmtId="0" fontId="21" fillId="9" borderId="114"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15" xfId="0" applyFont="1" applyFill="1" applyBorder="1" applyAlignment="1">
      <alignment horizontal="center" vertical="center"/>
    </xf>
    <xf numFmtId="0" fontId="21" fillId="9" borderId="116" xfId="0" applyFont="1" applyFill="1" applyBorder="1" applyAlignment="1">
      <alignment horizontal="center" vertical="center"/>
    </xf>
    <xf numFmtId="0" fontId="21" fillId="9" borderId="117" xfId="0" applyFont="1" applyFill="1" applyBorder="1" applyAlignment="1">
      <alignment horizontal="center" vertical="center"/>
    </xf>
    <xf numFmtId="0" fontId="3" fillId="3" borderId="8" xfId="0" applyFont="1" applyFill="1" applyBorder="1" applyAlignment="1">
      <alignment horizontal="center"/>
    </xf>
    <xf numFmtId="0" fontId="3" fillId="3" borderId="118" xfId="0" applyFont="1" applyFill="1" applyBorder="1" applyAlignment="1">
      <alignment horizontal="center"/>
    </xf>
    <xf numFmtId="0" fontId="3" fillId="3" borderId="119" xfId="0" applyFont="1" applyFill="1" applyBorder="1" applyAlignment="1">
      <alignment horizontal="center"/>
    </xf>
    <xf numFmtId="0" fontId="5" fillId="3" borderId="120" xfId="0" applyFont="1" applyFill="1" applyBorder="1" applyAlignment="1">
      <alignment horizontal="center"/>
    </xf>
    <xf numFmtId="0" fontId="5" fillId="3" borderId="118"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3" fillId="3" borderId="121" xfId="0" applyFont="1" applyFill="1" applyBorder="1" applyAlignment="1">
      <alignment horizontal="center"/>
    </xf>
    <xf numFmtId="0" fontId="3" fillId="3" borderId="122" xfId="0" applyFont="1" applyFill="1" applyBorder="1" applyAlignment="1">
      <alignment horizontal="center"/>
    </xf>
    <xf numFmtId="0" fontId="5" fillId="3" borderId="120" xfId="0" quotePrefix="1" applyFont="1" applyFill="1" applyBorder="1" applyAlignment="1">
      <alignment horizontal="center"/>
    </xf>
    <xf numFmtId="0" fontId="5" fillId="3" borderId="1" xfId="0" applyFont="1" applyFill="1" applyBorder="1" applyAlignment="1">
      <alignment horizontal="center"/>
    </xf>
    <xf numFmtId="0" fontId="5" fillId="3" borderId="123" xfId="0" applyFont="1" applyFill="1" applyBorder="1" applyAlignment="1">
      <alignment horizontal="center"/>
    </xf>
    <xf numFmtId="0" fontId="5" fillId="3" borderId="121" xfId="0" applyFont="1" applyFill="1" applyBorder="1" applyAlignment="1">
      <alignment horizontal="center"/>
    </xf>
    <xf numFmtId="0" fontId="3" fillId="3" borderId="44" xfId="0" applyFont="1" applyFill="1" applyBorder="1" applyAlignment="1">
      <alignment horizontal="center"/>
    </xf>
    <xf numFmtId="0" fontId="3" fillId="3" borderId="43" xfId="0" applyFont="1" applyFill="1" applyBorder="1" applyAlignment="1">
      <alignment horizontal="center"/>
    </xf>
    <xf numFmtId="0" fontId="3" fillId="3" borderId="0" xfId="0" applyFont="1" applyFill="1" applyAlignment="1">
      <alignment horizontal="center"/>
    </xf>
    <xf numFmtId="0" fontId="28" fillId="3" borderId="0" xfId="0" applyFont="1" applyFill="1" applyBorder="1" applyAlignment="1">
      <alignment horizontal="center"/>
    </xf>
    <xf numFmtId="0" fontId="28" fillId="3" borderId="9" xfId="0" applyFont="1" applyFill="1" applyBorder="1" applyAlignment="1">
      <alignment horizontal="center"/>
    </xf>
    <xf numFmtId="0" fontId="3" fillId="3" borderId="41" xfId="0" applyFont="1" applyFill="1" applyBorder="1" applyAlignment="1">
      <alignment horizontal="left"/>
    </xf>
    <xf numFmtId="0" fontId="3" fillId="3" borderId="40" xfId="0" applyFont="1" applyFill="1" applyBorder="1" applyAlignment="1">
      <alignment horizontal="left"/>
    </xf>
    <xf numFmtId="0" fontId="3" fillId="3" borderId="42" xfId="0" applyFont="1" applyFill="1" applyBorder="1" applyAlignment="1">
      <alignment horizontal="center"/>
    </xf>
    <xf numFmtId="0" fontId="3" fillId="3" borderId="24" xfId="0" applyFont="1" applyFill="1" applyBorder="1" applyAlignment="1">
      <alignment horizontal="left"/>
    </xf>
    <xf numFmtId="0" fontId="3" fillId="3" borderId="25" xfId="0" applyFont="1" applyFill="1" applyBorder="1" applyAlignment="1">
      <alignment horizontal="center"/>
    </xf>
    <xf numFmtId="0" fontId="3" fillId="3" borderId="9" xfId="0" applyFont="1" applyFill="1" applyBorder="1" applyAlignment="1">
      <alignment horizontal="center"/>
    </xf>
    <xf numFmtId="0" fontId="3" fillId="3" borderId="29" xfId="0" applyFont="1" applyFill="1" applyBorder="1" applyAlignment="1">
      <alignment horizontal="center"/>
    </xf>
    <xf numFmtId="0" fontId="3" fillId="3" borderId="23" xfId="0" applyFont="1" applyFill="1" applyBorder="1" applyAlignment="1">
      <alignment horizontal="center"/>
    </xf>
    <xf numFmtId="0" fontId="3" fillId="3" borderId="30" xfId="0" applyFont="1" applyFill="1" applyBorder="1" applyAlignment="1">
      <alignment horizontal="left"/>
    </xf>
    <xf numFmtId="0" fontId="3" fillId="3" borderId="21" xfId="0" applyFont="1" applyFill="1" applyBorder="1" applyAlignment="1">
      <alignment horizontal="center"/>
    </xf>
    <xf numFmtId="0" fontId="3" fillId="3" borderId="109" xfId="0" applyFont="1" applyFill="1" applyBorder="1" applyAlignment="1">
      <alignment horizontal="center"/>
    </xf>
    <xf numFmtId="0" fontId="3" fillId="3" borderId="43" xfId="0" applyFont="1" applyFill="1" applyBorder="1" applyAlignment="1">
      <alignment horizontal="left" wrapText="1"/>
    </xf>
    <xf numFmtId="0" fontId="3" fillId="3" borderId="44" xfId="0" applyFont="1" applyFill="1" applyBorder="1" applyAlignment="1">
      <alignment horizontal="left" wrapText="1"/>
    </xf>
  </cellXfs>
  <cellStyles count="1">
    <cellStyle name="Normal" xfId="0" builtinId="0"/>
  </cellStyles>
  <dxfs count="55">
    <dxf>
      <font>
        <color rgb="FF00B050"/>
      </font>
      <fill>
        <patternFill>
          <bgColor theme="6" tint="0.7999816888943144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59996337778862885"/>
        </patternFill>
      </fill>
    </dxf>
    <dxf>
      <fill>
        <patternFill>
          <bgColor theme="6" tint="0.59996337778862885"/>
        </patternFill>
      </fill>
    </dxf>
    <dxf>
      <font>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4">
    <xsd:schema xmlns:xsd="http://www.w3.org/2001/XMLSchema" xmlns="">
      <xsd:element nillable="true" name="character">
        <xsd:complexType>
          <xsd:sequence minOccurs="0">
            <xsd:element minOccurs="0" nillable="true" name="Basics" form="unqualified">
              <xsd:complexType>
                <xsd:sequence minOccurs="0">
                  <xsd:element minOccurs="0" nillable="true" type="xsd:string" name="CharacterName" form="unqualified"/>
                  <xsd:element minOccurs="0" nillable="true" type="xsd:string" name="PowerLevel" form="unqualified"/>
                  <xsd:element minOccurs="0" nillable="true" type="xsd:string" name="PowerPointsAwarded" form="unqualified"/>
                  <xsd:element minOccurs="0" nillable="true" type="xsd:string" name="PlayerName" form="unqualified"/>
                  <xsd:element minOccurs="0" nillable="true" type="xsd:string" name="AlternateIdentity" form="unqualified"/>
                  <xsd:element minOccurs="0" nillable="true" type="xsd:string" name="TypeofAlternateIdentity" form="unqualified"/>
                  <xsd:element minOccurs="0" nillable="true" type="xsd:string" name="Age" form="unqualified"/>
                  <xsd:element minOccurs="0" nillable="true" type="xsd:string" name="Gender" form="unqualified"/>
                  <xsd:element minOccurs="0" nillable="true" type="xsd:string" name="Height" form="unqualified"/>
                  <xsd:element minOccurs="0" nillable="true" type="xsd:string" name="Weight" form="unqualified"/>
                  <xsd:element minOccurs="0" nillable="true" type="xsd:string" name="Eyes" form="unqualified"/>
                  <xsd:element minOccurs="0" nillable="true" type="xsd:string" name="Hair" form="unqualified"/>
                  <xsd:element minOccurs="0" nillable="true" type="xsd:string" name="GroupAffiliation" form="unqualified"/>
                  <xsd:element minOccurs="0" nillable="true" type="xsd:string" name="BaseOfOperations" form="unqualified"/>
                  <xsd:element minOccurs="0" nillable="true" type="xsd:string" name="PrintExtras" form="unqualified"/>
                </xsd:sequence>
              </xsd:complexType>
            </xsd:element>
            <xsd:element minOccurs="0" nillable="true" name="Abilities" form="unqualified">
              <xsd:complexType>
                <xsd:sequence minOccurs="0">
                  <xsd:element minOccurs="0" nillable="true" type="xsd:string" name="BaseStrength" form="unqualified"/>
                  <xsd:element minOccurs="0" nillable="true" type="xsd:string" name="BaseStamina" form="unqualified"/>
                  <xsd:element minOccurs="0" nillable="true" type="xsd:string" name="BaseAgility" form="unqualified"/>
                  <xsd:element minOccurs="0" nillable="true" type="xsd:string" name="BaseDexterity" form="unqualified"/>
                  <xsd:element minOccurs="0" nillable="true" type="xsd:string" name="BaseFighting" form="unqualified"/>
                  <xsd:element minOccurs="0" nillable="true" type="xsd:string" name="BaseIntellect" form="unqualified"/>
                  <xsd:element minOccurs="0" nillable="true" type="xsd:string" name="BaseAwareness" form="unqualified"/>
                  <xsd:element minOccurs="0" nillable="true" type="xsd:string" name="BasePresence" form="unqualified"/>
                  <xsd:element minOccurs="0" nillable="true" type="xsd:string" name="PurchasedDodge" form="unqualified"/>
                  <xsd:element minOccurs="0" nillable="true" type="xsd:string" name="PurchasedFortitude" form="unqualified"/>
                  <xsd:element minOccurs="0" nillable="true" type="xsd:string" name="PurchasedParry" form="unqualified"/>
                  <xsd:element minOccurs="0" nillable="true" type="xsd:string" name="PurchasedWill" form="unqualified"/>
                </xsd:sequence>
              </xsd:complexType>
            </xsd:element>
            <xsd:element minOccurs="0" nillable="true" name="Skills" form="unqualified">
              <xsd:complexType>
                <xsd:sequence minOccurs="0">
                  <xsd:element minOccurs="0" nillable="true" type="xsd:integer" name="Acrobatics" form="unqualified"/>
                  <xsd:element minOccurs="0" nillable="true" type="xsd:integer" name="Athletics" form="unqualified"/>
                  <xsd:element minOccurs="0" nillable="true" type="xsd:integer" name="CloseCombat1" form="unqualified"/>
                  <xsd:element minOccurs="0" nillable="true" type="xsd:string" name="CloseCombat2" form="unqualified"/>
                  <xsd:element minOccurs="0" nillable="true" type="xsd:string" name="CloseCombat3" form="unqualified"/>
                  <xsd:element minOccurs="0" nillable="true" type="xsd:string" name="CloseCombat4" form="unqualified"/>
                  <xsd:element minOccurs="0" nillable="true" type="xsd:string" name="Deception" form="unqualified"/>
                  <xsd:element minOccurs="0" nillable="true" type="xsd:string" name="Expertise1" form="unqualified"/>
                  <xsd:element minOccurs="0" nillable="true" type="xsd:string" name="Expertise2" form="unqualified"/>
                  <xsd:element minOccurs="0" nillable="true" type="xsd:string" name="Expertise3" form="unqualified"/>
                  <xsd:element minOccurs="0" nillable="true" type="xsd:string" name="Expertise4" form="unqualified"/>
                  <xsd:element minOccurs="0" nillable="true" type="xsd:string" name="Insight" form="unqualified"/>
                  <xsd:element minOccurs="0" nillable="true" type="xsd:string" name="Intimidation" form="unqualified"/>
                  <xsd:element minOccurs="0" nillable="true" type="xsd:string" name="Investigation" form="unqualified"/>
                  <xsd:element minOccurs="0" nillable="true" type="xsd:string" name="Perception" form="unqualified"/>
                  <xsd:element minOccurs="0" nillable="true" type="xsd:string" name="Persuasion" form="unqualified"/>
                  <xsd:element minOccurs="0" nillable="true" type="xsd:string" name="RangedCombat1" form="unqualified"/>
                  <xsd:element minOccurs="0" nillable="true" type="xsd:string" name="RangedCombat2" form="unqualified"/>
                  <xsd:element minOccurs="0" nillable="true" type="xsd:string" name="RangedCombat3" form="unqualified"/>
                  <xsd:element minOccurs="0" nillable="true" type="xsd:string" name="RangedCombat4" form="unqualified"/>
                  <xsd:element minOccurs="0" nillable="true" type="xsd:string" name="SleightOfHand" form="unqualified"/>
                  <xsd:element minOccurs="0" nillable="true" type="xsd:string" name="Stealth" form="unqualified"/>
                  <xsd:element minOccurs="0" nillable="true" type="xsd:string" name="Technology" form="unqualified"/>
                  <xsd:element minOccurs="0" nillable="true" type="xsd:string" name="Treatment" form="unqualified"/>
                  <xsd:element minOccurs="0" nillable="true" type="xsd:string" name="Vehicles" form="unqualified"/>
                  <xsd:element minOccurs="0" nillable="true" type="xsd:string" name="Expertise1Ability" form="unqualified"/>
                  <xsd:element minOccurs="0" nillable="true" type="xsd:string" name="Expertise2Ability" form="unqualified"/>
                  <xsd:element minOccurs="0" nillable="true" type="xsd:string" name="Expertise3Ability" form="unqualified"/>
                  <xsd:element minOccurs="0" nillable="true" type="xsd:string" name="Expertise4Ability" form="unqualified"/>
                  <xsd:element minOccurs="0" nillable="true" type="xsd:string" name="CloseCombat1Type" form="unqualified"/>
                  <xsd:element minOccurs="0" nillable="true" type="xsd:string" name="CloseCombat2Type" form="unqualified"/>
                  <xsd:element minOccurs="0" nillable="true" type="xsd:string" name="CloseCombat3Type" form="unqualified"/>
                  <xsd:element minOccurs="0" nillable="true" type="xsd:string" name="CloseCombat4Type" form="unqualified"/>
                  <xsd:element minOccurs="0" nillable="true" type="xsd:string" name="Expertise1Type" form="unqualified"/>
                  <xsd:element minOccurs="0" nillable="true" type="xsd:string" name="Expertise2Type" form="unqualified"/>
                  <xsd:element minOccurs="0" nillable="true" type="xsd:string" name="Expertise3Type" form="unqualified"/>
                  <xsd:element minOccurs="0" nillable="true" type="xsd:string" name="Expertise4Type" form="unqualified"/>
                  <xsd:element minOccurs="0" nillable="true" type="xsd:string" name="RangedCombat1Type" form="unqualified"/>
                  <xsd:element minOccurs="0" nillable="true" type="xsd:string" name="RangedCombat2Type" form="unqualified"/>
                  <xsd:element minOccurs="0" nillable="true" type="xsd:string" name="RangedCombat3Type" form="unqualified"/>
                  <xsd:element minOccurs="0" nillable="true" type="xsd:string" name="RangedCombat4Type" form="unqualified"/>
                </xsd:sequence>
              </xsd:complexType>
            </xsd:element>
            <xsd:element minOccurs="0" nillable="true" name="Advantages" form="unqualified">
              <xsd:complexType>
                <xsd:sequence minOccurs="0">
                  <xsd:element minOccurs="0" nillable="true" name="AdvantageList" form="unqualified">
                    <xsd:complexType>
                      <xsd:sequence minOccurs="0">
                        <xsd:element minOccurs="0" nillable="true" type="xsd:string" name="Advantage1" form="unqualified"/>
                        <xsd:element minOccurs="0" nillable="true" type="xsd:string" name="Advantage2" form="unqualified"/>
                        <xsd:element minOccurs="0" nillable="true" type="xsd:string" name="Advantage3" form="unqualified"/>
                        <xsd:element minOccurs="0" nillable="true" type="xsd:string" name="Advantage4" form="unqualified"/>
                        <xsd:element minOccurs="0" nillable="true" type="xsd:string" name="Advantage5" form="unqualified"/>
                        <xsd:element minOccurs="0" nillable="true" type="xsd:string" name="Advantage6" form="unqualified"/>
                        <xsd:element minOccurs="0" nillable="true" type="xsd:string" name="Advantage7" form="unqualified"/>
                        <xsd:element minOccurs="0" nillable="true" type="xsd:string" name="Advantage8" form="unqualified"/>
                        <xsd:element minOccurs="0" nillable="true" type="xsd:string" name="Advantage9" form="unqualified"/>
                        <xsd:element minOccurs="0" nillable="true" type="xsd:string" name="Advantage10" form="unqualified"/>
                        <xsd:element minOccurs="0" nillable="true" type="xsd:string" name="Advantage11" form="unqualified"/>
                        <xsd:element minOccurs="0" nillable="true" type="xsd:string" name="Advantage12" form="unqualified"/>
                        <xsd:element minOccurs="0" nillable="true" type="xsd:string" name="Advantage13" form="unqualified"/>
                        <xsd:element minOccurs="0" nillable="true" type="xsd:string" name="Advantage14" form="unqualified"/>
                        <xsd:element minOccurs="0" nillable="true" type="xsd:string" name="Advantage15" form="unqualified"/>
                        <xsd:element minOccurs="0" nillable="true" type="xsd:string" name="Advantage16" form="unqualified"/>
                        <xsd:element minOccurs="0" nillable="true" type="xsd:string" name="Advantage17" form="unqualified"/>
                        <xsd:element minOccurs="0" nillable="true" type="xsd:string" name="Advantage18" form="unqualified"/>
                        <xsd:element minOccurs="0" nillable="true" type="xsd:string" name="Advantage19" form="unqualified"/>
                        <xsd:element minOccurs="0" nillable="true" type="xsd:string" name="Advantage20" form="unqualified"/>
                        <xsd:element minOccurs="0" nillable="true" type="xsd:string" name="Advantage21" form="unqualified"/>
                        <xsd:element minOccurs="0" nillable="true" type="xsd:string" name="Advantage22" form="unqualified"/>
                        <xsd:element minOccurs="0" nillable="true" type="xsd:string" name="Advantage23" form="unqualified"/>
                        <xsd:element minOccurs="0" nillable="true" type="xsd:string" name="Advantage24" form="unqualified"/>
                        <xsd:element minOccurs="0" nillable="true" type="xsd:string" name="Advantage25" form="unqualified"/>
                        <xsd:element minOccurs="0" nillable="true" type="xsd:string" name="Advantage26" form="unqualified"/>
                        <xsd:element minOccurs="0" nillable="true" type="xsd:string" name="Advantage27" form="unqualified"/>
                        <xsd:element minOccurs="0" nillable="true" type="xsd:string" name="Advantage28" form="unqualified"/>
                        <xsd:element minOccurs="0" nillable="true" type="xsd:string" name="Advantage29" form="unqualified"/>
                        <xsd:element minOccurs="0" nillable="true" type="xsd:string" name="Advantage30" form="unqualified"/>
                        <xsd:element minOccurs="0" nillable="true" type="xsd:string" name="Advantage31" form="unqualified"/>
                        <xsd:element minOccurs="0" nillable="true" type="xsd:string" name="Advantage32" form="unqualified"/>
                        <xsd:element minOccurs="0" nillable="true" type="xsd:string" name="Advantage33" form="unqualified"/>
                        <xsd:element minOccurs="0" nillable="true" type="xsd:string" name="Advantage34" form="unqualified"/>
                      </xsd:sequence>
                    </xsd:complexType>
                  </xsd:element>
                  <xsd:element minOccurs="0" nillable="true" name="AdvantageRanks" form="unqualified">
                    <xsd:complexType>
                      <xsd:sequence minOccurs="0">
                        <xsd:element minOccurs="0" nillable="true" type="xsd:string" name="AdvantageRanks1" form="unqualified"/>
                        <xsd:element minOccurs="0" nillable="true" type="xsd:string" name="AdvantageRanks2" form="unqualified"/>
                        <xsd:element minOccurs="0" nillable="true" type="xsd:string" name="AdvantageRanks3" form="unqualified"/>
                        <xsd:element minOccurs="0" nillable="true" type="xsd:string" name="AdvantageRanks4" form="unqualified"/>
                        <xsd:element minOccurs="0" nillable="true" type="xsd:string" name="AdvantageRanks5" form="unqualified"/>
                        <xsd:element minOccurs="0" nillable="true" type="xsd:string" name="AdvantageRanks6" form="unqualified"/>
                        <xsd:element minOccurs="0" nillable="true" type="xsd:string" name="AdvantageRanks7" form="unqualified"/>
                        <xsd:element minOccurs="0" nillable="true" type="xsd:string" name="AdvantageRanks8" form="unqualified"/>
                        <xsd:element minOccurs="0" nillable="true" type="xsd:string" name="AdvantageRanks9" form="unqualified"/>
                        <xsd:element minOccurs="0" nillable="true" type="xsd:string" name="AdvantageRanks10" form="unqualified"/>
                        <xsd:element minOccurs="0" nillable="true" type="xsd:string" name="AdvantageRanks11" form="unqualified"/>
                        <xsd:element minOccurs="0" nillable="true" type="xsd:string" name="AdvantageRanks12" form="unqualified"/>
                        <xsd:element minOccurs="0" nillable="true" type="xsd:string" name="AdvantageRanks13" form="unqualified"/>
                        <xsd:element minOccurs="0" nillable="true" type="xsd:string" name="AdvantageRanks14" form="unqualified"/>
                        <xsd:element minOccurs="0" nillable="true" type="xsd:string" name="AdvantageRanks15" form="unqualified"/>
                        <xsd:element minOccurs="0" nillable="true" type="xsd:string" name="AdvantageRanks16" form="unqualified"/>
                        <xsd:element minOccurs="0" nillable="true" type="xsd:string" name="AdvantageRanks17" form="unqualified"/>
                        <xsd:element minOccurs="0" nillable="true" type="xsd:string" name="AdvantageRanks18" form="unqualified"/>
                        <xsd:element minOccurs="0" nillable="true" type="xsd:string" name="AdvantageRanks19" form="unqualified"/>
                        <xsd:element minOccurs="0" nillable="true" type="xsd:string" name="AdvantageRanks20" form="unqualified"/>
                        <xsd:element minOccurs="0" nillable="true" type="xsd:string" name="AdvantageRanks21" form="unqualified"/>
                        <xsd:element minOccurs="0" nillable="true" type="xsd:string" name="AdvantageRanks22" form="unqualified"/>
                        <xsd:element minOccurs="0" nillable="true" type="xsd:string" name="AdvantageRanks23" form="unqualified"/>
                        <xsd:element minOccurs="0" nillable="true" type="xsd:string" name="AdvantageRanks24" form="unqualified"/>
                        <xsd:element minOccurs="0" nillable="true" type="xsd:string" name="AdvantageRanks25" form="unqualified"/>
                        <xsd:element minOccurs="0" nillable="true" type="xsd:string" name="AdvantageRanks26" form="unqualified"/>
                        <xsd:element minOccurs="0" nillable="true" type="xsd:string" name="AdvantageRanks27" form="unqualified"/>
                        <xsd:element minOccurs="0" nillable="true" type="xsd:string" name="AdvantageRanks28" form="unqualified"/>
                        <xsd:element minOccurs="0" nillable="true" type="xsd:string" name="AdvantageRanks29" form="unqualified"/>
                        <xsd:element minOccurs="0" nillable="true" type="xsd:string" name="AdvantageRanks30" form="unqualified"/>
                        <xsd:element minOccurs="0" nillable="true" type="xsd:string" name="AdvantageRanks31" form="unqualified"/>
                        <xsd:element minOccurs="0" nillable="true" type="xsd:string" name="AdvantageRanks32" form="unqualified"/>
                        <xsd:element minOccurs="0" nillable="true" type="xsd:string" name="AdvantageRanks33" form="unqualified"/>
                        <xsd:element minOccurs="0" nillable="true" type="xsd:string" name="AdvantageRanks34" form="unqualified"/>
                      </xsd:sequence>
                    </xsd:complexType>
                  </xsd:element>
                  <xsd:element minOccurs="0" nillable="true" name="AdvantageDescriptions" form="unqualified">
                    <xsd:complexType>
                      <xsd:sequence minOccurs="0">
                        <xsd:element minOccurs="0" nillable="true" type="xsd:string" name="AdvantageDescription1" form="unqualified"/>
                        <xsd:element minOccurs="0" nillable="true" type="xsd:string" name="AdvantageDescription2" form="unqualified"/>
                        <xsd:element minOccurs="0" nillable="true" type="xsd:string" name="AdvantageDescription3" form="unqualified"/>
                        <xsd:element minOccurs="0" nillable="true" type="xsd:string" name="AdvantageDescription4" form="unqualified"/>
                        <xsd:element minOccurs="0" nillable="true" type="xsd:string" name="AdvantageDescription5" form="unqualified"/>
                        <xsd:element minOccurs="0" nillable="true" type="xsd:string" name="AdvantageDescription6" form="unqualified"/>
                        <xsd:element minOccurs="0" nillable="true" type="xsd:string" name="AdvantageDescription7" form="unqualified"/>
                        <xsd:element minOccurs="0" nillable="true" type="xsd:string" name="AdvantageDescription8" form="unqualified"/>
                        <xsd:element minOccurs="0" nillable="true" type="xsd:string" name="AdvantageDescription9" form="unqualified"/>
                        <xsd:element minOccurs="0" nillable="true" type="xsd:string" name="AdvantageDescription10" form="unqualified"/>
                        <xsd:element minOccurs="0" nillable="true" type="xsd:string" name="AdvantageDescription11" form="unqualified"/>
                        <xsd:element minOccurs="0" nillable="true" type="xsd:string" name="AdvantageDescription12" form="unqualified"/>
                        <xsd:element minOccurs="0" nillable="true" type="xsd:string" name="AdvantageDescription13" form="unqualified"/>
                        <xsd:element minOccurs="0" nillable="true" type="xsd:string" name="AdvantageDescription14" form="unqualified"/>
                        <xsd:element minOccurs="0" nillable="true" type="xsd:string" name="AdvantageDescription15" form="unqualified"/>
                        <xsd:element minOccurs="0" nillable="true" type="xsd:string" name="AdvantageDescription16" form="unqualified"/>
                        <xsd:element minOccurs="0" nillable="true" type="xsd:string" name="AdvantageDescription17" form="unqualified"/>
                        <xsd:element minOccurs="0" nillable="true" type="xsd:string" name="AdvantageDescription18" form="unqualified"/>
                        <xsd:element minOccurs="0" nillable="true" type="xsd:string" name="AdvantageDescription19" form="unqualified"/>
                        <xsd:element minOccurs="0" nillable="true" type="xsd:string" name="AdvantageDescription20" form="unqualified"/>
                        <xsd:element minOccurs="0" nillable="true" type="xsd:string" name="AdvantageDescription21" form="unqualified"/>
                        <xsd:element minOccurs="0" nillable="true" type="xsd:string" name="AdvantageDescription22" form="unqualified"/>
                        <xsd:element minOccurs="0" nillable="true" type="xsd:string" name="AdvantageDescription23" form="unqualified"/>
                        <xsd:element minOccurs="0" nillable="true" type="xsd:string" name="AdvantageDescription24" form="unqualified"/>
                        <xsd:element minOccurs="0" nillable="true" type="xsd:string" name="AdvantageDescription25" form="unqualified"/>
                        <xsd:element minOccurs="0" nillable="true" type="xsd:string" name="AdvantageDescription26" form="unqualified"/>
                        <xsd:element minOccurs="0" nillable="true" type="xsd:string" name="AdvantageDescription27" form="unqualified"/>
                        <xsd:element minOccurs="0" nillable="true" type="xsd:string" name="AdvantageDescription28" form="unqualified"/>
                        <xsd:element minOccurs="0" nillable="true" type="xsd:string" name="AdvantageDescription29" form="unqualified"/>
                        <xsd:element minOccurs="0" nillable="true" type="xsd:string" name="AdvantageDescription30" form="unqualified"/>
                        <xsd:element minOccurs="0" nillable="true" type="xsd:string" name="AdvantageDescription31" form="unqualified"/>
                        <xsd:element minOccurs="0" nillable="true" type="xsd:string" name="AdvantageDescription32" form="unqualified"/>
                        <xsd:element minOccurs="0" nillable="true" type="xsd:string" name="AdvantageDescription33" form="unqualified"/>
                        <xsd:element minOccurs="0" nillable="true" type="xsd:string" name="AdvantageDescription34" form="unqualified"/>
                      </xsd:sequence>
                    </xsd:complexType>
                  </xsd:element>
                  <xsd:element minOccurs="0" nillable="true" name="EnhancedAdvantage" form="unqualified">
                    <xsd:complexType>
                      <xsd:sequence minOccurs="0">
                        <xsd:element minOccurs="0" nillable="true" type="xsd:string" name="EnhAdv1" form="unqualified"/>
                        <xsd:element minOccurs="0" nillable="true" type="xsd:string" name="EnhAdv2" form="unqualified"/>
                        <xsd:element minOccurs="0" nillable="true" type="xsd:string" name="EnhAdv3" form="unqualified"/>
                        <xsd:element minOccurs="0" nillable="true" type="xsd:string" name="EnhAdv4" form="unqualified"/>
                        <xsd:element minOccurs="0" nillable="true" type="xsd:string" name="EnhAdv5" form="unqualified"/>
                        <xsd:element minOccurs="0" nillable="true" type="xsd:string" name="EnhAdv6" form="unqualified"/>
                        <xsd:element minOccurs="0" nillable="true" type="xsd:string" name="EnhAdv7" form="unqualified"/>
                        <xsd:element minOccurs="0" nillable="true" type="xsd:string" name="EnhAdv8" form="unqualified"/>
                        <xsd:element minOccurs="0" nillable="true" type="xsd:string" name="EnhAdv9" form="unqualified"/>
                        <xsd:element minOccurs="0" nillable="true" type="xsd:string" name="EnhAdv10" form="unqualified"/>
                        <xsd:element minOccurs="0" nillable="true" type="xsd:string" name="EnhAdv11" form="unqualified"/>
                        <xsd:element minOccurs="0" nillable="true" type="xsd:string" name="EnhAdv12" form="unqualified"/>
                        <xsd:element minOccurs="0" nillable="true" type="xsd:string" name="EnhAdv13" form="unqualified"/>
                        <xsd:element minOccurs="0" nillable="true" type="xsd:string" name="EnhAdv14" form="unqualified"/>
                        <xsd:element minOccurs="0" nillable="true" type="xsd:string" name="EnhAdv15" form="unqualified"/>
                        <xsd:element minOccurs="0" nillable="true" type="xsd:string" name="EnhAdv16" form="unqualified"/>
                        <xsd:element minOccurs="0" nillable="true" type="xsd:string" name="EnhAdv17" form="unqualified"/>
                        <xsd:element minOccurs="0" nillable="true" type="xsd:string" name="EnhAdv18" form="unqualified"/>
                        <xsd:element minOccurs="0" nillable="true" type="xsd:string" name="EnhAdv19" form="unqualified"/>
                        <xsd:element minOccurs="0" nillable="true" type="xsd:string" name="EnhAdv20" form="unqualified"/>
                        <xsd:element minOccurs="0" nillable="true" type="xsd:string" name="EnhAdv21" form="unqualified"/>
                        <xsd:element minOccurs="0" nillable="true" type="xsd:string" name="EnhAdv22" form="unqualified"/>
                        <xsd:element minOccurs="0" nillable="true" type="xsd:string" name="EnhAdv23" form="unqualified"/>
                        <xsd:element minOccurs="0" nillable="true" type="xsd:string" name="EnhAdv24" form="unqualified"/>
                        <xsd:element minOccurs="0" nillable="true" type="xsd:string" name="EnhAdv25" form="unqualified"/>
                        <xsd:element minOccurs="0" nillable="true" type="xsd:string" name="EnhAdv26" form="unqualified"/>
                        <xsd:element minOccurs="0" nillable="true" type="xsd:string" name="EnhAdv27" form="unqualified"/>
                        <xsd:element minOccurs="0" nillable="true" type="xsd:string" name="EnhAdv28" form="unqualified"/>
                        <xsd:element minOccurs="0" nillable="true" type="xsd:string" name="EnhAdv29" form="unqualified"/>
                        <xsd:element minOccurs="0" nillable="true" type="xsd:string" name="EnhAdv30" form="unqualified"/>
                        <xsd:element minOccurs="0" nillable="true" type="xsd:string" name="EnhAdv31" form="unqualified"/>
                        <xsd:element minOccurs="0" nillable="true" type="xsd:string" name="EnhAdv32" form="unqualified"/>
                        <xsd:element minOccurs="0" nillable="true" type="xsd:string" name="EnhAdv33" form="unqualified"/>
                        <xsd:element minOccurs="0" nillable="true" type="xsd:string" name="EnhAdv34" form="unqualified"/>
                      </xsd:sequence>
                    </xsd:complexType>
                  </xsd:element>
                </xsd:sequence>
              </xsd:complexType>
            </xsd:element>
            <xsd:element minOccurs="0" nillable="true" name="PowerComponents" form="unqualified">
              <xsd:complexType>
                <xsd:sequence minOccurs="0">
                  <xsd:element minOccurs="0" nillable="true" name="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Powers" form="unqualified">
              <xsd:complexType>
                <xsd:sequence minOccurs="0">
                  <xsd:element minOccurs="0" nillable="true" name="Power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Power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Power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Power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Power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Power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Power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Power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Power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EquipmentComponents" form="unqualified">
              <xsd:complexType>
                <xsd:sequence minOccurs="0">
                  <xsd:element minOccurs="0" nillable="true" name="Eq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Eq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Eq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Eq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Eq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Eq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Eq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Eq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Eq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Eq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Eq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Eq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Eq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Eq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Eq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Eq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Eq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Eq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Eq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Eq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Equipment" form="unqualified">
              <xsd:complexType>
                <xsd:sequence minOccurs="0">
                  <xsd:element minOccurs="0" nillable="true" name="Equipment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Equipment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Equipment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Equipment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Equipment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Equipment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Equipment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Equipment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Equipment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StandardEquipment" form="unqualified">
              <xsd:complexType>
                <xsd:sequence minOccurs="0">
                  <xsd:element minOccurs="0" nillable="true" type="xsd:string" name="StandardEq1" form="unqualified"/>
                  <xsd:element minOccurs="0" nillable="true" type="xsd:string" name="StandardEq2" form="unqualified"/>
                  <xsd:element minOccurs="0" nillable="true" type="xsd:string" name="StandardEq3" form="unqualified"/>
                  <xsd:element minOccurs="0" nillable="true" type="xsd:string" name="StandardEq4" form="unqualified"/>
                  <xsd:element minOccurs="0" nillable="true" type="xsd:string" name="StandardEq5" form="unqualified"/>
                  <xsd:element minOccurs="0" nillable="true" type="xsd:string" name="StandardEq6" form="unqualified"/>
                  <xsd:element minOccurs="0" nillable="true" type="xsd:string" name="StandardEq7" form="unqualified"/>
                  <xsd:element minOccurs="0" nillable="true" type="xsd:string" name="StandardEq8" form="unqualified"/>
                  <xsd:element minOccurs="0" nillable="true" type="xsd:string" name="StandardEq9" form="unqualified"/>
                  <xsd:element minOccurs="0" nillable="true" type="xsd:string" name="StandardEq10" form="unqualified"/>
                  <xsd:element minOccurs="0" nillable="true" type="xsd:string" name="StandardEqCost1" form="unqualified"/>
                  <xsd:element minOccurs="0" nillable="true" type="xsd:string" name="StandardEqCost2" form="unqualified"/>
                  <xsd:element minOccurs="0" nillable="true" type="xsd:string" name="StandardEqCost3" form="unqualified"/>
                  <xsd:element minOccurs="0" nillable="true" type="xsd:string" name="StandardEqCost4" form="unqualified"/>
                  <xsd:element minOccurs="0" nillable="true" type="xsd:string" name="StandardEqCost5" form="unqualified"/>
                  <xsd:element minOccurs="0" nillable="true" type="xsd:string" name="StandardEqCost6" form="unqualified"/>
                  <xsd:element minOccurs="0" nillable="true" type="xsd:string" name="StandardEqCost7" form="unqualified"/>
                  <xsd:element minOccurs="0" nillable="true" type="xsd:string" name="StandardEqCost8" form="unqualified"/>
                  <xsd:element minOccurs="0" nillable="true" type="xsd:string" name="StandardEqCost9" form="unqualified"/>
                  <xsd:element minOccurs="0" nillable="true" type="xsd:string" name="StandardEqCost10" form="unqualified"/>
                </xsd:sequence>
              </xsd:complexType>
            </xsd:element>
            <xsd:element minOccurs="0" nillable="true" name="Details" form="unqualified">
              <xsd:complexType>
                <xsd:sequence minOccurs="0">
                  <xsd:element minOccurs="0" nillable="true" type="xsd:string" name="Complication1" form="unqualified"/>
                  <xsd:element minOccurs="0" nillable="true" type="xsd:string" name="Complication2" form="unqualified"/>
                  <xsd:element minOccurs="0" nillable="true" type="xsd:string" name="Complication3" form="unqualified"/>
                  <xsd:element minOccurs="0" nillable="true" type="xsd:string" name="Complication4" form="unqualified"/>
                  <xsd:element minOccurs="0" nillable="true" type="xsd:string" name="Complication5" form="unqualified"/>
                  <xsd:element minOccurs="0" nillable="true" type="xsd:string" name="Complication6" form="unqualified"/>
                  <xsd:element minOccurs="0" nillable="true" type="xsd:string" name="DesignNotes" form="unqualified"/>
                </xsd:sequence>
              </xsd:complexType>
            </xsd:element>
            <xsd:element minOccurs="0" nillable="true" name="Calculations" form="unqualified">
              <xsd:complexType>
                <xsd:sequence minOccurs="0">
                  <xsd:element minOccurs="0" nillable="true" name="OffensiveAbility1" form="unqualified">
                    <xsd:complexType>
                      <xsd:sequence minOccurs="0">
                        <xsd:element minOccurs="0" nillable="true" type="xsd:string" name="OffAbName1" form="unqualified"/>
                        <xsd:element minOccurs="0" nillable="true" type="xsd:string" name="OffAbRange1" form="unqualified"/>
                        <xsd:element minOccurs="0" nillable="true" type="xsd:string" name="OffAbPower1" form="unqualified"/>
                        <xsd:element minOccurs="0" nillable="true" type="xsd:string" name="OffAbSkill1" form="unqualified"/>
                        <xsd:element minOccurs="0" nillable="true" type="xsd:string" name="OffAbNotes1" form="unqualified"/>
                        <xsd:element minOccurs="0" nillable="true" type="xsd:string" name="OffMisc1" form="unqualified"/>
                      </xsd:sequence>
                    </xsd:complexType>
                  </xsd:element>
                  <xsd:element minOccurs="0" nillable="true" name="OffensiveAbility2" form="unqualified">
                    <xsd:complexType>
                      <xsd:sequence minOccurs="0">
                        <xsd:element minOccurs="0" nillable="true" type="xsd:string" name="OffAbName2" form="unqualified"/>
                        <xsd:element minOccurs="0" nillable="true" type="xsd:string" name="OffAbRange2" form="unqualified"/>
                        <xsd:element minOccurs="0" nillable="true" type="xsd:string" name="OffAbPower2" form="unqualified"/>
                        <xsd:element minOccurs="0" nillable="true" type="xsd:string" name="OffAbSkill2" form="unqualified"/>
                        <xsd:element minOccurs="0" nillable="true" type="xsd:string" name="OffAbNotes2" form="unqualified"/>
                        <xsd:element minOccurs="0" nillable="true" type="xsd:string" name="OffMisc2" form="unqualified"/>
                      </xsd:sequence>
                    </xsd:complexType>
                  </xsd:element>
                  <xsd:element minOccurs="0" nillable="true" name="OffensiveAbility3" form="unqualified">
                    <xsd:complexType>
                      <xsd:sequence minOccurs="0">
                        <xsd:element minOccurs="0" nillable="true" type="xsd:string" name="OffAbName3" form="unqualified"/>
                        <xsd:element minOccurs="0" nillable="true" type="xsd:string" name="OffAbRange3" form="unqualified"/>
                        <xsd:element minOccurs="0" nillable="true" type="xsd:string" name="OffAbPower3" form="unqualified"/>
                        <xsd:element minOccurs="0" nillable="true" type="xsd:string" name="OffAbSkill3" form="unqualified"/>
                        <xsd:element minOccurs="0" nillable="true" type="xsd:string" name="OffAbNotes3" form="unqualified"/>
                        <xsd:element minOccurs="0" nillable="true" type="xsd:string" name="OffMisc3" form="unqualified"/>
                      </xsd:sequence>
                    </xsd:complexType>
                  </xsd:element>
                  <xsd:element minOccurs="0" nillable="true" name="OffensiveAbility4" form="unqualified">
                    <xsd:complexType>
                      <xsd:sequence minOccurs="0">
                        <xsd:element minOccurs="0" nillable="true" type="xsd:string" name="OffAbName4" form="unqualified"/>
                        <xsd:element minOccurs="0" nillable="true" type="xsd:string" name="OffAbRange4" form="unqualified"/>
                        <xsd:element minOccurs="0" nillable="true" type="xsd:string" name="OffAbPower4" form="unqualified"/>
                        <xsd:element minOccurs="0" nillable="true" type="xsd:string" name="OffAbSkill4" form="unqualified"/>
                        <xsd:element minOccurs="0" nillable="true" type="xsd:string" name="OffAbNotes4" form="unqualified"/>
                        <xsd:element minOccurs="0" nillable="true" type="xsd:string" name="OffMisc4" form="unqualified"/>
                      </xsd:sequence>
                    </xsd:complexType>
                  </xsd:element>
                  <xsd:element minOccurs="0" nillable="true" name="OffensiveAbility5" form="unqualified">
                    <xsd:complexType>
                      <xsd:sequence minOccurs="0">
                        <xsd:element minOccurs="0" nillable="true" type="xsd:string" name="OffAbName5" form="unqualified"/>
                        <xsd:element minOccurs="0" nillable="true" type="xsd:string" name="OffAbRange5" form="unqualified"/>
                        <xsd:element minOccurs="0" nillable="true" type="xsd:string" name="OffAbPower5" form="unqualified"/>
                        <xsd:element minOccurs="0" nillable="true" type="xsd:string" name="OffAbSkill5" form="unqualified"/>
                        <xsd:element minOccurs="0" nillable="true" type="xsd:string" name="OffAbNotes5" form="unqualified"/>
                        <xsd:element minOccurs="0" nillable="true" type="xsd:string" name="OffMisc5" form="unqualified"/>
                      </xsd:sequence>
                    </xsd:complexType>
                  </xsd:element>
                  <xsd:element minOccurs="0" nillable="true" name="OffensiveAbility6" form="unqualified">
                    <xsd:complexType>
                      <xsd:sequence minOccurs="0">
                        <xsd:element minOccurs="0" nillable="true" type="xsd:string" name="OffAbName6" form="unqualified"/>
                        <xsd:element minOccurs="0" nillable="true" type="xsd:string" name="OffAbRange6" form="unqualified"/>
                        <xsd:element minOccurs="0" nillable="true" type="xsd:string" name="OffAbPower6" form="unqualified"/>
                        <xsd:element minOccurs="0" nillable="true" type="xsd:string" name="OffAbSkill6" form="unqualified"/>
                        <xsd:element minOccurs="0" nillable="true" type="xsd:string" name="OffAbNotes6" form="unqualified"/>
                        <xsd:element minOccurs="0" nillable="true" type="xsd:string" name="OffMisc6" form="unqualified"/>
                      </xsd:sequence>
                    </xsd:complexType>
                  </xsd:element>
                </xsd:sequence>
              </xsd:complexType>
            </xsd:element>
          </xsd:sequence>
        </xsd:complexType>
      </xsd:element>
    </xsd:schema>
  </Schema>
  <Map ID="9" Name="character_Map" RootElement="character" SchemaID="Schema4"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30480</xdr:colOff>
          <xdr:row>10</xdr:row>
          <xdr:rowOff>152400</xdr:rowOff>
        </xdr:from>
        <xdr:to>
          <xdr:col>57</xdr:col>
          <xdr:colOff>60960</xdr:colOff>
          <xdr:row>16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3</xdr:row>
          <xdr:rowOff>38100</xdr:rowOff>
        </xdr:from>
        <xdr:to>
          <xdr:col>31</xdr:col>
          <xdr:colOff>68580</xdr:colOff>
          <xdr:row>5</xdr:row>
          <xdr:rowOff>7620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22860</xdr:colOff>
          <xdr:row>20</xdr:row>
          <xdr:rowOff>60960</xdr:rowOff>
        </xdr:from>
        <xdr:to>
          <xdr:col>48</xdr:col>
          <xdr:colOff>45720</xdr:colOff>
          <xdr:row>22</xdr:row>
          <xdr:rowOff>83820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137160</xdr:colOff>
          <xdr:row>17</xdr:row>
          <xdr:rowOff>45720</xdr:rowOff>
        </xdr:from>
        <xdr:to>
          <xdr:col>46</xdr:col>
          <xdr:colOff>152400</xdr:colOff>
          <xdr:row>19</xdr:row>
          <xdr:rowOff>99060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83820</xdr:colOff>
          <xdr:row>16</xdr:row>
          <xdr:rowOff>144780</xdr:rowOff>
        </xdr:from>
        <xdr:to>
          <xdr:col>54</xdr:col>
          <xdr:colOff>7620</xdr:colOff>
          <xdr:row>19</xdr:row>
          <xdr:rowOff>137160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68580</xdr:colOff>
          <xdr:row>2</xdr:row>
          <xdr:rowOff>106680</xdr:rowOff>
        </xdr:from>
        <xdr:to>
          <xdr:col>42</xdr:col>
          <xdr:colOff>30480</xdr:colOff>
          <xdr:row>4</xdr:row>
          <xdr:rowOff>144780</xdr:rowOff>
        </xdr:to>
        <xdr:sp macro="" textlink="">
          <xdr:nvSpPr>
            <xdr:cNvPr id="4106" name="Button 10" hidden="1">
              <a:extLst>
                <a:ext uri="{63B3BB69-23CF-44E3-9099-C40C66FF867C}">
                  <a14:compatExt spid="_x0000_s4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121920</xdr:colOff>
          <xdr:row>16</xdr:row>
          <xdr:rowOff>45720</xdr:rowOff>
        </xdr:from>
        <xdr:to>
          <xdr:col>42</xdr:col>
          <xdr:colOff>144780</xdr:colOff>
          <xdr:row>18</xdr:row>
          <xdr:rowOff>121920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60960</xdr:colOff>
          <xdr:row>13</xdr:row>
          <xdr:rowOff>45720</xdr:rowOff>
        </xdr:from>
        <xdr:to>
          <xdr:col>41</xdr:col>
          <xdr:colOff>68580</xdr:colOff>
          <xdr:row>15</xdr:row>
          <xdr:rowOff>114300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114300</xdr:colOff>
          <xdr:row>0</xdr:row>
          <xdr:rowOff>160020</xdr:rowOff>
        </xdr:from>
        <xdr:to>
          <xdr:col>56</xdr:col>
          <xdr:colOff>22860</xdr:colOff>
          <xdr:row>3</xdr:row>
          <xdr:rowOff>76200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160020</xdr:colOff>
          <xdr:row>3</xdr:row>
          <xdr:rowOff>99060</xdr:rowOff>
        </xdr:from>
        <xdr:to>
          <xdr:col>52</xdr:col>
          <xdr:colOff>152400</xdr:colOff>
          <xdr:row>5</xdr:row>
          <xdr:rowOff>76200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23</xdr:row>
          <xdr:rowOff>121920</xdr:rowOff>
        </xdr:from>
        <xdr:to>
          <xdr:col>7</xdr:col>
          <xdr:colOff>144780</xdr:colOff>
          <xdr:row>25</xdr:row>
          <xdr:rowOff>144780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165</xdr:col>
          <xdr:colOff>45720</xdr:colOff>
          <xdr:row>97</xdr:row>
          <xdr:rowOff>76200</xdr:rowOff>
        </xdr:from>
        <xdr:to>
          <xdr:col>178</xdr:col>
          <xdr:colOff>106680</xdr:colOff>
          <xdr:row>104</xdr:row>
          <xdr:rowOff>38100</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22860</xdr:colOff>
          <xdr:row>104</xdr:row>
          <xdr:rowOff>114300</xdr:rowOff>
        </xdr:from>
        <xdr:to>
          <xdr:col>178</xdr:col>
          <xdr:colOff>76200</xdr:colOff>
          <xdr:row>111</xdr:row>
          <xdr:rowOff>83820</xdr:rowOff>
        </xdr:to>
        <xdr:sp macro="" textlink="">
          <xdr:nvSpPr>
            <xdr:cNvPr id="20487" name="Button 7" hidden="1">
              <a:extLst>
                <a:ext uri="{63B3BB69-23CF-44E3-9099-C40C66FF867C}">
                  <a14:compatExt spid="_x0000_s204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112</xdr:row>
          <xdr:rowOff>83820</xdr:rowOff>
        </xdr:from>
        <xdr:to>
          <xdr:col>178</xdr:col>
          <xdr:colOff>38100</xdr:colOff>
          <xdr:row>119</xdr:row>
          <xdr:rowOff>45720</xdr:rowOff>
        </xdr:to>
        <xdr:sp macro="" textlink="">
          <xdr:nvSpPr>
            <xdr:cNvPr id="20488" name="Button 8" hidden="1">
              <a:extLst>
                <a:ext uri="{63B3BB69-23CF-44E3-9099-C40C66FF867C}">
                  <a14:compatExt spid="_x0000_s204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38100</xdr:colOff>
          <xdr:row>88</xdr:row>
          <xdr:rowOff>99060</xdr:rowOff>
        </xdr:from>
        <xdr:to>
          <xdr:col>164</xdr:col>
          <xdr:colOff>1722120</xdr:colOff>
          <xdr:row>100</xdr:row>
          <xdr:rowOff>99060</xdr:rowOff>
        </xdr:to>
        <xdr:sp macro="" textlink="">
          <xdr:nvSpPr>
            <xdr:cNvPr id="20489" name="Button 9" hidden="1">
              <a:extLst>
                <a:ext uri="{63B3BB69-23CF-44E3-9099-C40C66FF867C}">
                  <a14:compatExt spid="_x0000_s2048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en-US" sz="2600" b="0" i="0" u="none" strike="noStrike" baseline="0">
                  <a:solidFill>
                    <a:srgbClr val="000000"/>
                  </a:solidFill>
                  <a:latin typeface="Calibri"/>
                </a:rPr>
                <a:t>Clear Damage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106680</xdr:colOff>
          <xdr:row>90</xdr:row>
          <xdr:rowOff>38100</xdr:rowOff>
        </xdr:from>
        <xdr:to>
          <xdr:col>194</xdr:col>
          <xdr:colOff>106680</xdr:colOff>
          <xdr:row>96</xdr:row>
          <xdr:rowOff>106680</xdr:rowOff>
        </xdr:to>
        <xdr:sp macro="" textlink="">
          <xdr:nvSpPr>
            <xdr:cNvPr id="20490" name="Button 10" hidden="1">
              <a:extLst>
                <a:ext uri="{63B3BB69-23CF-44E3-9099-C40C66FF867C}">
                  <a14:compatExt spid="_x0000_s204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76200</xdr:colOff>
          <xdr:row>97</xdr:row>
          <xdr:rowOff>99060</xdr:rowOff>
        </xdr:from>
        <xdr:to>
          <xdr:col>194</xdr:col>
          <xdr:colOff>76200</xdr:colOff>
          <xdr:row>104</xdr:row>
          <xdr:rowOff>60960</xdr:rowOff>
        </xdr:to>
        <xdr:sp macro="" textlink="">
          <xdr:nvSpPr>
            <xdr:cNvPr id="20491" name="Button 11" hidden="1">
              <a:extLst>
                <a:ext uri="{63B3BB69-23CF-44E3-9099-C40C66FF867C}">
                  <a14:compatExt spid="_x0000_s204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22860</xdr:colOff>
          <xdr:row>105</xdr:row>
          <xdr:rowOff>7620</xdr:rowOff>
        </xdr:from>
        <xdr:to>
          <xdr:col>194</xdr:col>
          <xdr:colOff>22860</xdr:colOff>
          <xdr:row>111</xdr:row>
          <xdr:rowOff>99060</xdr:rowOff>
        </xdr:to>
        <xdr:sp macro="" textlink="">
          <xdr:nvSpPr>
            <xdr:cNvPr id="20492" name="Button 12" hidden="1">
              <a:extLst>
                <a:ext uri="{63B3BB69-23CF-44E3-9099-C40C66FF867C}">
                  <a14:compatExt spid="_x0000_s204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45720</xdr:colOff>
          <xdr:row>112</xdr:row>
          <xdr:rowOff>76200</xdr:rowOff>
        </xdr:from>
        <xdr:to>
          <xdr:col>194</xdr:col>
          <xdr:colOff>45720</xdr:colOff>
          <xdr:row>119</xdr:row>
          <xdr:rowOff>38100</xdr:rowOff>
        </xdr:to>
        <xdr:sp macro="" textlink="">
          <xdr:nvSpPr>
            <xdr:cNvPr id="20493" name="Button 13" hidden="1">
              <a:extLst>
                <a:ext uri="{63B3BB69-23CF-44E3-9099-C40C66FF867C}">
                  <a14:compatExt spid="_x0000_s204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90</xdr:row>
          <xdr:rowOff>45720</xdr:rowOff>
        </xdr:from>
        <xdr:to>
          <xdr:col>178</xdr:col>
          <xdr:colOff>99060</xdr:colOff>
          <xdr:row>96</xdr:row>
          <xdr:rowOff>114300</xdr:rowOff>
        </xdr:to>
        <xdr:sp macro="" textlink="">
          <xdr:nvSpPr>
            <xdr:cNvPr id="20494" name="Button 14" hidden="1">
              <a:extLst>
                <a:ext uri="{63B3BB69-23CF-44E3-9099-C40C66FF867C}">
                  <a14:compatExt spid="_x0000_s204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xdr:colOff>
          <xdr:row>119</xdr:row>
          <xdr:rowOff>99060</xdr:rowOff>
        </xdr:from>
        <xdr:to>
          <xdr:col>194</xdr:col>
          <xdr:colOff>7620</xdr:colOff>
          <xdr:row>126</xdr:row>
          <xdr:rowOff>60960</xdr:rowOff>
        </xdr:to>
        <xdr:sp macro="" textlink="">
          <xdr:nvSpPr>
            <xdr:cNvPr id="20503" name="Button 23" hidden="1">
              <a:extLst>
                <a:ext uri="{63B3BB69-23CF-44E3-9099-C40C66FF867C}">
                  <a14:compatExt spid="_x0000_s2050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5+</a:t>
              </a:r>
            </a:p>
          </xdr:txBody>
        </xdr:sp>
        <xdr:clientData fPrintsWithSheet="0"/>
      </xdr:twoCellAnchor>
    </mc:Choice>
    <mc:Fallback/>
  </mc:AlternateContent>
</xdr:wsDr>
</file>

<file path=xl/tables/tableSingleCells1.xml><?xml version="1.0" encoding="utf-8"?>
<singleXmlCells xmlns="http://schemas.openxmlformats.org/spreadsheetml/2006/main">
  <singleXmlCell id="8475" r="L19" connectionId="9">
    <xmlCellPr id="1" uniqueName="CharacterName">
      <xmlPr mapId="9" xpath="/character/Basics/CharacterName" xmlDataType="string"/>
    </xmlCellPr>
  </singleXmlCell>
  <singleXmlCell id="8478" r="L20" connectionId="9">
    <xmlCellPr id="1" uniqueName="PlayerName">
      <xmlPr mapId="9" xpath="/character/Basics/PlayerName" xmlDataType="string"/>
    </xmlCellPr>
  </singleXmlCell>
  <singleXmlCell id="8479" r="L21" connectionId="9">
    <xmlCellPr id="1" uniqueName="AlternateIdentity">
      <xmlPr mapId="9" xpath="/character/Basics/AlternateIdentity" xmlDataType="string"/>
    </xmlCellPr>
  </singleXmlCell>
  <singleXmlCell id="8480" r="L22" connectionId="9">
    <xmlCellPr id="1" uniqueName="TypeofAlternateIdentity">
      <xmlPr mapId="9" xpath="/character/Basics/TypeofAlternateIdentity" xmlDataType="string"/>
    </xmlCellPr>
  </singleXmlCell>
  <singleXmlCell id="8482" r="L24" connectionId="9">
    <xmlCellPr id="1" uniqueName="Age">
      <xmlPr mapId="9" xpath="/character/Basics/Age" xmlDataType="string"/>
    </xmlCellPr>
  </singleXmlCell>
  <singleXmlCell id="8483" r="L23" connectionId="9">
    <xmlCellPr id="1" uniqueName="Gender">
      <xmlPr mapId="9" xpath="/character/Basics/Gender" xmlDataType="string"/>
    </xmlCellPr>
  </singleXmlCell>
  <singleXmlCell id="8484" r="L25" connectionId="9">
    <xmlCellPr id="1" uniqueName="Height">
      <xmlPr mapId="9" xpath="/character/Basics/Height" xmlDataType="string"/>
    </xmlCellPr>
  </singleXmlCell>
  <singleXmlCell id="8485" r="L26" connectionId="9">
    <xmlCellPr id="1" uniqueName="Weight">
      <xmlPr mapId="9" xpath="/character/Basics/Weight" xmlDataType="string"/>
    </xmlCellPr>
  </singleXmlCell>
  <singleXmlCell id="8486" r="L27" connectionId="9">
    <xmlCellPr id="1" uniqueName="Eyes">
      <xmlPr mapId="9" xpath="/character/Basics/Eyes" xmlDataType="string"/>
    </xmlCellPr>
  </singleXmlCell>
  <singleXmlCell id="8487" r="L28" connectionId="9">
    <xmlCellPr id="1" uniqueName="Hair">
      <xmlPr mapId="9" xpath="/character/Basics/Hair" xmlDataType="string"/>
    </xmlCellPr>
  </singleXmlCell>
  <singleXmlCell id="8488" r="L29" connectionId="9">
    <xmlCellPr id="1" uniqueName="GroupAffiliation">
      <xmlPr mapId="9" xpath="/character/Basics/GroupAffiliation" xmlDataType="string"/>
    </xmlCellPr>
  </singleXmlCell>
  <singleXmlCell id="8489" r="L30" connectionId="9">
    <xmlCellPr id="1" uniqueName="BaseOfOperations">
      <xmlPr mapId="9" xpath="/character/Basics/BaseOfOperations" xmlDataType="string"/>
    </xmlCellPr>
  </singleXmlCell>
  <singleXmlCell id="8490" r="U37" connectionId="9">
    <xmlCellPr id="1" uniqueName="PrintExtras">
      <xmlPr mapId="9" xpath="/character/Basics/PrintExtras" xmlDataType="string"/>
    </xmlCellPr>
  </singleXmlCell>
  <singleXmlCell id="8504" r="U6" connectionId="9">
    <xmlCellPr id="1" uniqueName="PowerLevel">
      <xmlPr mapId="9" xpath="/character/Basics/PowerLevel" xmlDataType="string"/>
    </xmlCellPr>
  </singleXmlCell>
  <singleXmlCell id="8505" r="U12" connectionId="9">
    <xmlCellPr id="1" uniqueName="PowerPointsAwarded">
      <xmlPr mapId="9" xpath="/character/Basics/PowerPointsAwarded" xmlDataType="string"/>
    </xmlCellPr>
  </singleXmlCell>
</singleXmlCells>
</file>

<file path=xl/tables/tableSingleCells2.xml><?xml version="1.0" encoding="utf-8"?>
<singleXmlCells xmlns="http://schemas.openxmlformats.org/spreadsheetml/2006/main">
  <singleXmlCell id="8492" r="G7" connectionId="9">
    <xmlCellPr id="1" uniqueName="BaseStrength">
      <xmlPr mapId="9" xpath="/character/Abilities/BaseStrength" xmlDataType="string"/>
    </xmlCellPr>
  </singleXmlCell>
  <singleXmlCell id="8493" r="G8" connectionId="9">
    <xmlCellPr id="1" uniqueName="BaseStamina">
      <xmlPr mapId="9" xpath="/character/Abilities/BaseStamina" xmlDataType="string"/>
    </xmlCellPr>
  </singleXmlCell>
  <singleXmlCell id="8494" r="G9" connectionId="9">
    <xmlCellPr id="1" uniqueName="BaseAgility">
      <xmlPr mapId="9" xpath="/character/Abilities/BaseAgility" xmlDataType="string"/>
    </xmlCellPr>
  </singleXmlCell>
  <singleXmlCell id="8495" r="G10" connectionId="9">
    <xmlCellPr id="1" uniqueName="BaseDexterity">
      <xmlPr mapId="9" xpath="/character/Abilities/BaseDexterity" xmlDataType="string"/>
    </xmlCellPr>
  </singleXmlCell>
  <singleXmlCell id="8496" r="G11" connectionId="9">
    <xmlCellPr id="1" uniqueName="BaseFighting">
      <xmlPr mapId="9" xpath="/character/Abilities/BaseFighting" xmlDataType="string"/>
    </xmlCellPr>
  </singleXmlCell>
  <singleXmlCell id="8497" r="G12" connectionId="9">
    <xmlCellPr id="1" uniqueName="BaseIntellect">
      <xmlPr mapId="9" xpath="/character/Abilities/BaseIntellect" xmlDataType="string"/>
    </xmlCellPr>
  </singleXmlCell>
  <singleXmlCell id="8498" r="G13" connectionId="9">
    <xmlCellPr id="1" uniqueName="BaseAwareness">
      <xmlPr mapId="9" xpath="/character/Abilities/BaseAwareness" xmlDataType="string"/>
    </xmlCellPr>
  </singleXmlCell>
  <singleXmlCell id="8499" r="G14" connectionId="9">
    <xmlCellPr id="1" uniqueName="BasePresence">
      <xmlPr mapId="9" xpath="/character/Abilities/BasePresence" xmlDataType="string"/>
    </xmlCellPr>
  </singleXmlCell>
  <singleXmlCell id="8500" r="AF7" connectionId="9">
    <xmlCellPr id="1" uniqueName="PurchasedDodge">
      <xmlPr mapId="9" xpath="/character/Abilities/PurchasedDodge" xmlDataType="string"/>
    </xmlCellPr>
  </singleXmlCell>
  <singleXmlCell id="8501" r="AF8" connectionId="9">
    <xmlCellPr id="1" uniqueName="PurchasedFortitude">
      <xmlPr mapId="9" xpath="/character/Abilities/PurchasedFortitude" xmlDataType="string"/>
    </xmlCellPr>
  </singleXmlCell>
  <singleXmlCell id="8502" r="AF9" connectionId="9">
    <xmlCellPr id="1" uniqueName="PurchasedParry">
      <xmlPr mapId="9" xpath="/character/Abilities/PurchasedParry" xmlDataType="string"/>
    </xmlCellPr>
  </singleXmlCell>
  <singleXmlCell id="8503" r="AF11" connectionId="9">
    <xmlCellPr id="1" uniqueName="PurchasedWill">
      <xmlPr mapId="9" xpath="/character/Abilities/PurchasedWill" xmlDataType="string"/>
    </xmlCellPr>
  </singleXmlCell>
</singleXmlCells>
</file>

<file path=xl/tables/tableSingleCells3.xml><?xml version="1.0" encoding="utf-8"?>
<singleXmlCells xmlns="http://schemas.openxmlformats.org/spreadsheetml/2006/main">
  <singleXmlCell id="8506" r="T6" connectionId="9">
    <xmlCellPr id="1" uniqueName="Acrobatics">
      <xmlPr mapId="9" xpath="/character/Skills/Acrobatics" xmlDataType="integer"/>
    </xmlCellPr>
  </singleXmlCell>
  <singleXmlCell id="8507" r="T7" connectionId="9">
    <xmlCellPr id="1" uniqueName="Athletics">
      <xmlPr mapId="9" xpath="/character/Skills/Athletics" xmlDataType="integer"/>
    </xmlCellPr>
  </singleXmlCell>
  <singleXmlCell id="8508" r="T8" connectionId="9">
    <xmlCellPr id="1" uniqueName="CloseCombat1">
      <xmlPr mapId="9" xpath="/character/Skills/CloseCombat1" xmlDataType="integer"/>
    </xmlCellPr>
  </singleXmlCell>
  <singleXmlCell id="8509" r="T9" connectionId="9">
    <xmlCellPr id="1" uniqueName="CloseCombat2">
      <xmlPr mapId="9" xpath="/character/Skills/CloseCombat2" xmlDataType="string"/>
    </xmlCellPr>
  </singleXmlCell>
  <singleXmlCell id="8510" r="T10" connectionId="9">
    <xmlCellPr id="1" uniqueName="CloseCombat3">
      <xmlPr mapId="9" xpath="/character/Skills/CloseCombat3" xmlDataType="string"/>
    </xmlCellPr>
  </singleXmlCell>
  <singleXmlCell id="8511" r="T11" connectionId="9">
    <xmlCellPr id="1" uniqueName="CloseCombat4">
      <xmlPr mapId="9" xpath="/character/Skills/CloseCombat4" xmlDataType="string"/>
    </xmlCellPr>
  </singleXmlCell>
  <singleXmlCell id="8512" r="T12" connectionId="9">
    <xmlCellPr id="1" uniqueName="Deception">
      <xmlPr mapId="9" xpath="/character/Skills/Deception" xmlDataType="string"/>
    </xmlCellPr>
  </singleXmlCell>
  <singleXmlCell id="8513" r="T13" connectionId="9">
    <xmlCellPr id="1" uniqueName="Expertise1">
      <xmlPr mapId="9" xpath="/character/Skills/Expertise1" xmlDataType="string"/>
    </xmlCellPr>
  </singleXmlCell>
  <singleXmlCell id="8514" r="T14" connectionId="9">
    <xmlCellPr id="1" uniqueName="Expertise2">
      <xmlPr mapId="9" xpath="/character/Skills/Expertise2" xmlDataType="string"/>
    </xmlCellPr>
  </singleXmlCell>
  <singleXmlCell id="8515" r="T15" connectionId="9">
    <xmlCellPr id="1" uniqueName="Expertise3">
      <xmlPr mapId="9" xpath="/character/Skills/Expertise3" xmlDataType="string"/>
    </xmlCellPr>
  </singleXmlCell>
  <singleXmlCell id="8516" r="T16" connectionId="9">
    <xmlCellPr id="1" uniqueName="Expertise4">
      <xmlPr mapId="9" xpath="/character/Skills/Expertise4" xmlDataType="string"/>
    </xmlCellPr>
  </singleXmlCell>
  <singleXmlCell id="8517" r="T17" connectionId="9">
    <xmlCellPr id="1" uniqueName="Insight">
      <xmlPr mapId="9" xpath="/character/Skills/Insight" xmlDataType="string"/>
    </xmlCellPr>
  </singleXmlCell>
  <singleXmlCell id="8518" r="T18" connectionId="9">
    <xmlCellPr id="1" uniqueName="Intimidation">
      <xmlPr mapId="9" xpath="/character/Skills/Intimidation" xmlDataType="string"/>
    </xmlCellPr>
  </singleXmlCell>
  <singleXmlCell id="8519" r="T19" connectionId="9">
    <xmlCellPr id="1" uniqueName="Investigation">
      <xmlPr mapId="9" xpath="/character/Skills/Investigation" xmlDataType="string"/>
    </xmlCellPr>
  </singleXmlCell>
  <singleXmlCell id="8520" r="T20" connectionId="9">
    <xmlCellPr id="1" uniqueName="Perception">
      <xmlPr mapId="9" xpath="/character/Skills/Perception" xmlDataType="string"/>
    </xmlCellPr>
  </singleXmlCell>
  <singleXmlCell id="8521" r="T21" connectionId="9">
    <xmlCellPr id="1" uniqueName="Persuasion">
      <xmlPr mapId="9" xpath="/character/Skills/Persuasion" xmlDataType="string"/>
    </xmlCellPr>
  </singleXmlCell>
  <singleXmlCell id="8522" r="T22" connectionId="9">
    <xmlCellPr id="1" uniqueName="RangedCombat1">
      <xmlPr mapId="9" xpath="/character/Skills/RangedCombat1" xmlDataType="string"/>
    </xmlCellPr>
  </singleXmlCell>
  <singleXmlCell id="8523" r="T23" connectionId="9">
    <xmlCellPr id="1" uniqueName="RangedCombat2">
      <xmlPr mapId="9" xpath="/character/Skills/RangedCombat2" xmlDataType="string"/>
    </xmlCellPr>
  </singleXmlCell>
  <singleXmlCell id="8524" r="T24" connectionId="9">
    <xmlCellPr id="1" uniqueName="RangedCombat3">
      <xmlPr mapId="9" xpath="/character/Skills/RangedCombat3" xmlDataType="string"/>
    </xmlCellPr>
  </singleXmlCell>
  <singleXmlCell id="8525" r="T25" connectionId="9">
    <xmlCellPr id="1" uniqueName="RangedCombat4">
      <xmlPr mapId="9" xpath="/character/Skills/RangedCombat4" xmlDataType="string"/>
    </xmlCellPr>
  </singleXmlCell>
  <singleXmlCell id="8526" r="T26" connectionId="9">
    <xmlCellPr id="1" uniqueName="SleightOfHand">
      <xmlPr mapId="9" xpath="/character/Skills/SleightOfHand" xmlDataType="string"/>
    </xmlCellPr>
  </singleXmlCell>
  <singleXmlCell id="8527" r="T27" connectionId="9">
    <xmlCellPr id="1" uniqueName="Stealth">
      <xmlPr mapId="9" xpath="/character/Skills/Stealth" xmlDataType="string"/>
    </xmlCellPr>
  </singleXmlCell>
  <singleXmlCell id="8528" r="T28" connectionId="9">
    <xmlCellPr id="1" uniqueName="Technology">
      <xmlPr mapId="9" xpath="/character/Skills/Technology" xmlDataType="string"/>
    </xmlCellPr>
  </singleXmlCell>
  <singleXmlCell id="8529" r="T29" connectionId="9">
    <xmlCellPr id="1" uniqueName="Treatment">
      <xmlPr mapId="9" xpath="/character/Skills/Treatment" xmlDataType="string"/>
    </xmlCellPr>
  </singleXmlCell>
  <singleXmlCell id="8530" r="T30" connectionId="9">
    <xmlCellPr id="1" uniqueName="Vehicles">
      <xmlPr mapId="9" xpath="/character/Skills/Vehicles" xmlDataType="string"/>
    </xmlCellPr>
  </singleXmlCell>
  <singleXmlCell id="8531" r="I13" connectionId="9">
    <xmlCellPr id="1" uniqueName="Expertise1Ability">
      <xmlPr mapId="9" xpath="/character/Skills/Expertise1Ability" xmlDataType="string"/>
    </xmlCellPr>
  </singleXmlCell>
  <singleXmlCell id="8532" r="I14" connectionId="9">
    <xmlCellPr id="1" uniqueName="Expertise2Ability">
      <xmlPr mapId="9" xpath="/character/Skills/Expertise2Ability" xmlDataType="string"/>
    </xmlCellPr>
  </singleXmlCell>
  <singleXmlCell id="8533" r="I15" connectionId="9">
    <xmlCellPr id="1" uniqueName="Expertise3Ability">
      <xmlPr mapId="9" xpath="/character/Skills/Expertise3Ability" xmlDataType="string"/>
    </xmlCellPr>
  </singleXmlCell>
  <singleXmlCell id="8534" r="I16" connectionId="9">
    <xmlCellPr id="1" uniqueName="Expertise4Ability">
      <xmlPr mapId="9" xpath="/character/Skills/Expertise4Ability" xmlDataType="string"/>
    </xmlCellPr>
  </singleXmlCell>
  <singleXmlCell id="8535" r="AB8" connectionId="9">
    <xmlCellPr id="1" uniqueName="CloseCombat1Type">
      <xmlPr mapId="9" xpath="/character/Skills/CloseCombat1Type" xmlDataType="string"/>
    </xmlCellPr>
  </singleXmlCell>
  <singleXmlCell id="8536" r="AB9" connectionId="9">
    <xmlCellPr id="1" uniqueName="CloseCombat2Type">
      <xmlPr mapId="9" xpath="/character/Skills/CloseCombat2Type" xmlDataType="string"/>
    </xmlCellPr>
  </singleXmlCell>
  <singleXmlCell id="8537" r="AB10" connectionId="9">
    <xmlCellPr id="1" uniqueName="CloseCombat3Type">
      <xmlPr mapId="9" xpath="/character/Skills/CloseCombat3Type" xmlDataType="string"/>
    </xmlCellPr>
  </singleXmlCell>
  <singleXmlCell id="8538" r="AB11" connectionId="9">
    <xmlCellPr id="1" uniqueName="CloseCombat4Type">
      <xmlPr mapId="9" xpath="/character/Skills/CloseCombat4Type" xmlDataType="string"/>
    </xmlCellPr>
  </singleXmlCell>
  <singleXmlCell id="8539" r="AB13" connectionId="9">
    <xmlCellPr id="1" uniqueName="Expertise1Type">
      <xmlPr mapId="9" xpath="/character/Skills/Expertise1Type" xmlDataType="string"/>
    </xmlCellPr>
  </singleXmlCell>
  <singleXmlCell id="8540" r="AB14" connectionId="9">
    <xmlCellPr id="1" uniqueName="Expertise2Type">
      <xmlPr mapId="9" xpath="/character/Skills/Expertise2Type" xmlDataType="string"/>
    </xmlCellPr>
  </singleXmlCell>
  <singleXmlCell id="8541" r="AB15" connectionId="9">
    <xmlCellPr id="1" uniqueName="Expertise3Type">
      <xmlPr mapId="9" xpath="/character/Skills/Expertise3Type" xmlDataType="string"/>
    </xmlCellPr>
  </singleXmlCell>
  <singleXmlCell id="8542" r="AB16" connectionId="9">
    <xmlCellPr id="1" uniqueName="Expertise4Type">
      <xmlPr mapId="9" xpath="/character/Skills/Expertise4Type" xmlDataType="string"/>
    </xmlCellPr>
  </singleXmlCell>
  <singleXmlCell id="8543" r="AB22" connectionId="9">
    <xmlCellPr id="1" uniqueName="RangedCombat1Type">
      <xmlPr mapId="9" xpath="/character/Skills/RangedCombat1Type" xmlDataType="string"/>
    </xmlCellPr>
  </singleXmlCell>
  <singleXmlCell id="8544" r="AB23" connectionId="9">
    <xmlCellPr id="1" uniqueName="RangedCombat2Type">
      <xmlPr mapId="9" xpath="/character/Skills/RangedCombat2Type" xmlDataType="string"/>
    </xmlCellPr>
  </singleXmlCell>
  <singleXmlCell id="8545" r="AB24" connectionId="9">
    <xmlCellPr id="1" uniqueName="RangedCombat3Type">
      <xmlPr mapId="9" xpath="/character/Skills/RangedCombat3Type" xmlDataType="string"/>
    </xmlCellPr>
  </singleXmlCell>
  <singleXmlCell id="8546" r="AB25" connectionId="9">
    <xmlCellPr id="1" uniqueName="RangedCombat4Type">
      <xmlPr mapId="9" xpath="/character/Skills/RangedCombat4Type" xmlDataType="string"/>
    </xmlCellPr>
  </singleXmlCell>
</singleXmlCells>
</file>

<file path=xl/tables/tableSingleCells4.xml><?xml version="1.0" encoding="utf-8"?>
<singleXmlCells xmlns="http://schemas.openxmlformats.org/spreadsheetml/2006/main">
  <singleXmlCell id="8547" r="C6" connectionId="9">
    <xmlCellPr id="1" uniqueName="Advantage1">
      <xmlPr mapId="9" xpath="/character/Advantages/AdvantageList/Advantage1" xmlDataType="string"/>
    </xmlCellPr>
  </singleXmlCell>
  <singleXmlCell id="8548" r="C7" connectionId="9">
    <xmlCellPr id="1" uniqueName="Advantage2">
      <xmlPr mapId="9" xpath="/character/Advantages/AdvantageList/Advantage2" xmlDataType="string"/>
    </xmlCellPr>
  </singleXmlCell>
  <singleXmlCell id="8549" r="C8" connectionId="9">
    <xmlCellPr id="1" uniqueName="Advantage3">
      <xmlPr mapId="9" xpath="/character/Advantages/AdvantageList/Advantage3" xmlDataType="string"/>
    </xmlCellPr>
  </singleXmlCell>
  <singleXmlCell id="8550" r="C9" connectionId="9">
    <xmlCellPr id="1" uniqueName="Advantage4">
      <xmlPr mapId="9" xpath="/character/Advantages/AdvantageList/Advantage4" xmlDataType="string"/>
    </xmlCellPr>
  </singleXmlCell>
  <singleXmlCell id="8551" r="C10" connectionId="9">
    <xmlCellPr id="1" uniqueName="Advantage5">
      <xmlPr mapId="9" xpath="/character/Advantages/AdvantageList/Advantage5" xmlDataType="string"/>
    </xmlCellPr>
  </singleXmlCell>
  <singleXmlCell id="8552" r="C11" connectionId="9">
    <xmlCellPr id="1" uniqueName="Advantage6">
      <xmlPr mapId="9" xpath="/character/Advantages/AdvantageList/Advantage6" xmlDataType="string"/>
    </xmlCellPr>
  </singleXmlCell>
  <singleXmlCell id="8553" r="C12" connectionId="9">
    <xmlCellPr id="1" uniqueName="Advantage7">
      <xmlPr mapId="9" xpath="/character/Advantages/AdvantageList/Advantage7" xmlDataType="string"/>
    </xmlCellPr>
  </singleXmlCell>
  <singleXmlCell id="8554" r="C13" connectionId="9">
    <xmlCellPr id="1" uniqueName="Advantage8">
      <xmlPr mapId="9" xpath="/character/Advantages/AdvantageList/Advantage8" xmlDataType="string"/>
    </xmlCellPr>
  </singleXmlCell>
  <singleXmlCell id="8555" r="C14" connectionId="9">
    <xmlCellPr id="1" uniqueName="Advantage9">
      <xmlPr mapId="9" xpath="/character/Advantages/AdvantageList/Advantage9" xmlDataType="string"/>
    </xmlCellPr>
  </singleXmlCell>
  <singleXmlCell id="8556" r="C15" connectionId="9">
    <xmlCellPr id="1" uniqueName="Advantage10">
      <xmlPr mapId="9" xpath="/character/Advantages/AdvantageList/Advantage10" xmlDataType="string"/>
    </xmlCellPr>
  </singleXmlCell>
  <singleXmlCell id="8557" r="C16" connectionId="9">
    <xmlCellPr id="1" uniqueName="Advantage11">
      <xmlPr mapId="9" xpath="/character/Advantages/AdvantageList/Advantage11" xmlDataType="string"/>
    </xmlCellPr>
  </singleXmlCell>
  <singleXmlCell id="8558" r="C17" connectionId="9">
    <xmlCellPr id="1" uniqueName="Advantage12">
      <xmlPr mapId="9" xpath="/character/Advantages/AdvantageList/Advantage12" xmlDataType="string"/>
    </xmlCellPr>
  </singleXmlCell>
  <singleXmlCell id="8559" r="C18" connectionId="9">
    <xmlCellPr id="1" uniqueName="Advantage13">
      <xmlPr mapId="9" xpath="/character/Advantages/AdvantageList/Advantage13" xmlDataType="string"/>
    </xmlCellPr>
  </singleXmlCell>
  <singleXmlCell id="8560" r="C19" connectionId="9">
    <xmlCellPr id="1" uniqueName="Advantage14">
      <xmlPr mapId="9" xpath="/character/Advantages/AdvantageList/Advantage14" xmlDataType="string"/>
    </xmlCellPr>
  </singleXmlCell>
  <singleXmlCell id="8561" r="C20" connectionId="9">
    <xmlCellPr id="1" uniqueName="Advantage15">
      <xmlPr mapId="9" xpath="/character/Advantages/AdvantageList/Advantage15" xmlDataType="string"/>
    </xmlCellPr>
  </singleXmlCell>
  <singleXmlCell id="8562" r="C21" connectionId="9">
    <xmlCellPr id="1" uniqueName="Advantage16">
      <xmlPr mapId="9" xpath="/character/Advantages/AdvantageList/Advantage16" xmlDataType="string"/>
    </xmlCellPr>
  </singleXmlCell>
  <singleXmlCell id="8563" r="C22" connectionId="9">
    <xmlCellPr id="1" uniqueName="Advantage17">
      <xmlPr mapId="9" xpath="/character/Advantages/AdvantageList/Advantage17" xmlDataType="string"/>
    </xmlCellPr>
  </singleXmlCell>
  <singleXmlCell id="8564" r="C23" connectionId="9">
    <xmlCellPr id="1" uniqueName="Advantage18">
      <xmlPr mapId="9" xpath="/character/Advantages/AdvantageList/Advantage18" xmlDataType="string"/>
    </xmlCellPr>
  </singleXmlCell>
  <singleXmlCell id="8565" r="C24" connectionId="9">
    <xmlCellPr id="1" uniqueName="Advantage19">
      <xmlPr mapId="9" xpath="/character/Advantages/AdvantageList/Advantage19" xmlDataType="string"/>
    </xmlCellPr>
  </singleXmlCell>
  <singleXmlCell id="8566" r="C25" connectionId="9">
    <xmlCellPr id="1" uniqueName="Advantage20">
      <xmlPr mapId="9" xpath="/character/Advantages/AdvantageList/Advantage20" xmlDataType="string"/>
    </xmlCellPr>
  </singleXmlCell>
  <singleXmlCell id="8567" r="C26" connectionId="9">
    <xmlCellPr id="1" uniqueName="Advantage21">
      <xmlPr mapId="9" xpath="/character/Advantages/AdvantageList/Advantage21" xmlDataType="string"/>
    </xmlCellPr>
  </singleXmlCell>
  <singleXmlCell id="8568" r="C27" connectionId="9">
    <xmlCellPr id="1" uniqueName="Advantage22">
      <xmlPr mapId="9" xpath="/character/Advantages/AdvantageList/Advantage22" xmlDataType="string"/>
    </xmlCellPr>
  </singleXmlCell>
  <singleXmlCell id="8569" r="C28" connectionId="9">
    <xmlCellPr id="1" uniqueName="Advantage23">
      <xmlPr mapId="9" xpath="/character/Advantages/AdvantageList/Advantage23" xmlDataType="string"/>
    </xmlCellPr>
  </singleXmlCell>
  <singleXmlCell id="8570" r="C29" connectionId="9">
    <xmlCellPr id="1" uniqueName="Advantage24">
      <xmlPr mapId="9" xpath="/character/Advantages/AdvantageList/Advantage24" xmlDataType="string"/>
    </xmlCellPr>
  </singleXmlCell>
  <singleXmlCell id="8571" r="C30" connectionId="9">
    <xmlCellPr id="1" uniqueName="Advantage25">
      <xmlPr mapId="9" xpath="/character/Advantages/AdvantageList/Advantage25" xmlDataType="string"/>
    </xmlCellPr>
  </singleXmlCell>
  <singleXmlCell id="8572" r="C31" connectionId="9">
    <xmlCellPr id="1" uniqueName="Advantage26">
      <xmlPr mapId="9" xpath="/character/Advantages/AdvantageList/Advantage26" xmlDataType="string"/>
    </xmlCellPr>
  </singleXmlCell>
  <singleXmlCell id="8573" r="C32" connectionId="9">
    <xmlCellPr id="1" uniqueName="Advantage27">
      <xmlPr mapId="9" xpath="/character/Advantages/AdvantageList/Advantage27" xmlDataType="string"/>
    </xmlCellPr>
  </singleXmlCell>
  <singleXmlCell id="8574" r="C33" connectionId="9">
    <xmlCellPr id="1" uniqueName="Advantage28">
      <xmlPr mapId="9" xpath="/character/Advantages/AdvantageList/Advantage28" xmlDataType="string"/>
    </xmlCellPr>
  </singleXmlCell>
  <singleXmlCell id="8575" r="C34" connectionId="9">
    <xmlCellPr id="1" uniqueName="Advantage29">
      <xmlPr mapId="9" xpath="/character/Advantages/AdvantageList/Advantage29" xmlDataType="string"/>
    </xmlCellPr>
  </singleXmlCell>
  <singleXmlCell id="8576" r="C35" connectionId="9">
    <xmlCellPr id="1" uniqueName="Advantage30">
      <xmlPr mapId="9" xpath="/character/Advantages/AdvantageList/Advantage30" xmlDataType="string"/>
    </xmlCellPr>
  </singleXmlCell>
  <singleXmlCell id="8577" r="C36" connectionId="9">
    <xmlCellPr id="1" uniqueName="Advantage31">
      <xmlPr mapId="9" xpath="/character/Advantages/AdvantageList/Advantage31" xmlDataType="string"/>
    </xmlCellPr>
  </singleXmlCell>
  <singleXmlCell id="8578" r="C37" connectionId="9">
    <xmlCellPr id="1" uniqueName="Advantage32">
      <xmlPr mapId="9" xpath="/character/Advantages/AdvantageList/Advantage32" xmlDataType="string"/>
    </xmlCellPr>
  </singleXmlCell>
  <singleXmlCell id="8579" r="C38" connectionId="9">
    <xmlCellPr id="1" uniqueName="Advantage33">
      <xmlPr mapId="9" xpath="/character/Advantages/AdvantageList/Advantage33" xmlDataType="string"/>
    </xmlCellPr>
  </singleXmlCell>
  <singleXmlCell id="8580" r="C39" connectionId="9">
    <xmlCellPr id="1" uniqueName="Advantage34">
      <xmlPr mapId="9" xpath="/character/Advantages/AdvantageList/Advantage34" xmlDataType="string"/>
    </xmlCellPr>
  </singleXmlCell>
  <singleXmlCell id="8581" r="K6" connectionId="9">
    <xmlCellPr id="1" uniqueName="AdvantageRanks1">
      <xmlPr mapId="9" xpath="/character/Advantages/AdvantageRanks/AdvantageRanks1" xmlDataType="string"/>
    </xmlCellPr>
  </singleXmlCell>
  <singleXmlCell id="8582" r="K7" connectionId="9">
    <xmlCellPr id="1" uniqueName="AdvantageRanks2">
      <xmlPr mapId="9" xpath="/character/Advantages/AdvantageRanks/AdvantageRanks2" xmlDataType="string"/>
    </xmlCellPr>
  </singleXmlCell>
  <singleXmlCell id="8583" r="K8" connectionId="9">
    <xmlCellPr id="1" uniqueName="AdvantageRanks3">
      <xmlPr mapId="9" xpath="/character/Advantages/AdvantageRanks/AdvantageRanks3" xmlDataType="string"/>
    </xmlCellPr>
  </singleXmlCell>
  <singleXmlCell id="8584" r="K9" connectionId="9">
    <xmlCellPr id="1" uniqueName="AdvantageRanks4">
      <xmlPr mapId="9" xpath="/character/Advantages/AdvantageRanks/AdvantageRanks4" xmlDataType="string"/>
    </xmlCellPr>
  </singleXmlCell>
  <singleXmlCell id="8585" r="K10" connectionId="9">
    <xmlCellPr id="1" uniqueName="AdvantageRanks5">
      <xmlPr mapId="9" xpath="/character/Advantages/AdvantageRanks/AdvantageRanks5" xmlDataType="string"/>
    </xmlCellPr>
  </singleXmlCell>
  <singleXmlCell id="8586" r="K11" connectionId="9">
    <xmlCellPr id="1" uniqueName="AdvantageRanks6">
      <xmlPr mapId="9" xpath="/character/Advantages/AdvantageRanks/AdvantageRanks6" xmlDataType="string"/>
    </xmlCellPr>
  </singleXmlCell>
  <singleXmlCell id="8587" r="K12" connectionId="9">
    <xmlCellPr id="1" uniqueName="AdvantageRanks7">
      <xmlPr mapId="9" xpath="/character/Advantages/AdvantageRanks/AdvantageRanks7" xmlDataType="string"/>
    </xmlCellPr>
  </singleXmlCell>
  <singleXmlCell id="8588" r="K13" connectionId="9">
    <xmlCellPr id="1" uniqueName="AdvantageRanks8">
      <xmlPr mapId="9" xpath="/character/Advantages/AdvantageRanks/AdvantageRanks8" xmlDataType="string"/>
    </xmlCellPr>
  </singleXmlCell>
  <singleXmlCell id="8589" r="K14" connectionId="9">
    <xmlCellPr id="1" uniqueName="AdvantageRanks9">
      <xmlPr mapId="9" xpath="/character/Advantages/AdvantageRanks/AdvantageRanks9" xmlDataType="string"/>
    </xmlCellPr>
  </singleXmlCell>
  <singleXmlCell id="8590" r="K15" connectionId="9">
    <xmlCellPr id="1" uniqueName="AdvantageRanks10">
      <xmlPr mapId="9" xpath="/character/Advantages/AdvantageRanks/AdvantageRanks10" xmlDataType="string"/>
    </xmlCellPr>
  </singleXmlCell>
  <singleXmlCell id="8591" r="K16" connectionId="9">
    <xmlCellPr id="1" uniqueName="AdvantageRanks11">
      <xmlPr mapId="9" xpath="/character/Advantages/AdvantageRanks/AdvantageRanks11" xmlDataType="string"/>
    </xmlCellPr>
  </singleXmlCell>
  <singleXmlCell id="8592" r="K17" connectionId="9">
    <xmlCellPr id="1" uniqueName="AdvantageRanks12">
      <xmlPr mapId="9" xpath="/character/Advantages/AdvantageRanks/AdvantageRanks12" xmlDataType="string"/>
    </xmlCellPr>
  </singleXmlCell>
  <singleXmlCell id="8593" r="K18" connectionId="9">
    <xmlCellPr id="1" uniqueName="AdvantageRanks13">
      <xmlPr mapId="9" xpath="/character/Advantages/AdvantageRanks/AdvantageRanks13" xmlDataType="string"/>
    </xmlCellPr>
  </singleXmlCell>
  <singleXmlCell id="8594" r="K19" connectionId="9">
    <xmlCellPr id="1" uniqueName="AdvantageRanks14">
      <xmlPr mapId="9" xpath="/character/Advantages/AdvantageRanks/AdvantageRanks14" xmlDataType="string"/>
    </xmlCellPr>
  </singleXmlCell>
  <singleXmlCell id="8595" r="K20" connectionId="9">
    <xmlCellPr id="1" uniqueName="AdvantageRanks15">
      <xmlPr mapId="9" xpath="/character/Advantages/AdvantageRanks/AdvantageRanks15" xmlDataType="string"/>
    </xmlCellPr>
  </singleXmlCell>
  <singleXmlCell id="8596" r="K21" connectionId="9">
    <xmlCellPr id="1" uniqueName="AdvantageRanks16">
      <xmlPr mapId="9" xpath="/character/Advantages/AdvantageRanks/AdvantageRanks16" xmlDataType="string"/>
    </xmlCellPr>
  </singleXmlCell>
  <singleXmlCell id="8597" r="K22" connectionId="9">
    <xmlCellPr id="1" uniqueName="AdvantageRanks17">
      <xmlPr mapId="9" xpath="/character/Advantages/AdvantageRanks/AdvantageRanks17" xmlDataType="string"/>
    </xmlCellPr>
  </singleXmlCell>
  <singleXmlCell id="8598" r="K23" connectionId="9">
    <xmlCellPr id="1" uniqueName="AdvantageRanks18">
      <xmlPr mapId="9" xpath="/character/Advantages/AdvantageRanks/AdvantageRanks18" xmlDataType="string"/>
    </xmlCellPr>
  </singleXmlCell>
  <singleXmlCell id="8599" r="K24" connectionId="9">
    <xmlCellPr id="1" uniqueName="AdvantageRanks19">
      <xmlPr mapId="9" xpath="/character/Advantages/AdvantageRanks/AdvantageRanks19" xmlDataType="string"/>
    </xmlCellPr>
  </singleXmlCell>
  <singleXmlCell id="8600" r="K25" connectionId="9">
    <xmlCellPr id="1" uniqueName="AdvantageRanks20">
      <xmlPr mapId="9" xpath="/character/Advantages/AdvantageRanks/AdvantageRanks20" xmlDataType="string"/>
    </xmlCellPr>
  </singleXmlCell>
  <singleXmlCell id="8601" r="K26" connectionId="9">
    <xmlCellPr id="1" uniqueName="AdvantageRanks21">
      <xmlPr mapId="9" xpath="/character/Advantages/AdvantageRanks/AdvantageRanks21" xmlDataType="string"/>
    </xmlCellPr>
  </singleXmlCell>
  <singleXmlCell id="8602" r="K27" connectionId="9">
    <xmlCellPr id="1" uniqueName="AdvantageRanks22">
      <xmlPr mapId="9" xpath="/character/Advantages/AdvantageRanks/AdvantageRanks22" xmlDataType="string"/>
    </xmlCellPr>
  </singleXmlCell>
  <singleXmlCell id="8603" r="K28" connectionId="9">
    <xmlCellPr id="1" uniqueName="AdvantageRanks23">
      <xmlPr mapId="9" xpath="/character/Advantages/AdvantageRanks/AdvantageRanks23" xmlDataType="string"/>
    </xmlCellPr>
  </singleXmlCell>
  <singleXmlCell id="8604" r="K29" connectionId="9">
    <xmlCellPr id="1" uniqueName="AdvantageRanks24">
      <xmlPr mapId="9" xpath="/character/Advantages/AdvantageRanks/AdvantageRanks24" xmlDataType="string"/>
    </xmlCellPr>
  </singleXmlCell>
  <singleXmlCell id="8605" r="K30" connectionId="9">
    <xmlCellPr id="1" uniqueName="AdvantageRanks25">
      <xmlPr mapId="9" xpath="/character/Advantages/AdvantageRanks/AdvantageRanks25" xmlDataType="string"/>
    </xmlCellPr>
  </singleXmlCell>
  <singleXmlCell id="8606" r="K31" connectionId="9">
    <xmlCellPr id="1" uniqueName="AdvantageRanks26">
      <xmlPr mapId="9" xpath="/character/Advantages/AdvantageRanks/AdvantageRanks26" xmlDataType="string"/>
    </xmlCellPr>
  </singleXmlCell>
  <singleXmlCell id="8607" r="K32" connectionId="9">
    <xmlCellPr id="1" uniqueName="AdvantageRanks27">
      <xmlPr mapId="9" xpath="/character/Advantages/AdvantageRanks/AdvantageRanks27" xmlDataType="string"/>
    </xmlCellPr>
  </singleXmlCell>
  <singleXmlCell id="8608" r="K33" connectionId="9">
    <xmlCellPr id="1" uniqueName="AdvantageRanks28">
      <xmlPr mapId="9" xpath="/character/Advantages/AdvantageRanks/AdvantageRanks28" xmlDataType="string"/>
    </xmlCellPr>
  </singleXmlCell>
  <singleXmlCell id="8609" r="K34" connectionId="9">
    <xmlCellPr id="1" uniqueName="AdvantageRanks29">
      <xmlPr mapId="9" xpath="/character/Advantages/AdvantageRanks/AdvantageRanks29" xmlDataType="string"/>
    </xmlCellPr>
  </singleXmlCell>
  <singleXmlCell id="8610" r="K35" connectionId="9">
    <xmlCellPr id="1" uniqueName="AdvantageRanks30">
      <xmlPr mapId="9" xpath="/character/Advantages/AdvantageRanks/AdvantageRanks30" xmlDataType="string"/>
    </xmlCellPr>
  </singleXmlCell>
  <singleXmlCell id="8611" r="K36" connectionId="9">
    <xmlCellPr id="1" uniqueName="AdvantageRanks31">
      <xmlPr mapId="9" xpath="/character/Advantages/AdvantageRanks/AdvantageRanks31" xmlDataType="string"/>
    </xmlCellPr>
  </singleXmlCell>
  <singleXmlCell id="8612" r="K37" connectionId="9">
    <xmlCellPr id="1" uniqueName="AdvantageRanks32">
      <xmlPr mapId="9" xpath="/character/Advantages/AdvantageRanks/AdvantageRanks32" xmlDataType="string"/>
    </xmlCellPr>
  </singleXmlCell>
  <singleXmlCell id="8613" r="K38" connectionId="9">
    <xmlCellPr id="1" uniqueName="AdvantageRanks33">
      <xmlPr mapId="9" xpath="/character/Advantages/AdvantageRanks/AdvantageRanks33" xmlDataType="string"/>
    </xmlCellPr>
  </singleXmlCell>
  <singleXmlCell id="8614" r="K39" connectionId="9">
    <xmlCellPr id="1" uniqueName="AdvantageRanks34">
      <xmlPr mapId="9" xpath="/character/Advantages/AdvantageRanks/AdvantageRanks34" xmlDataType="string"/>
    </xmlCellPr>
  </singleXmlCell>
  <singleXmlCell id="8615" r="N6" connectionId="9">
    <xmlCellPr id="1" uniqueName="AdvantageDescription1">
      <xmlPr mapId="9" xpath="/character/Advantages/AdvantageDescriptions/AdvantageDescription1" xmlDataType="string"/>
    </xmlCellPr>
  </singleXmlCell>
  <singleXmlCell id="8616" r="N7" connectionId="9">
    <xmlCellPr id="1" uniqueName="AdvantageDescription2">
      <xmlPr mapId="9" xpath="/character/Advantages/AdvantageDescriptions/AdvantageDescription2" xmlDataType="string"/>
    </xmlCellPr>
  </singleXmlCell>
  <singleXmlCell id="8617" r="N8" connectionId="9">
    <xmlCellPr id="1" uniqueName="AdvantageDescription3">
      <xmlPr mapId="9" xpath="/character/Advantages/AdvantageDescriptions/AdvantageDescription3" xmlDataType="string"/>
    </xmlCellPr>
  </singleXmlCell>
  <singleXmlCell id="8618" r="N9" connectionId="9">
    <xmlCellPr id="1" uniqueName="AdvantageDescription4">
      <xmlPr mapId="9" xpath="/character/Advantages/AdvantageDescriptions/AdvantageDescription4" xmlDataType="string"/>
    </xmlCellPr>
  </singleXmlCell>
  <singleXmlCell id="8619" r="N10" connectionId="9">
    <xmlCellPr id="1" uniqueName="AdvantageDescription5">
      <xmlPr mapId="9" xpath="/character/Advantages/AdvantageDescriptions/AdvantageDescription5" xmlDataType="string"/>
    </xmlCellPr>
  </singleXmlCell>
  <singleXmlCell id="8620" r="N11" connectionId="9">
    <xmlCellPr id="1" uniqueName="AdvantageDescription6">
      <xmlPr mapId="9" xpath="/character/Advantages/AdvantageDescriptions/AdvantageDescription6" xmlDataType="string"/>
    </xmlCellPr>
  </singleXmlCell>
  <singleXmlCell id="8621" r="N12" connectionId="9">
    <xmlCellPr id="1" uniqueName="AdvantageDescription7">
      <xmlPr mapId="9" xpath="/character/Advantages/AdvantageDescriptions/AdvantageDescription7" xmlDataType="string"/>
    </xmlCellPr>
  </singleXmlCell>
  <singleXmlCell id="8622" r="N13" connectionId="9">
    <xmlCellPr id="1" uniqueName="AdvantageDescription8">
      <xmlPr mapId="9" xpath="/character/Advantages/AdvantageDescriptions/AdvantageDescription8" xmlDataType="string"/>
    </xmlCellPr>
  </singleXmlCell>
  <singleXmlCell id="8623" r="N14" connectionId="9">
    <xmlCellPr id="1" uniqueName="AdvantageDescription9">
      <xmlPr mapId="9" xpath="/character/Advantages/AdvantageDescriptions/AdvantageDescription9" xmlDataType="string"/>
    </xmlCellPr>
  </singleXmlCell>
  <singleXmlCell id="8624" r="N15" connectionId="9">
    <xmlCellPr id="1" uniqueName="AdvantageDescription10">
      <xmlPr mapId="9" xpath="/character/Advantages/AdvantageDescriptions/AdvantageDescription10" xmlDataType="string"/>
    </xmlCellPr>
  </singleXmlCell>
  <singleXmlCell id="8625" r="N16" connectionId="9">
    <xmlCellPr id="1" uniqueName="AdvantageDescription11">
      <xmlPr mapId="9" xpath="/character/Advantages/AdvantageDescriptions/AdvantageDescription11" xmlDataType="string"/>
    </xmlCellPr>
  </singleXmlCell>
  <singleXmlCell id="8626" r="N17" connectionId="9">
    <xmlCellPr id="1" uniqueName="AdvantageDescription12">
      <xmlPr mapId="9" xpath="/character/Advantages/AdvantageDescriptions/AdvantageDescription12" xmlDataType="string"/>
    </xmlCellPr>
  </singleXmlCell>
  <singleXmlCell id="8627" r="N18" connectionId="9">
    <xmlCellPr id="1" uniqueName="AdvantageDescription13">
      <xmlPr mapId="9" xpath="/character/Advantages/AdvantageDescriptions/AdvantageDescription13" xmlDataType="string"/>
    </xmlCellPr>
  </singleXmlCell>
  <singleXmlCell id="8628" r="N19" connectionId="9">
    <xmlCellPr id="1" uniqueName="AdvantageDescription14">
      <xmlPr mapId="9" xpath="/character/Advantages/AdvantageDescriptions/AdvantageDescription14" xmlDataType="string"/>
    </xmlCellPr>
  </singleXmlCell>
  <singleXmlCell id="8629" r="N20" connectionId="9">
    <xmlCellPr id="1" uniqueName="AdvantageDescription15">
      <xmlPr mapId="9" xpath="/character/Advantages/AdvantageDescriptions/AdvantageDescription15" xmlDataType="string"/>
    </xmlCellPr>
  </singleXmlCell>
  <singleXmlCell id="8630" r="N21" connectionId="9">
    <xmlCellPr id="1" uniqueName="AdvantageDescription16">
      <xmlPr mapId="9" xpath="/character/Advantages/AdvantageDescriptions/AdvantageDescription16" xmlDataType="string"/>
    </xmlCellPr>
  </singleXmlCell>
  <singleXmlCell id="8631" r="N22" connectionId="9">
    <xmlCellPr id="1" uniqueName="AdvantageDescription17">
      <xmlPr mapId="9" xpath="/character/Advantages/AdvantageDescriptions/AdvantageDescription17" xmlDataType="string"/>
    </xmlCellPr>
  </singleXmlCell>
  <singleXmlCell id="8632" r="N23" connectionId="9">
    <xmlCellPr id="1" uniqueName="AdvantageDescription18">
      <xmlPr mapId="9" xpath="/character/Advantages/AdvantageDescriptions/AdvantageDescription18" xmlDataType="string"/>
    </xmlCellPr>
  </singleXmlCell>
  <singleXmlCell id="8633" r="N24" connectionId="9">
    <xmlCellPr id="1" uniqueName="AdvantageDescription19">
      <xmlPr mapId="9" xpath="/character/Advantages/AdvantageDescriptions/AdvantageDescription19" xmlDataType="string"/>
    </xmlCellPr>
  </singleXmlCell>
  <singleXmlCell id="8634" r="N25" connectionId="9">
    <xmlCellPr id="1" uniqueName="AdvantageDescription20">
      <xmlPr mapId="9" xpath="/character/Advantages/AdvantageDescriptions/AdvantageDescription20" xmlDataType="string"/>
    </xmlCellPr>
  </singleXmlCell>
  <singleXmlCell id="8635" r="N26" connectionId="9">
    <xmlCellPr id="1" uniqueName="AdvantageDescription21">
      <xmlPr mapId="9" xpath="/character/Advantages/AdvantageDescriptions/AdvantageDescription21" xmlDataType="string"/>
    </xmlCellPr>
  </singleXmlCell>
  <singleXmlCell id="8636" r="N27" connectionId="9">
    <xmlCellPr id="1" uniqueName="AdvantageDescription22">
      <xmlPr mapId="9" xpath="/character/Advantages/AdvantageDescriptions/AdvantageDescription22" xmlDataType="string"/>
    </xmlCellPr>
  </singleXmlCell>
  <singleXmlCell id="8637" r="N28" connectionId="9">
    <xmlCellPr id="1" uniqueName="AdvantageDescription23">
      <xmlPr mapId="9" xpath="/character/Advantages/AdvantageDescriptions/AdvantageDescription23" xmlDataType="string"/>
    </xmlCellPr>
  </singleXmlCell>
  <singleXmlCell id="8638" r="N29" connectionId="9">
    <xmlCellPr id="1" uniqueName="AdvantageDescription24">
      <xmlPr mapId="9" xpath="/character/Advantages/AdvantageDescriptions/AdvantageDescription24" xmlDataType="string"/>
    </xmlCellPr>
  </singleXmlCell>
  <singleXmlCell id="8639" r="N30" connectionId="9">
    <xmlCellPr id="1" uniqueName="AdvantageDescription25">
      <xmlPr mapId="9" xpath="/character/Advantages/AdvantageDescriptions/AdvantageDescription25" xmlDataType="string"/>
    </xmlCellPr>
  </singleXmlCell>
  <singleXmlCell id="8640" r="N31" connectionId="9">
    <xmlCellPr id="1" uniqueName="AdvantageDescription26">
      <xmlPr mapId="9" xpath="/character/Advantages/AdvantageDescriptions/AdvantageDescription26" xmlDataType="string"/>
    </xmlCellPr>
  </singleXmlCell>
  <singleXmlCell id="8641" r="N32" connectionId="9">
    <xmlCellPr id="1" uniqueName="AdvantageDescription27">
      <xmlPr mapId="9" xpath="/character/Advantages/AdvantageDescriptions/AdvantageDescription27" xmlDataType="string"/>
    </xmlCellPr>
  </singleXmlCell>
  <singleXmlCell id="8642" r="N33" connectionId="9">
    <xmlCellPr id="1" uniqueName="AdvantageDescription28">
      <xmlPr mapId="9" xpath="/character/Advantages/AdvantageDescriptions/AdvantageDescription28" xmlDataType="string"/>
    </xmlCellPr>
  </singleXmlCell>
  <singleXmlCell id="8643" r="N34" connectionId="9">
    <xmlCellPr id="1" uniqueName="AdvantageDescription29">
      <xmlPr mapId="9" xpath="/character/Advantages/AdvantageDescriptions/AdvantageDescription29" xmlDataType="string"/>
    </xmlCellPr>
  </singleXmlCell>
  <singleXmlCell id="8644" r="N35" connectionId="9">
    <xmlCellPr id="1" uniqueName="AdvantageDescription30">
      <xmlPr mapId="9" xpath="/character/Advantages/AdvantageDescriptions/AdvantageDescription30" xmlDataType="string"/>
    </xmlCellPr>
  </singleXmlCell>
  <singleXmlCell id="8645" r="N36" connectionId="9">
    <xmlCellPr id="1" uniqueName="AdvantageDescription31">
      <xmlPr mapId="9" xpath="/character/Advantages/AdvantageDescriptions/AdvantageDescription31" xmlDataType="string"/>
    </xmlCellPr>
  </singleXmlCell>
  <singleXmlCell id="8646" r="N37" connectionId="9">
    <xmlCellPr id="1" uniqueName="AdvantageDescription32">
      <xmlPr mapId="9" xpath="/character/Advantages/AdvantageDescriptions/AdvantageDescription32" xmlDataType="string"/>
    </xmlCellPr>
  </singleXmlCell>
  <singleXmlCell id="8647" r="N38" connectionId="9">
    <xmlCellPr id="1" uniqueName="AdvantageDescription33">
      <xmlPr mapId="9" xpath="/character/Advantages/AdvantageDescriptions/AdvantageDescription33" xmlDataType="string"/>
    </xmlCellPr>
  </singleXmlCell>
  <singleXmlCell id="8648" r="N39" connectionId="9">
    <xmlCellPr id="1" uniqueName="AdvantageDescription34">
      <xmlPr mapId="9" xpath="/character/Advantages/AdvantageDescriptions/AdvantageDescription34" xmlDataType="string"/>
    </xmlCellPr>
  </singleXmlCell>
  <singleXmlCell id="8649" r="AN6" connectionId="9">
    <xmlCellPr id="1" uniqueName="EnhAdv1">
      <xmlPr mapId="9" xpath="/character/Advantages/EnhancedAdvantage/EnhAdv1" xmlDataType="string"/>
    </xmlCellPr>
  </singleXmlCell>
  <singleXmlCell id="8650" r="AN7" connectionId="9">
    <xmlCellPr id="1" uniqueName="EnhAdv2">
      <xmlPr mapId="9" xpath="/character/Advantages/EnhancedAdvantage/EnhAdv2" xmlDataType="string"/>
    </xmlCellPr>
  </singleXmlCell>
  <singleXmlCell id="8651" r="AN8" connectionId="9">
    <xmlCellPr id="1" uniqueName="EnhAdv3">
      <xmlPr mapId="9" xpath="/character/Advantages/EnhancedAdvantage/EnhAdv3" xmlDataType="string"/>
    </xmlCellPr>
  </singleXmlCell>
  <singleXmlCell id="8652" r="AN9" connectionId="9">
    <xmlCellPr id="1" uniqueName="EnhAdv4">
      <xmlPr mapId="9" xpath="/character/Advantages/EnhancedAdvantage/EnhAdv4" xmlDataType="string"/>
    </xmlCellPr>
  </singleXmlCell>
  <singleXmlCell id="8653" r="AN10" connectionId="9">
    <xmlCellPr id="1" uniqueName="EnhAdv5">
      <xmlPr mapId="9" xpath="/character/Advantages/EnhancedAdvantage/EnhAdv5" xmlDataType="string"/>
    </xmlCellPr>
  </singleXmlCell>
  <singleXmlCell id="8654" r="AN11" connectionId="9">
    <xmlCellPr id="1" uniqueName="EnhAdv6">
      <xmlPr mapId="9" xpath="/character/Advantages/EnhancedAdvantage/EnhAdv6" xmlDataType="string"/>
    </xmlCellPr>
  </singleXmlCell>
  <singleXmlCell id="8655" r="AN12" connectionId="9">
    <xmlCellPr id="1" uniqueName="EnhAdv7">
      <xmlPr mapId="9" xpath="/character/Advantages/EnhancedAdvantage/EnhAdv7" xmlDataType="string"/>
    </xmlCellPr>
  </singleXmlCell>
  <singleXmlCell id="8656" r="AN13" connectionId="9">
    <xmlCellPr id="1" uniqueName="EnhAdv8">
      <xmlPr mapId="9" xpath="/character/Advantages/EnhancedAdvantage/EnhAdv8" xmlDataType="string"/>
    </xmlCellPr>
  </singleXmlCell>
  <singleXmlCell id="8657" r="AN14" connectionId="9">
    <xmlCellPr id="1" uniqueName="EnhAdv9">
      <xmlPr mapId="9" xpath="/character/Advantages/EnhancedAdvantage/EnhAdv9" xmlDataType="string"/>
    </xmlCellPr>
  </singleXmlCell>
  <singleXmlCell id="8658" r="AN15" connectionId="9">
    <xmlCellPr id="1" uniqueName="EnhAdv10">
      <xmlPr mapId="9" xpath="/character/Advantages/EnhancedAdvantage/EnhAdv10" xmlDataType="string"/>
    </xmlCellPr>
  </singleXmlCell>
  <singleXmlCell id="8659" r="AN16" connectionId="9">
    <xmlCellPr id="1" uniqueName="EnhAdv11">
      <xmlPr mapId="9" xpath="/character/Advantages/EnhancedAdvantage/EnhAdv11" xmlDataType="string"/>
    </xmlCellPr>
  </singleXmlCell>
  <singleXmlCell id="8660" r="AN17" connectionId="9">
    <xmlCellPr id="1" uniqueName="EnhAdv12">
      <xmlPr mapId="9" xpath="/character/Advantages/EnhancedAdvantage/EnhAdv12" xmlDataType="string"/>
    </xmlCellPr>
  </singleXmlCell>
  <singleXmlCell id="8661" r="AN18" connectionId="9">
    <xmlCellPr id="1" uniqueName="EnhAdv13">
      <xmlPr mapId="9" xpath="/character/Advantages/EnhancedAdvantage/EnhAdv13" xmlDataType="string"/>
    </xmlCellPr>
  </singleXmlCell>
  <singleXmlCell id="8662" r="AN19" connectionId="9">
    <xmlCellPr id="1" uniqueName="EnhAdv14">
      <xmlPr mapId="9" xpath="/character/Advantages/EnhancedAdvantage/EnhAdv14" xmlDataType="string"/>
    </xmlCellPr>
  </singleXmlCell>
  <singleXmlCell id="8663" r="AN20" connectionId="9">
    <xmlCellPr id="1" uniqueName="EnhAdv15">
      <xmlPr mapId="9" xpath="/character/Advantages/EnhancedAdvantage/EnhAdv15" xmlDataType="string"/>
    </xmlCellPr>
  </singleXmlCell>
  <singleXmlCell id="8664" r="AN21" connectionId="9">
    <xmlCellPr id="1" uniqueName="EnhAdv16">
      <xmlPr mapId="9" xpath="/character/Advantages/EnhancedAdvantage/EnhAdv16" xmlDataType="string"/>
    </xmlCellPr>
  </singleXmlCell>
  <singleXmlCell id="8665" r="AN22" connectionId="9">
    <xmlCellPr id="1" uniqueName="EnhAdv17">
      <xmlPr mapId="9" xpath="/character/Advantages/EnhancedAdvantage/EnhAdv17" xmlDataType="string"/>
    </xmlCellPr>
  </singleXmlCell>
  <singleXmlCell id="8666" r="AN23" connectionId="9">
    <xmlCellPr id="1" uniqueName="EnhAdv18">
      <xmlPr mapId="9" xpath="/character/Advantages/EnhancedAdvantage/EnhAdv18" xmlDataType="string"/>
    </xmlCellPr>
  </singleXmlCell>
  <singleXmlCell id="8667" r="AN24" connectionId="9">
    <xmlCellPr id="1" uniqueName="EnhAdv19">
      <xmlPr mapId="9" xpath="/character/Advantages/EnhancedAdvantage/EnhAdv19" xmlDataType="string"/>
    </xmlCellPr>
  </singleXmlCell>
  <singleXmlCell id="8668" r="AN25" connectionId="9">
    <xmlCellPr id="1" uniqueName="EnhAdv20">
      <xmlPr mapId="9" xpath="/character/Advantages/EnhancedAdvantage/EnhAdv20" xmlDataType="string"/>
    </xmlCellPr>
  </singleXmlCell>
  <singleXmlCell id="8669" r="AN26" connectionId="9">
    <xmlCellPr id="1" uniqueName="EnhAdv21">
      <xmlPr mapId="9" xpath="/character/Advantages/EnhancedAdvantage/EnhAdv21" xmlDataType="string"/>
    </xmlCellPr>
  </singleXmlCell>
  <singleXmlCell id="8670" r="AN27" connectionId="9">
    <xmlCellPr id="1" uniqueName="EnhAdv22">
      <xmlPr mapId="9" xpath="/character/Advantages/EnhancedAdvantage/EnhAdv22" xmlDataType="string"/>
    </xmlCellPr>
  </singleXmlCell>
  <singleXmlCell id="8671" r="AN28" connectionId="9">
    <xmlCellPr id="1" uniqueName="EnhAdv23">
      <xmlPr mapId="9" xpath="/character/Advantages/EnhancedAdvantage/EnhAdv23" xmlDataType="string"/>
    </xmlCellPr>
  </singleXmlCell>
  <singleXmlCell id="8672" r="AN29" connectionId="9">
    <xmlCellPr id="1" uniqueName="EnhAdv24">
      <xmlPr mapId="9" xpath="/character/Advantages/EnhancedAdvantage/EnhAdv24" xmlDataType="string"/>
    </xmlCellPr>
  </singleXmlCell>
  <singleXmlCell id="8673" r="AN30" connectionId="9">
    <xmlCellPr id="1" uniqueName="EnhAdv25">
      <xmlPr mapId="9" xpath="/character/Advantages/EnhancedAdvantage/EnhAdv25" xmlDataType="string"/>
    </xmlCellPr>
  </singleXmlCell>
  <singleXmlCell id="8674" r="AN31" connectionId="9">
    <xmlCellPr id="1" uniqueName="EnhAdv26">
      <xmlPr mapId="9" xpath="/character/Advantages/EnhancedAdvantage/EnhAdv26" xmlDataType="string"/>
    </xmlCellPr>
  </singleXmlCell>
  <singleXmlCell id="8675" r="AN32" connectionId="9">
    <xmlCellPr id="1" uniqueName="EnhAdv27">
      <xmlPr mapId="9" xpath="/character/Advantages/EnhancedAdvantage/EnhAdv27" xmlDataType="string"/>
    </xmlCellPr>
  </singleXmlCell>
  <singleXmlCell id="8676" r="AN33" connectionId="9">
    <xmlCellPr id="1" uniqueName="EnhAdv28">
      <xmlPr mapId="9" xpath="/character/Advantages/EnhancedAdvantage/EnhAdv28" xmlDataType="string"/>
    </xmlCellPr>
  </singleXmlCell>
  <singleXmlCell id="8677" r="AN34" connectionId="9">
    <xmlCellPr id="1" uniqueName="EnhAdv29">
      <xmlPr mapId="9" xpath="/character/Advantages/EnhancedAdvantage/EnhAdv29" xmlDataType="string"/>
    </xmlCellPr>
  </singleXmlCell>
  <singleXmlCell id="8678" r="AN35" connectionId="9">
    <xmlCellPr id="1" uniqueName="EnhAdv30">
      <xmlPr mapId="9" xpath="/character/Advantages/EnhancedAdvantage/EnhAdv30" xmlDataType="string"/>
    </xmlCellPr>
  </singleXmlCell>
  <singleXmlCell id="8679" r="AN36" connectionId="9">
    <xmlCellPr id="1" uniqueName="EnhAdv31">
      <xmlPr mapId="9" xpath="/character/Advantages/EnhancedAdvantage/EnhAdv31" xmlDataType="string"/>
    </xmlCellPr>
  </singleXmlCell>
  <singleXmlCell id="8680" r="AN37" connectionId="9">
    <xmlCellPr id="1" uniqueName="EnhAdv32">
      <xmlPr mapId="9" xpath="/character/Advantages/EnhancedAdvantage/EnhAdv32" xmlDataType="string"/>
    </xmlCellPr>
  </singleXmlCell>
  <singleXmlCell id="8681" r="AN38" connectionId="9">
    <xmlCellPr id="1" uniqueName="EnhAdv33">
      <xmlPr mapId="9" xpath="/character/Advantages/EnhancedAdvantage/EnhAdv33" xmlDataType="string"/>
    </xmlCellPr>
  </singleXmlCell>
  <singleXmlCell id="8682" r="AN39" connectionId="9">
    <xmlCellPr id="1" uniqueName="EnhAdv34">
      <xmlPr mapId="9" xpath="/character/Advantages/EnhancedAdvantage/EnhAdv34" xmlDataType="string"/>
    </xmlCellPr>
  </singleXmlCell>
</singleXmlCells>
</file>

<file path=xl/tables/tableSingleCells5.xml><?xml version="1.0" encoding="utf-8"?>
<singleXmlCells xmlns="http://schemas.openxmlformats.org/spreadsheetml/2006/main">
  <singleXmlCell id="8683" r="I21" connectionId="9">
    <xmlCellPr id="1" uniqueName="ComponentName1">
      <xmlPr mapId="9" xpath="/character/PowerComponents/PowerComponent1/ComponentName1" xmlDataType="string"/>
    </xmlCellPr>
  </singleXmlCell>
  <singleXmlCell id="8684" r="I22" connectionId="9">
    <xmlCellPr id="1" uniqueName="PowerEffect1">
      <xmlPr mapId="9" xpath="/character/PowerComponents/PowerComponent1/PowerEffect1" xmlDataType="string"/>
    </xmlCellPr>
  </singleXmlCell>
  <singleXmlCell id="8685" r="J31" connectionId="9">
    <xmlCellPr id="1" uniqueName="DescriptionModifier1">
      <xmlPr mapId="9" xpath="/character/PowerComponents/PowerComponent1/DescriptionModifier1" xmlDataType="string"/>
    </xmlCellPr>
  </singleXmlCell>
  <singleXmlCell id="8686" r="J32" connectionId="9">
    <xmlCellPr id="1" uniqueName="ChosenExtras1">
      <xmlPr mapId="9" xpath="/character/PowerComponents/PowerComponent1/ChosenExtras1" xmlDataType="string"/>
    </xmlCellPr>
  </singleXmlCell>
  <singleXmlCell id="8687" r="J33" connectionId="9">
    <xmlCellPr id="1" uniqueName="ChosenFlaws1">
      <xmlPr mapId="9" xpath="/character/PowerComponents/PowerComponent1/ChosenFlaws1" xmlDataType="string"/>
    </xmlCellPr>
  </singleXmlCell>
  <singleXmlCell id="8688" r="J34" connectionId="9">
    <xmlCellPr id="1" uniqueName="ChosenFlats1">
      <xmlPr mapId="9" xpath="/character/PowerComponents/PowerComponent1/ChosenFlats1" xmlDataType="string"/>
    </xmlCellPr>
  </singleXmlCell>
  <singleXmlCell id="8689" r="AP21" connectionId="9">
    <xmlCellPr id="1" uniqueName="BaseCost1">
      <xmlPr mapId="9" xpath="/character/PowerComponents/PowerComponent1/BaseCost1" xmlDataType="string"/>
    </xmlCellPr>
  </singleXmlCell>
  <singleXmlCell id="8690" r="AP22" connectionId="9">
    <xmlCellPr id="1" uniqueName="Extras1">
      <xmlPr mapId="9" xpath="/character/PowerComponents/PowerComponent1/Extras1" xmlDataType="string"/>
    </xmlCellPr>
  </singleXmlCell>
  <singleXmlCell id="8691" r="AP23" connectionId="9">
    <xmlCellPr id="1" uniqueName="Flaws1">
      <xmlPr mapId="9" xpath="/character/PowerComponents/PowerComponent1/Flaws1" xmlDataType="string"/>
    </xmlCellPr>
  </singleXmlCell>
  <singleXmlCell id="8692" r="AP24" connectionId="9">
    <xmlCellPr id="1" uniqueName="Rank1">
      <xmlPr mapId="9" xpath="/character/PowerComponents/PowerComponent1/Rank1" xmlDataType="string"/>
    </xmlCellPr>
  </singleXmlCell>
  <singleXmlCell id="8693" r="AP25" connectionId="9">
    <xmlCellPr id="1" uniqueName="FlatModifiers1">
      <xmlPr mapId="9" xpath="/character/PowerComponents/PowerComponent1/FlatModifiers1" xmlDataType="string"/>
    </xmlCellPr>
  </singleXmlCell>
  <singleXmlCell id="8694" r="I38" connectionId="9">
    <xmlCellPr id="1" uniqueName="ComponentName2">
      <xmlPr mapId="9" xpath="/character/PowerComponents/PowerComponent2/ComponentName2" xmlDataType="string"/>
    </xmlCellPr>
  </singleXmlCell>
  <singleXmlCell id="8695" r="I39" connectionId="9">
    <xmlCellPr id="1" uniqueName="PowerEffect2">
      <xmlPr mapId="9" xpath="/character/PowerComponents/PowerComponent2/PowerEffect2" xmlDataType="string"/>
    </xmlCellPr>
  </singleXmlCell>
  <singleXmlCell id="8696" r="J48" connectionId="9">
    <xmlCellPr id="1" uniqueName="DescriptionModifier2">
      <xmlPr mapId="9" xpath="/character/PowerComponents/PowerComponent2/DescriptionModifier2" xmlDataType="string"/>
    </xmlCellPr>
  </singleXmlCell>
  <singleXmlCell id="8697" r="J49" connectionId="9">
    <xmlCellPr id="1" uniqueName="ChosenExtras2">
      <xmlPr mapId="9" xpath="/character/PowerComponents/PowerComponent2/ChosenExtras2" xmlDataType="string"/>
    </xmlCellPr>
  </singleXmlCell>
  <singleXmlCell id="8698" r="J50" connectionId="9">
    <xmlCellPr id="1" uniqueName="ChosenFlaws2">
      <xmlPr mapId="9" xpath="/character/PowerComponents/PowerComponent2/ChosenFlaws2" xmlDataType="string"/>
    </xmlCellPr>
  </singleXmlCell>
  <singleXmlCell id="8699" r="J51" connectionId="9">
    <xmlCellPr id="1" uniqueName="ChosenFlats2">
      <xmlPr mapId="9" xpath="/character/PowerComponents/PowerComponent2/ChosenFlats2" xmlDataType="string"/>
    </xmlCellPr>
  </singleXmlCell>
  <singleXmlCell id="8700" r="AP38" connectionId="9">
    <xmlCellPr id="1" uniqueName="BaseCost2">
      <xmlPr mapId="9" xpath="/character/PowerComponents/PowerComponent2/BaseCost2" xmlDataType="string"/>
    </xmlCellPr>
  </singleXmlCell>
  <singleXmlCell id="8701" r="AP39" connectionId="9">
    <xmlCellPr id="1" uniqueName="Extras2">
      <xmlPr mapId="9" xpath="/character/PowerComponents/PowerComponent2/Extras2" xmlDataType="string"/>
    </xmlCellPr>
  </singleXmlCell>
  <singleXmlCell id="8702" r="AP40" connectionId="9">
    <xmlCellPr id="1" uniqueName="Flaws2">
      <xmlPr mapId="9" xpath="/character/PowerComponents/PowerComponent2/Flaws2" xmlDataType="string"/>
    </xmlCellPr>
  </singleXmlCell>
  <singleXmlCell id="8703" r="AP41" connectionId="9">
    <xmlCellPr id="1" uniqueName="Rank2">
      <xmlPr mapId="9" xpath="/character/PowerComponents/PowerComponent2/Rank2" xmlDataType="string"/>
    </xmlCellPr>
  </singleXmlCell>
  <singleXmlCell id="8704" r="AP42" connectionId="9">
    <xmlCellPr id="1" uniqueName="FlatModifiers2">
      <xmlPr mapId="9" xpath="/character/PowerComponents/PowerComponent2/FlatModifiers2" xmlDataType="string"/>
    </xmlCellPr>
  </singleXmlCell>
  <singleXmlCell id="8705" r="I55" connectionId="9">
    <xmlCellPr id="1" uniqueName="ComponentName3">
      <xmlPr mapId="9" xpath="/character/PowerComponents/PowerComponent3/ComponentName3" xmlDataType="string"/>
    </xmlCellPr>
  </singleXmlCell>
  <singleXmlCell id="8706" r="I56" connectionId="9">
    <xmlCellPr id="1" uniqueName="PowerEffect3">
      <xmlPr mapId="9" xpath="/character/PowerComponents/PowerComponent3/PowerEffect3" xmlDataType="string"/>
    </xmlCellPr>
  </singleXmlCell>
  <singleXmlCell id="8707" r="J65" connectionId="9">
    <xmlCellPr id="1" uniqueName="DescriptionModifier3">
      <xmlPr mapId="9" xpath="/character/PowerComponents/PowerComponent3/DescriptionModifier3" xmlDataType="string"/>
    </xmlCellPr>
  </singleXmlCell>
  <singleXmlCell id="8708" r="J66" connectionId="9">
    <xmlCellPr id="1" uniqueName="ChosenExtras3">
      <xmlPr mapId="9" xpath="/character/PowerComponents/PowerComponent3/ChosenExtras3" xmlDataType="string"/>
    </xmlCellPr>
  </singleXmlCell>
  <singleXmlCell id="8709" r="J67" connectionId="9">
    <xmlCellPr id="1" uniqueName="ChosenFlaws3">
      <xmlPr mapId="9" xpath="/character/PowerComponents/PowerComponent3/ChosenFlaws3" xmlDataType="string"/>
    </xmlCellPr>
  </singleXmlCell>
  <singleXmlCell id="8710" r="J68" connectionId="9">
    <xmlCellPr id="1" uniqueName="ChosenFlats3">
      <xmlPr mapId="9" xpath="/character/PowerComponents/PowerComponent3/ChosenFlats3" xmlDataType="string"/>
    </xmlCellPr>
  </singleXmlCell>
  <singleXmlCell id="8711" r="AP55" connectionId="9">
    <xmlCellPr id="1" uniqueName="BaseCost3">
      <xmlPr mapId="9" xpath="/character/PowerComponents/PowerComponent3/BaseCost3" xmlDataType="string"/>
    </xmlCellPr>
  </singleXmlCell>
  <singleXmlCell id="8712" r="AP56" connectionId="9">
    <xmlCellPr id="1" uniqueName="Extras3">
      <xmlPr mapId="9" xpath="/character/PowerComponents/PowerComponent3/Extras3" xmlDataType="string"/>
    </xmlCellPr>
  </singleXmlCell>
  <singleXmlCell id="8713" r="AP57" connectionId="9">
    <xmlCellPr id="1" uniqueName="Flaws3">
      <xmlPr mapId="9" xpath="/character/PowerComponents/PowerComponent3/Flaws3" xmlDataType="string"/>
    </xmlCellPr>
  </singleXmlCell>
  <singleXmlCell id="8714" r="AP58" connectionId="9">
    <xmlCellPr id="1" uniqueName="Rank3">
      <xmlPr mapId="9" xpath="/character/PowerComponents/PowerComponent3/Rank3" xmlDataType="string"/>
    </xmlCellPr>
  </singleXmlCell>
  <singleXmlCell id="8715" r="AP59" connectionId="9">
    <xmlCellPr id="1" uniqueName="FlatModifiers3">
      <xmlPr mapId="9" xpath="/character/PowerComponents/PowerComponent3/FlatModifiers3" xmlDataType="string"/>
    </xmlCellPr>
  </singleXmlCell>
  <singleXmlCell id="8716" r="I72" connectionId="9">
    <xmlCellPr id="1" uniqueName="ComponentName4">
      <xmlPr mapId="9" xpath="/character/PowerComponents/PowerComponent4/ComponentName4" xmlDataType="string"/>
    </xmlCellPr>
  </singleXmlCell>
  <singleXmlCell id="8717" r="I73" connectionId="9">
    <xmlCellPr id="1" uniqueName="PowerEffect4">
      <xmlPr mapId="9" xpath="/character/PowerComponents/PowerComponent4/PowerEffect4" xmlDataType="string"/>
    </xmlCellPr>
  </singleXmlCell>
  <singleXmlCell id="8718" r="J82" connectionId="9">
    <xmlCellPr id="1" uniqueName="DescriptionModifier4">
      <xmlPr mapId="9" xpath="/character/PowerComponents/PowerComponent4/DescriptionModifier4" xmlDataType="string"/>
    </xmlCellPr>
  </singleXmlCell>
  <singleXmlCell id="8719" r="J83" connectionId="9">
    <xmlCellPr id="1" uniqueName="ChosenExtras4">
      <xmlPr mapId="9" xpath="/character/PowerComponents/PowerComponent4/ChosenExtras4" xmlDataType="string"/>
    </xmlCellPr>
  </singleXmlCell>
  <singleXmlCell id="8720" r="J84" connectionId="9">
    <xmlCellPr id="1" uniqueName="ChosenFlaws4">
      <xmlPr mapId="9" xpath="/character/PowerComponents/PowerComponent4/ChosenFlaws4" xmlDataType="string"/>
    </xmlCellPr>
  </singleXmlCell>
  <singleXmlCell id="8721" r="J85" connectionId="9">
    <xmlCellPr id="1" uniqueName="ChosenFlats4">
      <xmlPr mapId="9" xpath="/character/PowerComponents/PowerComponent4/ChosenFlats4" xmlDataType="string"/>
    </xmlCellPr>
  </singleXmlCell>
  <singleXmlCell id="8722" r="AP72" connectionId="9">
    <xmlCellPr id="1" uniqueName="BaseCost4">
      <xmlPr mapId="9" xpath="/character/PowerComponents/PowerComponent4/BaseCost4" xmlDataType="string"/>
    </xmlCellPr>
  </singleXmlCell>
  <singleXmlCell id="8723" r="AP73" connectionId="9">
    <xmlCellPr id="1" uniqueName="Extras4">
      <xmlPr mapId="9" xpath="/character/PowerComponents/PowerComponent4/Extras4" xmlDataType="string"/>
    </xmlCellPr>
  </singleXmlCell>
  <singleXmlCell id="8724" r="AP74" connectionId="9">
    <xmlCellPr id="1" uniqueName="Flaws4">
      <xmlPr mapId="9" xpath="/character/PowerComponents/PowerComponent4/Flaws4" xmlDataType="string"/>
    </xmlCellPr>
  </singleXmlCell>
  <singleXmlCell id="8725" r="AP75" connectionId="9">
    <xmlCellPr id="1" uniqueName="Rank4">
      <xmlPr mapId="9" xpath="/character/PowerComponents/PowerComponent4/Rank4" xmlDataType="string"/>
    </xmlCellPr>
  </singleXmlCell>
  <singleXmlCell id="8726" r="AP76" connectionId="9">
    <xmlCellPr id="1" uniqueName="FlatModifiers4">
      <xmlPr mapId="9" xpath="/character/PowerComponents/PowerComponent4/FlatModifiers4" xmlDataType="string"/>
    </xmlCellPr>
  </singleXmlCell>
  <singleXmlCell id="8727" r="I89" connectionId="9">
    <xmlCellPr id="1" uniqueName="ComponentName5">
      <xmlPr mapId="9" xpath="/character/PowerComponents/PowerComponent5/ComponentName5" xmlDataType="string"/>
    </xmlCellPr>
  </singleXmlCell>
  <singleXmlCell id="8728" r="I90" connectionId="9">
    <xmlCellPr id="1" uniqueName="PowerEffect5">
      <xmlPr mapId="9" xpath="/character/PowerComponents/PowerComponent5/PowerEffect5" xmlDataType="string"/>
    </xmlCellPr>
  </singleXmlCell>
  <singleXmlCell id="8729" r="J99" connectionId="9">
    <xmlCellPr id="1" uniqueName="DescriptionModifier5">
      <xmlPr mapId="9" xpath="/character/PowerComponents/PowerComponent5/DescriptionModifier5" xmlDataType="string"/>
    </xmlCellPr>
  </singleXmlCell>
  <singleXmlCell id="8730" r="J100" connectionId="9">
    <xmlCellPr id="1" uniqueName="ChosenExtras5">
      <xmlPr mapId="9" xpath="/character/PowerComponents/PowerComponent5/ChosenExtras5" xmlDataType="string"/>
    </xmlCellPr>
  </singleXmlCell>
  <singleXmlCell id="8731" r="J101" connectionId="9">
    <xmlCellPr id="1" uniqueName="ChosenFlaws5">
      <xmlPr mapId="9" xpath="/character/PowerComponents/PowerComponent5/ChosenFlaws5" xmlDataType="string"/>
    </xmlCellPr>
  </singleXmlCell>
  <singleXmlCell id="8732" r="J102" connectionId="9">
    <xmlCellPr id="1" uniqueName="ChosenFlats5">
      <xmlPr mapId="9" xpath="/character/PowerComponents/PowerComponent5/ChosenFlats5" xmlDataType="string"/>
    </xmlCellPr>
  </singleXmlCell>
  <singleXmlCell id="8733" r="AP89" connectionId="9">
    <xmlCellPr id="1" uniqueName="BaseCost5">
      <xmlPr mapId="9" xpath="/character/PowerComponents/PowerComponent5/BaseCost5" xmlDataType="string"/>
    </xmlCellPr>
  </singleXmlCell>
  <singleXmlCell id="8734" r="AP90" connectionId="9">
    <xmlCellPr id="1" uniqueName="Extras5">
      <xmlPr mapId="9" xpath="/character/PowerComponents/PowerComponent5/Extras5" xmlDataType="string"/>
    </xmlCellPr>
  </singleXmlCell>
  <singleXmlCell id="8735" r="AP91" connectionId="9">
    <xmlCellPr id="1" uniqueName="Flaws5">
      <xmlPr mapId="9" xpath="/character/PowerComponents/PowerComponent5/Flaws5" xmlDataType="string"/>
    </xmlCellPr>
  </singleXmlCell>
  <singleXmlCell id="8736" r="AP92" connectionId="9">
    <xmlCellPr id="1" uniqueName="Rank5">
      <xmlPr mapId="9" xpath="/character/PowerComponents/PowerComponent5/Rank5" xmlDataType="string"/>
    </xmlCellPr>
  </singleXmlCell>
  <singleXmlCell id="8737" r="AP93" connectionId="9">
    <xmlCellPr id="1" uniqueName="FlatModifiers5">
      <xmlPr mapId="9" xpath="/character/PowerComponents/PowerComponent5/FlatModifiers5" xmlDataType="string"/>
    </xmlCellPr>
  </singleXmlCell>
  <singleXmlCell id="8738" r="I106" connectionId="9">
    <xmlCellPr id="1" uniqueName="ComponentName6">
      <xmlPr mapId="9" xpath="/character/PowerComponents/PowerComponent6/ComponentName6" xmlDataType="string"/>
    </xmlCellPr>
  </singleXmlCell>
  <singleXmlCell id="8739" r="I107" connectionId="9">
    <xmlCellPr id="1" uniqueName="PowerEffect6">
      <xmlPr mapId="9" xpath="/character/PowerComponents/PowerComponent6/PowerEffect6" xmlDataType="string"/>
    </xmlCellPr>
  </singleXmlCell>
  <singleXmlCell id="8740" r="J116" connectionId="9">
    <xmlCellPr id="1" uniqueName="DescriptionModifier6">
      <xmlPr mapId="9" xpath="/character/PowerComponents/PowerComponent6/DescriptionModifier6" xmlDataType="string"/>
    </xmlCellPr>
  </singleXmlCell>
  <singleXmlCell id="8741" r="J117" connectionId="9">
    <xmlCellPr id="1" uniqueName="ChosenExtras6">
      <xmlPr mapId="9" xpath="/character/PowerComponents/PowerComponent6/ChosenExtras6" xmlDataType="string"/>
    </xmlCellPr>
  </singleXmlCell>
  <singleXmlCell id="8742" r="J118" connectionId="9">
    <xmlCellPr id="1" uniqueName="ChosenFlaws6">
      <xmlPr mapId="9" xpath="/character/PowerComponents/PowerComponent6/ChosenFlaws6" xmlDataType="string"/>
    </xmlCellPr>
  </singleXmlCell>
  <singleXmlCell id="8743" r="J119" connectionId="9">
    <xmlCellPr id="1" uniqueName="ChosenFlats6">
      <xmlPr mapId="9" xpath="/character/PowerComponents/PowerComponent6/ChosenFlats6" xmlDataType="string"/>
    </xmlCellPr>
  </singleXmlCell>
  <singleXmlCell id="8744" r="AP106" connectionId="9">
    <xmlCellPr id="1" uniqueName="BaseCost6">
      <xmlPr mapId="9" xpath="/character/PowerComponents/PowerComponent6/BaseCost6" xmlDataType="string"/>
    </xmlCellPr>
  </singleXmlCell>
  <singleXmlCell id="8745" r="AP107" connectionId="9">
    <xmlCellPr id="1" uniqueName="Extras6">
      <xmlPr mapId="9" xpath="/character/PowerComponents/PowerComponent6/Extras6" xmlDataType="string"/>
    </xmlCellPr>
  </singleXmlCell>
  <singleXmlCell id="8746" r="AP108" connectionId="9">
    <xmlCellPr id="1" uniqueName="Flaws6">
      <xmlPr mapId="9" xpath="/character/PowerComponents/PowerComponent6/Flaws6" xmlDataType="string"/>
    </xmlCellPr>
  </singleXmlCell>
  <singleXmlCell id="8747" r="AP109" connectionId="9">
    <xmlCellPr id="1" uniqueName="Rank6">
      <xmlPr mapId="9" xpath="/character/PowerComponents/PowerComponent6/Rank6" xmlDataType="string"/>
    </xmlCellPr>
  </singleXmlCell>
  <singleXmlCell id="8748" r="AP110" connectionId="9">
    <xmlCellPr id="1" uniqueName="FlatModifiers6">
      <xmlPr mapId="9" xpath="/character/PowerComponents/PowerComponent6/FlatModifiers6" xmlDataType="string"/>
    </xmlCellPr>
  </singleXmlCell>
  <singleXmlCell id="8749" r="I123" connectionId="9">
    <xmlCellPr id="1" uniqueName="ComponentName7">
      <xmlPr mapId="9" xpath="/character/PowerComponents/PowerComponent7/ComponentName7" xmlDataType="string"/>
    </xmlCellPr>
  </singleXmlCell>
  <singleXmlCell id="8750" r="I124" connectionId="9">
    <xmlCellPr id="1" uniqueName="PowerEffect7">
      <xmlPr mapId="9" xpath="/character/PowerComponents/PowerComponent7/PowerEffect7" xmlDataType="string"/>
    </xmlCellPr>
  </singleXmlCell>
  <singleXmlCell id="8751" r="J133" connectionId="9">
    <xmlCellPr id="1" uniqueName="DescriptionModifier7">
      <xmlPr mapId="9" xpath="/character/PowerComponents/PowerComponent7/DescriptionModifier7" xmlDataType="string"/>
    </xmlCellPr>
  </singleXmlCell>
  <singleXmlCell id="8752" r="J134" connectionId="9">
    <xmlCellPr id="1" uniqueName="ChosenExtras7">
      <xmlPr mapId="9" xpath="/character/PowerComponents/PowerComponent7/ChosenExtras7" xmlDataType="string"/>
    </xmlCellPr>
  </singleXmlCell>
  <singleXmlCell id="8753" r="J135" connectionId="9">
    <xmlCellPr id="1" uniqueName="ChosenFlaws7">
      <xmlPr mapId="9" xpath="/character/PowerComponents/PowerComponent7/ChosenFlaws7" xmlDataType="string"/>
    </xmlCellPr>
  </singleXmlCell>
  <singleXmlCell id="8754" r="J136" connectionId="9">
    <xmlCellPr id="1" uniqueName="ChosenFlats7">
      <xmlPr mapId="9" xpath="/character/PowerComponents/PowerComponent7/ChosenFlats7" xmlDataType="string"/>
    </xmlCellPr>
  </singleXmlCell>
  <singleXmlCell id="8755" r="AP123" connectionId="9">
    <xmlCellPr id="1" uniqueName="BaseCost7">
      <xmlPr mapId="9" xpath="/character/PowerComponents/PowerComponent7/BaseCost7" xmlDataType="string"/>
    </xmlCellPr>
  </singleXmlCell>
  <singleXmlCell id="8756" r="AP124" connectionId="9">
    <xmlCellPr id="1" uniqueName="Extras7">
      <xmlPr mapId="9" xpath="/character/PowerComponents/PowerComponent7/Extras7" xmlDataType="string"/>
    </xmlCellPr>
  </singleXmlCell>
  <singleXmlCell id="8757" r="AP125" connectionId="9">
    <xmlCellPr id="1" uniqueName="Flaws7">
      <xmlPr mapId="9" xpath="/character/PowerComponents/PowerComponent7/Flaws7" xmlDataType="string"/>
    </xmlCellPr>
  </singleXmlCell>
  <singleXmlCell id="8758" r="AP126" connectionId="9">
    <xmlCellPr id="1" uniqueName="Rank7">
      <xmlPr mapId="9" xpath="/character/PowerComponents/PowerComponent7/Rank7" xmlDataType="string"/>
    </xmlCellPr>
  </singleXmlCell>
  <singleXmlCell id="8759" r="AP127" connectionId="9">
    <xmlCellPr id="1" uniqueName="FlatModifiers7">
      <xmlPr mapId="9" xpath="/character/PowerComponents/PowerComponent7/FlatModifiers7" xmlDataType="string"/>
    </xmlCellPr>
  </singleXmlCell>
  <singleXmlCell id="8760" r="I140" connectionId="9">
    <xmlCellPr id="1" uniqueName="ComponentName8">
      <xmlPr mapId="9" xpath="/character/PowerComponents/PowerComponent8/ComponentName8" xmlDataType="string"/>
    </xmlCellPr>
  </singleXmlCell>
  <singleXmlCell id="8761" r="I141" connectionId="9">
    <xmlCellPr id="1" uniqueName="PowerEffect8">
      <xmlPr mapId="9" xpath="/character/PowerComponents/PowerComponent8/PowerEffect8" xmlDataType="string"/>
    </xmlCellPr>
  </singleXmlCell>
  <singleXmlCell id="8762" r="J150" connectionId="9">
    <xmlCellPr id="1" uniqueName="DescriptionModifier8">
      <xmlPr mapId="9" xpath="/character/PowerComponents/PowerComponent8/DescriptionModifier8" xmlDataType="string"/>
    </xmlCellPr>
  </singleXmlCell>
  <singleXmlCell id="8763" r="J151" connectionId="9">
    <xmlCellPr id="1" uniqueName="ChosenExtras8">
      <xmlPr mapId="9" xpath="/character/PowerComponents/PowerComponent8/ChosenExtras8" xmlDataType="string"/>
    </xmlCellPr>
  </singleXmlCell>
  <singleXmlCell id="8764" r="J152" connectionId="9">
    <xmlCellPr id="1" uniqueName="ChosenFlaws8">
      <xmlPr mapId="9" xpath="/character/PowerComponents/PowerComponent8/ChosenFlaws8" xmlDataType="string"/>
    </xmlCellPr>
  </singleXmlCell>
  <singleXmlCell id="8765" r="J153" connectionId="9">
    <xmlCellPr id="1" uniqueName="ChosenFlats8">
      <xmlPr mapId="9" xpath="/character/PowerComponents/PowerComponent8/ChosenFlats8" xmlDataType="string"/>
    </xmlCellPr>
  </singleXmlCell>
  <singleXmlCell id="8766" r="AP140" connectionId="9">
    <xmlCellPr id="1" uniqueName="BaseCost8">
      <xmlPr mapId="9" xpath="/character/PowerComponents/PowerComponent8/BaseCost8" xmlDataType="string"/>
    </xmlCellPr>
  </singleXmlCell>
  <singleXmlCell id="8767" r="AP141" connectionId="9">
    <xmlCellPr id="1" uniqueName="Extras8">
      <xmlPr mapId="9" xpath="/character/PowerComponents/PowerComponent8/Extras8" xmlDataType="string"/>
    </xmlCellPr>
  </singleXmlCell>
  <singleXmlCell id="8768" r="AP142" connectionId="9">
    <xmlCellPr id="1" uniqueName="Flaws8">
      <xmlPr mapId="9" xpath="/character/PowerComponents/PowerComponent8/Flaws8" xmlDataType="string"/>
    </xmlCellPr>
  </singleXmlCell>
  <singleXmlCell id="8769" r="AP143" connectionId="9">
    <xmlCellPr id="1" uniqueName="Rank8">
      <xmlPr mapId="9" xpath="/character/PowerComponents/PowerComponent8/Rank8" xmlDataType="string"/>
    </xmlCellPr>
  </singleXmlCell>
  <singleXmlCell id="8770" r="AP144" connectionId="9">
    <xmlCellPr id="1" uniqueName="FlatModifiers8">
      <xmlPr mapId="9" xpath="/character/PowerComponents/PowerComponent8/FlatModifiers8" xmlDataType="string"/>
    </xmlCellPr>
  </singleXmlCell>
  <singleXmlCell id="8771" r="I157" connectionId="9">
    <xmlCellPr id="1" uniqueName="ComponentName9">
      <xmlPr mapId="9" xpath="/character/PowerComponents/PowerComponent9/ComponentName9" xmlDataType="string"/>
    </xmlCellPr>
  </singleXmlCell>
  <singleXmlCell id="8772" r="I158" connectionId="9">
    <xmlCellPr id="1" uniqueName="PowerEffect9">
      <xmlPr mapId="9" xpath="/character/PowerComponents/PowerComponent9/PowerEffect9" xmlDataType="string"/>
    </xmlCellPr>
  </singleXmlCell>
  <singleXmlCell id="8773" r="J167" connectionId="9">
    <xmlCellPr id="1" uniqueName="DescriptionModifier9">
      <xmlPr mapId="9" xpath="/character/PowerComponents/PowerComponent9/DescriptionModifier9" xmlDataType="string"/>
    </xmlCellPr>
  </singleXmlCell>
  <singleXmlCell id="8774" r="J168" connectionId="9">
    <xmlCellPr id="1" uniqueName="ChosenExtras9">
      <xmlPr mapId="9" xpath="/character/PowerComponents/PowerComponent9/ChosenExtras9" xmlDataType="string"/>
    </xmlCellPr>
  </singleXmlCell>
  <singleXmlCell id="8775" r="J169" connectionId="9">
    <xmlCellPr id="1" uniqueName="ChosenFlaws9">
      <xmlPr mapId="9" xpath="/character/PowerComponents/PowerComponent9/ChosenFlaws9" xmlDataType="string"/>
    </xmlCellPr>
  </singleXmlCell>
  <singleXmlCell id="8776" r="J170" connectionId="9">
    <xmlCellPr id="1" uniqueName="ChosenFlats9">
      <xmlPr mapId="9" xpath="/character/PowerComponents/PowerComponent9/ChosenFlats9" xmlDataType="string"/>
    </xmlCellPr>
  </singleXmlCell>
  <singleXmlCell id="8777" r="AP157" connectionId="9">
    <xmlCellPr id="1" uniqueName="BaseCost9">
      <xmlPr mapId="9" xpath="/character/PowerComponents/PowerComponent9/BaseCost9" xmlDataType="string"/>
    </xmlCellPr>
  </singleXmlCell>
  <singleXmlCell id="8778" r="AP158" connectionId="9">
    <xmlCellPr id="1" uniqueName="Extras9">
      <xmlPr mapId="9" xpath="/character/PowerComponents/PowerComponent9/Extras9" xmlDataType="string"/>
    </xmlCellPr>
  </singleXmlCell>
  <singleXmlCell id="8779" r="AP159" connectionId="9">
    <xmlCellPr id="1" uniqueName="Flaws9">
      <xmlPr mapId="9" xpath="/character/PowerComponents/PowerComponent9/Flaws9" xmlDataType="string"/>
    </xmlCellPr>
  </singleXmlCell>
  <singleXmlCell id="8780" r="AP160" connectionId="9">
    <xmlCellPr id="1" uniqueName="Rank9">
      <xmlPr mapId="9" xpath="/character/PowerComponents/PowerComponent9/Rank9" xmlDataType="string"/>
    </xmlCellPr>
  </singleXmlCell>
  <singleXmlCell id="8781" r="AP161" connectionId="9">
    <xmlCellPr id="1" uniqueName="FlatModifiers9">
      <xmlPr mapId="9" xpath="/character/PowerComponents/PowerComponent9/FlatModifiers9" xmlDataType="string"/>
    </xmlCellPr>
  </singleXmlCell>
  <singleXmlCell id="8782" r="I174" connectionId="9">
    <xmlCellPr id="1" uniqueName="ComponentName10">
      <xmlPr mapId="9" xpath="/character/PowerComponents/PowerComponent10/ComponentName10" xmlDataType="string"/>
    </xmlCellPr>
  </singleXmlCell>
  <singleXmlCell id="8783" r="I175" connectionId="9">
    <xmlCellPr id="1" uniqueName="PowerEffect10">
      <xmlPr mapId="9" xpath="/character/PowerComponents/PowerComponent10/PowerEffect10" xmlDataType="string"/>
    </xmlCellPr>
  </singleXmlCell>
  <singleXmlCell id="8784" r="J184" connectionId="9">
    <xmlCellPr id="1" uniqueName="DescriptionModifier10">
      <xmlPr mapId="9" xpath="/character/PowerComponents/PowerComponent10/DescriptionModifier10" xmlDataType="string"/>
    </xmlCellPr>
  </singleXmlCell>
  <singleXmlCell id="8785" r="J185" connectionId="9">
    <xmlCellPr id="1" uniqueName="ChosenExtras10">
      <xmlPr mapId="9" xpath="/character/PowerComponents/PowerComponent10/ChosenExtras10" xmlDataType="string"/>
    </xmlCellPr>
  </singleXmlCell>
  <singleXmlCell id="8786" r="J186" connectionId="9">
    <xmlCellPr id="1" uniqueName="ChosenFlaws10">
      <xmlPr mapId="9" xpath="/character/PowerComponents/PowerComponent10/ChosenFlaws10" xmlDataType="string"/>
    </xmlCellPr>
  </singleXmlCell>
  <singleXmlCell id="8787" r="J187" connectionId="9">
    <xmlCellPr id="1" uniqueName="ChosenFlats10">
      <xmlPr mapId="9" xpath="/character/PowerComponents/PowerComponent10/ChosenFlats10" xmlDataType="string"/>
    </xmlCellPr>
  </singleXmlCell>
  <singleXmlCell id="8788" r="AP174" connectionId="9">
    <xmlCellPr id="1" uniqueName="BaseCost10">
      <xmlPr mapId="9" xpath="/character/PowerComponents/PowerComponent10/BaseCost10" xmlDataType="string"/>
    </xmlCellPr>
  </singleXmlCell>
  <singleXmlCell id="8789" r="AP175" connectionId="9">
    <xmlCellPr id="1" uniqueName="Extras10">
      <xmlPr mapId="9" xpath="/character/PowerComponents/PowerComponent10/Extras10" xmlDataType="string"/>
    </xmlCellPr>
  </singleXmlCell>
  <singleXmlCell id="8790" r="AP176" connectionId="9">
    <xmlCellPr id="1" uniqueName="Flaws10">
      <xmlPr mapId="9" xpath="/character/PowerComponents/PowerComponent10/Flaws10" xmlDataType="string"/>
    </xmlCellPr>
  </singleXmlCell>
  <singleXmlCell id="8791" r="AP177" connectionId="9">
    <xmlCellPr id="1" uniqueName="Rank10">
      <xmlPr mapId="9" xpath="/character/PowerComponents/PowerComponent10/Rank10" xmlDataType="string"/>
    </xmlCellPr>
  </singleXmlCell>
  <singleXmlCell id="8792" r="AP178" connectionId="9">
    <xmlCellPr id="1" uniqueName="FlatModifiers10">
      <xmlPr mapId="9" xpath="/character/PowerComponents/PowerComponent10/FlatModifiers10" xmlDataType="string"/>
    </xmlCellPr>
  </singleXmlCell>
  <singleXmlCell id="8793" r="I191" connectionId="9">
    <xmlCellPr id="1" uniqueName="ComponentName11">
      <xmlPr mapId="9" xpath="/character/PowerComponents/PowerComponent11/ComponentName11" xmlDataType="string"/>
    </xmlCellPr>
  </singleXmlCell>
  <singleXmlCell id="8794" r="I192" connectionId="9">
    <xmlCellPr id="1" uniqueName="PowerEffect11">
      <xmlPr mapId="9" xpath="/character/PowerComponents/PowerComponent11/PowerEffect11" xmlDataType="string"/>
    </xmlCellPr>
  </singleXmlCell>
  <singleXmlCell id="8795" r="J201" connectionId="9">
    <xmlCellPr id="1" uniqueName="DescriptionModifier11">
      <xmlPr mapId="9" xpath="/character/PowerComponents/PowerComponent11/DescriptionModifier11" xmlDataType="string"/>
    </xmlCellPr>
  </singleXmlCell>
  <singleXmlCell id="8796" r="J202" connectionId="9">
    <xmlCellPr id="1" uniqueName="ChosenExtras11">
      <xmlPr mapId="9" xpath="/character/PowerComponents/PowerComponent11/ChosenExtras11" xmlDataType="string"/>
    </xmlCellPr>
  </singleXmlCell>
  <singleXmlCell id="8797" r="J203" connectionId="9">
    <xmlCellPr id="1" uniqueName="ChosenFlaws11">
      <xmlPr mapId="9" xpath="/character/PowerComponents/PowerComponent11/ChosenFlaws11" xmlDataType="string"/>
    </xmlCellPr>
  </singleXmlCell>
  <singleXmlCell id="8798" r="J204" connectionId="9">
    <xmlCellPr id="1" uniqueName="ChosenFlats11">
      <xmlPr mapId="9" xpath="/character/PowerComponents/PowerComponent11/ChosenFlats11" xmlDataType="string"/>
    </xmlCellPr>
  </singleXmlCell>
  <singleXmlCell id="8799" r="AP191" connectionId="9">
    <xmlCellPr id="1" uniqueName="BaseCost11">
      <xmlPr mapId="9" xpath="/character/PowerComponents/PowerComponent11/BaseCost11" xmlDataType="string"/>
    </xmlCellPr>
  </singleXmlCell>
  <singleXmlCell id="8800" r="AP192" connectionId="9">
    <xmlCellPr id="1" uniqueName="Extras11">
      <xmlPr mapId="9" xpath="/character/PowerComponents/PowerComponent11/Extras11" xmlDataType="string"/>
    </xmlCellPr>
  </singleXmlCell>
  <singleXmlCell id="8801" r="AP193" connectionId="9">
    <xmlCellPr id="1" uniqueName="Flaws11">
      <xmlPr mapId="9" xpath="/character/PowerComponents/PowerComponent11/Flaws11" xmlDataType="string"/>
    </xmlCellPr>
  </singleXmlCell>
  <singleXmlCell id="8802" r="AP194" connectionId="9">
    <xmlCellPr id="1" uniqueName="Rank11">
      <xmlPr mapId="9" xpath="/character/PowerComponents/PowerComponent11/Rank11" xmlDataType="string"/>
    </xmlCellPr>
  </singleXmlCell>
  <singleXmlCell id="8803" r="AP195" connectionId="9">
    <xmlCellPr id="1" uniqueName="FlatModifiers11">
      <xmlPr mapId="9" xpath="/character/PowerComponents/PowerComponent11/FlatModifiers11" xmlDataType="string"/>
    </xmlCellPr>
  </singleXmlCell>
  <singleXmlCell id="8804" r="I208" connectionId="9">
    <xmlCellPr id="1" uniqueName="ComponentName12">
      <xmlPr mapId="9" xpath="/character/PowerComponents/PowerComponent12/ComponentName12" xmlDataType="string"/>
    </xmlCellPr>
  </singleXmlCell>
  <singleXmlCell id="8805" r="I209" connectionId="9">
    <xmlCellPr id="1" uniqueName="PowerEffect12">
      <xmlPr mapId="9" xpath="/character/PowerComponents/PowerComponent12/PowerEffect12" xmlDataType="string"/>
    </xmlCellPr>
  </singleXmlCell>
  <singleXmlCell id="8806" r="J218" connectionId="9">
    <xmlCellPr id="1" uniqueName="DescriptionModifier12">
      <xmlPr mapId="9" xpath="/character/PowerComponents/PowerComponent12/DescriptionModifier12" xmlDataType="string"/>
    </xmlCellPr>
  </singleXmlCell>
  <singleXmlCell id="8807" r="J219" connectionId="9">
    <xmlCellPr id="1" uniqueName="ChosenExtras12">
      <xmlPr mapId="9" xpath="/character/PowerComponents/PowerComponent12/ChosenExtras12" xmlDataType="string"/>
    </xmlCellPr>
  </singleXmlCell>
  <singleXmlCell id="8808" r="J220" connectionId="9">
    <xmlCellPr id="1" uniqueName="ChosenFlaws12">
      <xmlPr mapId="9" xpath="/character/PowerComponents/PowerComponent12/ChosenFlaws12" xmlDataType="string"/>
    </xmlCellPr>
  </singleXmlCell>
  <singleXmlCell id="8809" r="J221" connectionId="9">
    <xmlCellPr id="1" uniqueName="ChosenFlats12">
      <xmlPr mapId="9" xpath="/character/PowerComponents/PowerComponent12/ChosenFlats12" xmlDataType="string"/>
    </xmlCellPr>
  </singleXmlCell>
  <singleXmlCell id="8810" r="AP208" connectionId="9">
    <xmlCellPr id="1" uniqueName="BaseCost12">
      <xmlPr mapId="9" xpath="/character/PowerComponents/PowerComponent12/BaseCost12" xmlDataType="string"/>
    </xmlCellPr>
  </singleXmlCell>
  <singleXmlCell id="8811" r="AP209" connectionId="9">
    <xmlCellPr id="1" uniqueName="Extras12">
      <xmlPr mapId="9" xpath="/character/PowerComponents/PowerComponent12/Extras12" xmlDataType="string"/>
    </xmlCellPr>
  </singleXmlCell>
  <singleXmlCell id="8812" r="AP210" connectionId="9">
    <xmlCellPr id="1" uniqueName="Flaws12">
      <xmlPr mapId="9" xpath="/character/PowerComponents/PowerComponent12/Flaws12" xmlDataType="string"/>
    </xmlCellPr>
  </singleXmlCell>
  <singleXmlCell id="8813" r="AP211" connectionId="9">
    <xmlCellPr id="1" uniqueName="Rank12">
      <xmlPr mapId="9" xpath="/character/PowerComponents/PowerComponent12/Rank12" xmlDataType="string"/>
    </xmlCellPr>
  </singleXmlCell>
  <singleXmlCell id="8814" r="AP212" connectionId="9">
    <xmlCellPr id="1" uniqueName="FlatModifiers12">
      <xmlPr mapId="9" xpath="/character/PowerComponents/PowerComponent12/FlatModifiers12" xmlDataType="string"/>
    </xmlCellPr>
  </singleXmlCell>
  <singleXmlCell id="8815" r="I225" connectionId="9">
    <xmlCellPr id="1" uniqueName="ComponentName13">
      <xmlPr mapId="9" xpath="/character/PowerComponents/PowerComponent13/ComponentName13" xmlDataType="string"/>
    </xmlCellPr>
  </singleXmlCell>
  <singleXmlCell id="8816" r="I226" connectionId="9">
    <xmlCellPr id="1" uniqueName="PowerEffect13">
      <xmlPr mapId="9" xpath="/character/PowerComponents/PowerComponent13/PowerEffect13" xmlDataType="string"/>
    </xmlCellPr>
  </singleXmlCell>
  <singleXmlCell id="8817" r="J235" connectionId="9">
    <xmlCellPr id="1" uniqueName="DescriptionModifier13">
      <xmlPr mapId="9" xpath="/character/PowerComponents/PowerComponent13/DescriptionModifier13" xmlDataType="string"/>
    </xmlCellPr>
  </singleXmlCell>
  <singleXmlCell id="8818" r="J236" connectionId="9">
    <xmlCellPr id="1" uniqueName="ChosenExtras13">
      <xmlPr mapId="9" xpath="/character/PowerComponents/PowerComponent13/ChosenExtras13" xmlDataType="string"/>
    </xmlCellPr>
  </singleXmlCell>
  <singleXmlCell id="8819" r="J237" connectionId="9">
    <xmlCellPr id="1" uniqueName="ChosenFlaws13">
      <xmlPr mapId="9" xpath="/character/PowerComponents/PowerComponent13/ChosenFlaws13" xmlDataType="string"/>
    </xmlCellPr>
  </singleXmlCell>
  <singleXmlCell id="8820" r="J238" connectionId="9">
    <xmlCellPr id="1" uniqueName="ChosenFlats13">
      <xmlPr mapId="9" xpath="/character/PowerComponents/PowerComponent13/ChosenFlats13" xmlDataType="string"/>
    </xmlCellPr>
  </singleXmlCell>
  <singleXmlCell id="8821" r="AP225" connectionId="9">
    <xmlCellPr id="1" uniqueName="BaseCost13">
      <xmlPr mapId="9" xpath="/character/PowerComponents/PowerComponent13/BaseCost13" xmlDataType="string"/>
    </xmlCellPr>
  </singleXmlCell>
  <singleXmlCell id="8822" r="AP226" connectionId="9">
    <xmlCellPr id="1" uniqueName="Extras13">
      <xmlPr mapId="9" xpath="/character/PowerComponents/PowerComponent13/Extras13" xmlDataType="string"/>
    </xmlCellPr>
  </singleXmlCell>
  <singleXmlCell id="8823" r="AP227" connectionId="9">
    <xmlCellPr id="1" uniqueName="Flaws13">
      <xmlPr mapId="9" xpath="/character/PowerComponents/PowerComponent13/Flaws13" xmlDataType="string"/>
    </xmlCellPr>
  </singleXmlCell>
  <singleXmlCell id="8824" r="AP228" connectionId="9">
    <xmlCellPr id="1" uniqueName="Rank13">
      <xmlPr mapId="9" xpath="/character/PowerComponents/PowerComponent13/Rank13" xmlDataType="string"/>
    </xmlCellPr>
  </singleXmlCell>
  <singleXmlCell id="8825" r="AP229" connectionId="9">
    <xmlCellPr id="1" uniqueName="FlatModifiers13">
      <xmlPr mapId="9" xpath="/character/PowerComponents/PowerComponent13/FlatModifiers13" xmlDataType="string"/>
    </xmlCellPr>
  </singleXmlCell>
  <singleXmlCell id="8826" r="I242" connectionId="9">
    <xmlCellPr id="1" uniqueName="ComponentName14">
      <xmlPr mapId="9" xpath="/character/PowerComponents/PowerComponent14/ComponentName14" xmlDataType="string"/>
    </xmlCellPr>
  </singleXmlCell>
  <singleXmlCell id="8827" r="I243" connectionId="9">
    <xmlCellPr id="1" uniqueName="PowerEffect14">
      <xmlPr mapId="9" xpath="/character/PowerComponents/PowerComponent14/PowerEffect14" xmlDataType="string"/>
    </xmlCellPr>
  </singleXmlCell>
  <singleXmlCell id="8828" r="J252" connectionId="9">
    <xmlCellPr id="1" uniqueName="DescriptionModifier14">
      <xmlPr mapId="9" xpath="/character/PowerComponents/PowerComponent14/DescriptionModifier14" xmlDataType="string"/>
    </xmlCellPr>
  </singleXmlCell>
  <singleXmlCell id="8829" r="J253" connectionId="9">
    <xmlCellPr id="1" uniqueName="ChosenExtras14">
      <xmlPr mapId="9" xpath="/character/PowerComponents/PowerComponent14/ChosenExtras14" xmlDataType="string"/>
    </xmlCellPr>
  </singleXmlCell>
  <singleXmlCell id="8830" r="J254" connectionId="9">
    <xmlCellPr id="1" uniqueName="ChosenFlaws14">
      <xmlPr mapId="9" xpath="/character/PowerComponents/PowerComponent14/ChosenFlaws14" xmlDataType="string"/>
    </xmlCellPr>
  </singleXmlCell>
  <singleXmlCell id="8831" r="J255" connectionId="9">
    <xmlCellPr id="1" uniqueName="ChosenFlats14">
      <xmlPr mapId="9" xpath="/character/PowerComponents/PowerComponent14/ChosenFlats14" xmlDataType="string"/>
    </xmlCellPr>
  </singleXmlCell>
  <singleXmlCell id="8832" r="AP242" connectionId="9">
    <xmlCellPr id="1" uniqueName="BaseCost14">
      <xmlPr mapId="9" xpath="/character/PowerComponents/PowerComponent14/BaseCost14" xmlDataType="string"/>
    </xmlCellPr>
  </singleXmlCell>
  <singleXmlCell id="8833" r="AP243" connectionId="9">
    <xmlCellPr id="1" uniqueName="Extras14">
      <xmlPr mapId="9" xpath="/character/PowerComponents/PowerComponent14/Extras14" xmlDataType="string"/>
    </xmlCellPr>
  </singleXmlCell>
  <singleXmlCell id="8834" r="AP244" connectionId="9">
    <xmlCellPr id="1" uniqueName="Flaws14">
      <xmlPr mapId="9" xpath="/character/PowerComponents/PowerComponent14/Flaws14" xmlDataType="string"/>
    </xmlCellPr>
  </singleXmlCell>
  <singleXmlCell id="8835" r="AP245" connectionId="9">
    <xmlCellPr id="1" uniqueName="Rank14">
      <xmlPr mapId="9" xpath="/character/PowerComponents/PowerComponent14/Rank14" xmlDataType="string"/>
    </xmlCellPr>
  </singleXmlCell>
  <singleXmlCell id="8836" r="AP246" connectionId="9">
    <xmlCellPr id="1" uniqueName="FlatModifiers14">
      <xmlPr mapId="9" xpath="/character/PowerComponents/PowerComponent14/FlatModifiers14" xmlDataType="string"/>
    </xmlCellPr>
  </singleXmlCell>
  <singleXmlCell id="8837" r="I259" connectionId="9">
    <xmlCellPr id="1" uniqueName="ComponentName15">
      <xmlPr mapId="9" xpath="/character/PowerComponents/PowerComponent15/ComponentName15" xmlDataType="string"/>
    </xmlCellPr>
  </singleXmlCell>
  <singleXmlCell id="8838" r="I260" connectionId="9">
    <xmlCellPr id="1" uniqueName="PowerEffect15">
      <xmlPr mapId="9" xpath="/character/PowerComponents/PowerComponent15/PowerEffect15" xmlDataType="string"/>
    </xmlCellPr>
  </singleXmlCell>
  <singleXmlCell id="8839" r="J269" connectionId="9">
    <xmlCellPr id="1" uniqueName="DescriptionModifier15">
      <xmlPr mapId="9" xpath="/character/PowerComponents/PowerComponent15/DescriptionModifier15" xmlDataType="string"/>
    </xmlCellPr>
  </singleXmlCell>
  <singleXmlCell id="8840" r="J270" connectionId="9">
    <xmlCellPr id="1" uniqueName="ChosenExtras15">
      <xmlPr mapId="9" xpath="/character/PowerComponents/PowerComponent15/ChosenExtras15" xmlDataType="string"/>
    </xmlCellPr>
  </singleXmlCell>
  <singleXmlCell id="8841" r="J271" connectionId="9">
    <xmlCellPr id="1" uniqueName="ChosenFlaws15">
      <xmlPr mapId="9" xpath="/character/PowerComponents/PowerComponent15/ChosenFlaws15" xmlDataType="string"/>
    </xmlCellPr>
  </singleXmlCell>
  <singleXmlCell id="8842" r="J272" connectionId="9">
    <xmlCellPr id="1" uniqueName="ChosenFlats15">
      <xmlPr mapId="9" xpath="/character/PowerComponents/PowerComponent15/ChosenFlats15" xmlDataType="string"/>
    </xmlCellPr>
  </singleXmlCell>
  <singleXmlCell id="8843" r="AP259" connectionId="9">
    <xmlCellPr id="1" uniqueName="BaseCost15">
      <xmlPr mapId="9" xpath="/character/PowerComponents/PowerComponent15/BaseCost15" xmlDataType="string"/>
    </xmlCellPr>
  </singleXmlCell>
  <singleXmlCell id="8844" r="AP260" connectionId="9">
    <xmlCellPr id="1" uniqueName="Extras15">
      <xmlPr mapId="9" xpath="/character/PowerComponents/PowerComponent15/Extras15" xmlDataType="string"/>
    </xmlCellPr>
  </singleXmlCell>
  <singleXmlCell id="8845" r="AP261" connectionId="9">
    <xmlCellPr id="1" uniqueName="Flaws15">
      <xmlPr mapId="9" xpath="/character/PowerComponents/PowerComponent15/Flaws15" xmlDataType="string"/>
    </xmlCellPr>
  </singleXmlCell>
  <singleXmlCell id="8846" r="AP262" connectionId="9">
    <xmlCellPr id="1" uniqueName="Rank15">
      <xmlPr mapId="9" xpath="/character/PowerComponents/PowerComponent15/Rank15" xmlDataType="string"/>
    </xmlCellPr>
  </singleXmlCell>
  <singleXmlCell id="8847" r="AP263" connectionId="9">
    <xmlCellPr id="1" uniqueName="FlatModifiers15">
      <xmlPr mapId="9" xpath="/character/PowerComponents/PowerComponent15/FlatModifiers15" xmlDataType="string"/>
    </xmlCellPr>
  </singleXmlCell>
  <singleXmlCell id="8848" r="I276" connectionId="9">
    <xmlCellPr id="1" uniqueName="ComponentName16">
      <xmlPr mapId="9" xpath="/character/PowerComponents/PowerComponent16/ComponentName16" xmlDataType="string"/>
    </xmlCellPr>
  </singleXmlCell>
  <singleXmlCell id="8849" r="I277" connectionId="9">
    <xmlCellPr id="1" uniqueName="PowerEffect16">
      <xmlPr mapId="9" xpath="/character/PowerComponents/PowerComponent16/PowerEffect16" xmlDataType="string"/>
    </xmlCellPr>
  </singleXmlCell>
  <singleXmlCell id="8850" r="J286" connectionId="9">
    <xmlCellPr id="1" uniqueName="DescriptionModifier16">
      <xmlPr mapId="9" xpath="/character/PowerComponents/PowerComponent16/DescriptionModifier16" xmlDataType="string"/>
    </xmlCellPr>
  </singleXmlCell>
  <singleXmlCell id="8851" r="J287" connectionId="9">
    <xmlCellPr id="1" uniqueName="ChosenExtras16">
      <xmlPr mapId="9" xpath="/character/PowerComponents/PowerComponent16/ChosenExtras16" xmlDataType="string"/>
    </xmlCellPr>
  </singleXmlCell>
  <singleXmlCell id="8852" r="J288" connectionId="9">
    <xmlCellPr id="1" uniqueName="ChosenFlaws16">
      <xmlPr mapId="9" xpath="/character/PowerComponents/PowerComponent16/ChosenFlaws16" xmlDataType="string"/>
    </xmlCellPr>
  </singleXmlCell>
  <singleXmlCell id="8853" r="J289" connectionId="9">
    <xmlCellPr id="1" uniqueName="ChosenFlats16">
      <xmlPr mapId="9" xpath="/character/PowerComponents/PowerComponent16/ChosenFlats16" xmlDataType="string"/>
    </xmlCellPr>
  </singleXmlCell>
  <singleXmlCell id="8854" r="AP276" connectionId="9">
    <xmlCellPr id="1" uniqueName="BaseCost16">
      <xmlPr mapId="9" xpath="/character/PowerComponents/PowerComponent16/BaseCost16" xmlDataType="string"/>
    </xmlCellPr>
  </singleXmlCell>
  <singleXmlCell id="8855" r="AP277" connectionId="9">
    <xmlCellPr id="1" uniqueName="Extras16">
      <xmlPr mapId="9" xpath="/character/PowerComponents/PowerComponent16/Extras16" xmlDataType="string"/>
    </xmlCellPr>
  </singleXmlCell>
  <singleXmlCell id="8856" r="AP278" connectionId="9">
    <xmlCellPr id="1" uniqueName="Flaws16">
      <xmlPr mapId="9" xpath="/character/PowerComponents/PowerComponent16/Flaws16" xmlDataType="string"/>
    </xmlCellPr>
  </singleXmlCell>
  <singleXmlCell id="8857" r="AP279" connectionId="9">
    <xmlCellPr id="1" uniqueName="Rank16">
      <xmlPr mapId="9" xpath="/character/PowerComponents/PowerComponent16/Rank16" xmlDataType="string"/>
    </xmlCellPr>
  </singleXmlCell>
  <singleXmlCell id="8858" r="AP280" connectionId="9">
    <xmlCellPr id="1" uniqueName="FlatModifiers16">
      <xmlPr mapId="9" xpath="/character/PowerComponents/PowerComponent16/FlatModifiers16" xmlDataType="string"/>
    </xmlCellPr>
  </singleXmlCell>
  <singleXmlCell id="8859" r="I293" connectionId="9">
    <xmlCellPr id="1" uniqueName="ComponentName17">
      <xmlPr mapId="9" xpath="/character/PowerComponents/PowerComponent17/ComponentName17" xmlDataType="string"/>
    </xmlCellPr>
  </singleXmlCell>
  <singleXmlCell id="8860" r="I294" connectionId="9">
    <xmlCellPr id="1" uniqueName="PowerEffect17">
      <xmlPr mapId="9" xpath="/character/PowerComponents/PowerComponent17/PowerEffect17" xmlDataType="string"/>
    </xmlCellPr>
  </singleXmlCell>
  <singleXmlCell id="8861" r="J303" connectionId="9">
    <xmlCellPr id="1" uniqueName="DescriptionModifier17">
      <xmlPr mapId="9" xpath="/character/PowerComponents/PowerComponent17/DescriptionModifier17" xmlDataType="string"/>
    </xmlCellPr>
  </singleXmlCell>
  <singleXmlCell id="8862" r="J304" connectionId="9">
    <xmlCellPr id="1" uniqueName="ChosenExtras17">
      <xmlPr mapId="9" xpath="/character/PowerComponents/PowerComponent17/ChosenExtras17" xmlDataType="string"/>
    </xmlCellPr>
  </singleXmlCell>
  <singleXmlCell id="8863" r="J305" connectionId="9">
    <xmlCellPr id="1" uniqueName="ChosenFlaws17">
      <xmlPr mapId="9" xpath="/character/PowerComponents/PowerComponent17/ChosenFlaws17" xmlDataType="string"/>
    </xmlCellPr>
  </singleXmlCell>
  <singleXmlCell id="8864" r="J306" connectionId="9">
    <xmlCellPr id="1" uniqueName="ChosenFlats17">
      <xmlPr mapId="9" xpath="/character/PowerComponents/PowerComponent17/ChosenFlats17" xmlDataType="string"/>
    </xmlCellPr>
  </singleXmlCell>
  <singleXmlCell id="8865" r="AP293" connectionId="9">
    <xmlCellPr id="1" uniqueName="BaseCost17">
      <xmlPr mapId="9" xpath="/character/PowerComponents/PowerComponent17/BaseCost17" xmlDataType="string"/>
    </xmlCellPr>
  </singleXmlCell>
  <singleXmlCell id="8866" r="AP294" connectionId="9">
    <xmlCellPr id="1" uniqueName="Extras17">
      <xmlPr mapId="9" xpath="/character/PowerComponents/PowerComponent17/Extras17" xmlDataType="string"/>
    </xmlCellPr>
  </singleXmlCell>
  <singleXmlCell id="8867" r="AP295" connectionId="9">
    <xmlCellPr id="1" uniqueName="Flaws17">
      <xmlPr mapId="9" xpath="/character/PowerComponents/PowerComponent17/Flaws17" xmlDataType="string"/>
    </xmlCellPr>
  </singleXmlCell>
  <singleXmlCell id="8868" r="AP296" connectionId="9">
    <xmlCellPr id="1" uniqueName="Rank17">
      <xmlPr mapId="9" xpath="/character/PowerComponents/PowerComponent17/Rank17" xmlDataType="string"/>
    </xmlCellPr>
  </singleXmlCell>
  <singleXmlCell id="8869" r="AP297" connectionId="9">
    <xmlCellPr id="1" uniqueName="FlatModifiers17">
      <xmlPr mapId="9" xpath="/character/PowerComponents/PowerComponent17/FlatModifiers17" xmlDataType="string"/>
    </xmlCellPr>
  </singleXmlCell>
  <singleXmlCell id="8870" r="I310" connectionId="9">
    <xmlCellPr id="1" uniqueName="ComponentName18">
      <xmlPr mapId="9" xpath="/character/PowerComponents/PowerComponent18/ComponentName18" xmlDataType="string"/>
    </xmlCellPr>
  </singleXmlCell>
  <singleXmlCell id="8871" r="I311" connectionId="9">
    <xmlCellPr id="1" uniqueName="PowerEffect18">
      <xmlPr mapId="9" xpath="/character/PowerComponents/PowerComponent18/PowerEffect18" xmlDataType="string"/>
    </xmlCellPr>
  </singleXmlCell>
  <singleXmlCell id="8872" r="J320" connectionId="9">
    <xmlCellPr id="1" uniqueName="DescriptionModifier18">
      <xmlPr mapId="9" xpath="/character/PowerComponents/PowerComponent18/DescriptionModifier18" xmlDataType="string"/>
    </xmlCellPr>
  </singleXmlCell>
  <singleXmlCell id="8873" r="J321" connectionId="9">
    <xmlCellPr id="1" uniqueName="ChosenExtras18">
      <xmlPr mapId="9" xpath="/character/PowerComponents/PowerComponent18/ChosenExtras18" xmlDataType="string"/>
    </xmlCellPr>
  </singleXmlCell>
  <singleXmlCell id="8874" r="J322" connectionId="9">
    <xmlCellPr id="1" uniqueName="ChosenFlaws18">
      <xmlPr mapId="9" xpath="/character/PowerComponents/PowerComponent18/ChosenFlaws18" xmlDataType="string"/>
    </xmlCellPr>
  </singleXmlCell>
  <singleXmlCell id="8875" r="J323" connectionId="9">
    <xmlCellPr id="1" uniqueName="ChosenFlats18">
      <xmlPr mapId="9" xpath="/character/PowerComponents/PowerComponent18/ChosenFlats18" xmlDataType="string"/>
    </xmlCellPr>
  </singleXmlCell>
  <singleXmlCell id="8876" r="AP310" connectionId="9">
    <xmlCellPr id="1" uniqueName="BaseCost18">
      <xmlPr mapId="9" xpath="/character/PowerComponents/PowerComponent18/BaseCost18" xmlDataType="string"/>
    </xmlCellPr>
  </singleXmlCell>
  <singleXmlCell id="8877" r="AP311" connectionId="9">
    <xmlCellPr id="1" uniqueName="Extras18">
      <xmlPr mapId="9" xpath="/character/PowerComponents/PowerComponent18/Extras18" xmlDataType="string"/>
    </xmlCellPr>
  </singleXmlCell>
  <singleXmlCell id="8878" r="AP312" connectionId="9">
    <xmlCellPr id="1" uniqueName="Flaws18">
      <xmlPr mapId="9" xpath="/character/PowerComponents/PowerComponent18/Flaws18" xmlDataType="string"/>
    </xmlCellPr>
  </singleXmlCell>
  <singleXmlCell id="8879" r="AP313" connectionId="9">
    <xmlCellPr id="1" uniqueName="Rank18">
      <xmlPr mapId="9" xpath="/character/PowerComponents/PowerComponent18/Rank18" xmlDataType="string"/>
    </xmlCellPr>
  </singleXmlCell>
  <singleXmlCell id="8880" r="AP314" connectionId="9">
    <xmlCellPr id="1" uniqueName="FlatModifiers18">
      <xmlPr mapId="9" xpath="/character/PowerComponents/PowerComponent18/FlatModifiers18" xmlDataType="string"/>
    </xmlCellPr>
  </singleXmlCell>
  <singleXmlCell id="8881" r="I327" connectionId="9">
    <xmlCellPr id="1" uniqueName="ComponentName19">
      <xmlPr mapId="9" xpath="/character/PowerComponents/PowerComponent19/ComponentName19" xmlDataType="string"/>
    </xmlCellPr>
  </singleXmlCell>
  <singleXmlCell id="8882" r="I328" connectionId="9">
    <xmlCellPr id="1" uniqueName="PowerEffect19">
      <xmlPr mapId="9" xpath="/character/PowerComponents/PowerComponent19/PowerEffect19" xmlDataType="string"/>
    </xmlCellPr>
  </singleXmlCell>
  <singleXmlCell id="8883" r="J337" connectionId="9">
    <xmlCellPr id="1" uniqueName="DescriptionModifier19">
      <xmlPr mapId="9" xpath="/character/PowerComponents/PowerComponent19/DescriptionModifier19" xmlDataType="string"/>
    </xmlCellPr>
  </singleXmlCell>
  <singleXmlCell id="8884" r="J338" connectionId="9">
    <xmlCellPr id="1" uniqueName="ChosenExtras19">
      <xmlPr mapId="9" xpath="/character/PowerComponents/PowerComponent19/ChosenExtras19" xmlDataType="string"/>
    </xmlCellPr>
  </singleXmlCell>
  <singleXmlCell id="8885" r="J339" connectionId="9">
    <xmlCellPr id="1" uniqueName="ChosenFlaws19">
      <xmlPr mapId="9" xpath="/character/PowerComponents/PowerComponent19/ChosenFlaws19" xmlDataType="string"/>
    </xmlCellPr>
  </singleXmlCell>
  <singleXmlCell id="8886" r="J340" connectionId="9">
    <xmlCellPr id="1" uniqueName="ChosenFlats19">
      <xmlPr mapId="9" xpath="/character/PowerComponents/PowerComponent19/ChosenFlats19" xmlDataType="string"/>
    </xmlCellPr>
  </singleXmlCell>
  <singleXmlCell id="8887" r="AP327" connectionId="9">
    <xmlCellPr id="1" uniqueName="BaseCost19">
      <xmlPr mapId="9" xpath="/character/PowerComponents/PowerComponent19/BaseCost19" xmlDataType="string"/>
    </xmlCellPr>
  </singleXmlCell>
  <singleXmlCell id="8888" r="AP328" connectionId="9">
    <xmlCellPr id="1" uniqueName="Extras19">
      <xmlPr mapId="9" xpath="/character/PowerComponents/PowerComponent19/Extras19" xmlDataType="string"/>
    </xmlCellPr>
  </singleXmlCell>
  <singleXmlCell id="8889" r="AP329" connectionId="9">
    <xmlCellPr id="1" uniqueName="Flaws19">
      <xmlPr mapId="9" xpath="/character/PowerComponents/PowerComponent19/Flaws19" xmlDataType="string"/>
    </xmlCellPr>
  </singleXmlCell>
  <singleXmlCell id="8890" r="AP330" connectionId="9">
    <xmlCellPr id="1" uniqueName="Rank19">
      <xmlPr mapId="9" xpath="/character/PowerComponents/PowerComponent19/Rank19" xmlDataType="string"/>
    </xmlCellPr>
  </singleXmlCell>
  <singleXmlCell id="8891" r="AP331" connectionId="9">
    <xmlCellPr id="1" uniqueName="FlatModifiers19">
      <xmlPr mapId="9" xpath="/character/PowerComponents/PowerComponent19/FlatModifiers19" xmlDataType="string"/>
    </xmlCellPr>
  </singleXmlCell>
  <singleXmlCell id="8892" r="I344" connectionId="9">
    <xmlCellPr id="1" uniqueName="ComponentName20">
      <xmlPr mapId="9" xpath="/character/PowerComponents/PowerComponent20/ComponentName20" xmlDataType="string"/>
    </xmlCellPr>
  </singleXmlCell>
  <singleXmlCell id="8893" r="I345" connectionId="9">
    <xmlCellPr id="1" uniqueName="PowerEffect20">
      <xmlPr mapId="9" xpath="/character/PowerComponents/PowerComponent20/PowerEffect20" xmlDataType="string"/>
    </xmlCellPr>
  </singleXmlCell>
  <singleXmlCell id="8894" r="J354" connectionId="9">
    <xmlCellPr id="1" uniqueName="DescriptionModifier20">
      <xmlPr mapId="9" xpath="/character/PowerComponents/PowerComponent20/DescriptionModifier20" xmlDataType="string"/>
    </xmlCellPr>
  </singleXmlCell>
  <singleXmlCell id="8895" r="J355" connectionId="9">
    <xmlCellPr id="1" uniqueName="ChosenExtras20">
      <xmlPr mapId="9" xpath="/character/PowerComponents/PowerComponent20/ChosenExtras20" xmlDataType="string"/>
    </xmlCellPr>
  </singleXmlCell>
  <singleXmlCell id="8896" r="J356" connectionId="9">
    <xmlCellPr id="1" uniqueName="ChosenFlaws20">
      <xmlPr mapId="9" xpath="/character/PowerComponents/PowerComponent20/ChosenFlaws20" xmlDataType="string"/>
    </xmlCellPr>
  </singleXmlCell>
  <singleXmlCell id="8897" r="J357" connectionId="9">
    <xmlCellPr id="1" uniqueName="ChosenFlats20">
      <xmlPr mapId="9" xpath="/character/PowerComponents/PowerComponent20/ChosenFlats20" xmlDataType="string"/>
    </xmlCellPr>
  </singleXmlCell>
  <singleXmlCell id="8898" r="AP344" connectionId="9">
    <xmlCellPr id="1" uniqueName="BaseCost20">
      <xmlPr mapId="9" xpath="/character/PowerComponents/PowerComponent20/BaseCost20" xmlDataType="string"/>
    </xmlCellPr>
  </singleXmlCell>
  <singleXmlCell id="8899" r="AP345" connectionId="9">
    <xmlCellPr id="1" uniqueName="Extras20">
      <xmlPr mapId="9" xpath="/character/PowerComponents/PowerComponent20/Extras20" xmlDataType="string"/>
    </xmlCellPr>
  </singleXmlCell>
  <singleXmlCell id="8900" r="AP346" connectionId="9">
    <xmlCellPr id="1" uniqueName="Flaws20">
      <xmlPr mapId="9" xpath="/character/PowerComponents/PowerComponent20/Flaws20" xmlDataType="string"/>
    </xmlCellPr>
  </singleXmlCell>
  <singleXmlCell id="8901" r="AP347" connectionId="9">
    <xmlCellPr id="1" uniqueName="Rank20">
      <xmlPr mapId="9" xpath="/character/PowerComponents/PowerComponent20/Rank20" xmlDataType="string"/>
    </xmlCellPr>
  </singleXmlCell>
  <singleXmlCell id="8902" r="AP348" connectionId="9">
    <xmlCellPr id="1" uniqueName="FlatModifiers20">
      <xmlPr mapId="9" xpath="/character/PowerComponents/PowerComponent20/FlatModifiers20" xmlDataType="string"/>
    </xmlCellPr>
  </singleXmlCell>
</singleXmlCells>
</file>

<file path=xl/tables/tableSingleCells6.xml><?xml version="1.0" encoding="utf-8"?>
<singleXmlCells xmlns="http://schemas.openxmlformats.org/spreadsheetml/2006/main">
  <singleXmlCell id="8903" r="H24" connectionId="9">
    <xmlCellPr id="1" uniqueName="Powername1_1">
      <xmlPr mapId="9" xpath="/character/Powers/Power1/Powername1_1" xmlDataType="string"/>
    </xmlCellPr>
  </singleXmlCell>
  <singleXmlCell id="8904" r="H25" connectionId="9">
    <xmlCellPr id="1" uniqueName="Component1_1">
      <xmlPr mapId="9" xpath="/character/Powers/Power1/Component1_1" xmlDataType="string"/>
    </xmlCellPr>
  </singleXmlCell>
  <singleXmlCell id="8905" r="H26" connectionId="9">
    <xmlCellPr id="1" uniqueName="Component1_2">
      <xmlPr mapId="9" xpath="/character/Powers/Power1/Component1_2" xmlDataType="string"/>
    </xmlCellPr>
  </singleXmlCell>
  <singleXmlCell id="8906" r="H27" connectionId="9">
    <xmlCellPr id="1" uniqueName="Component1_3">
      <xmlPr mapId="9" xpath="/character/Powers/Power1/Component1_3" xmlDataType="string"/>
    </xmlCellPr>
  </singleXmlCell>
  <singleXmlCell id="8907" r="H28" connectionId="9">
    <xmlCellPr id="1" uniqueName="Component1_4">
      <xmlPr mapId="9" xpath="/character/Powers/Power1/Component1_4" xmlDataType="string"/>
    </xmlCellPr>
  </singleXmlCell>
  <singleXmlCell id="8908" r="H29" connectionId="9">
    <xmlCellPr id="1" uniqueName="Component1_5">
      <xmlPr mapId="9" xpath="/character/Powers/Power1/Component1_5" xmlDataType="string"/>
    </xmlCellPr>
  </singleXmlCell>
  <singleXmlCell id="8909" r="H30" connectionId="9">
    <xmlCellPr id="1" uniqueName="Component1_6">
      <xmlPr mapId="9" xpath="/character/Powers/Power1/Component1_6" xmlDataType="string"/>
    </xmlCellPr>
  </singleXmlCell>
  <singleXmlCell id="8910" r="H31" connectionId="9">
    <xmlCellPr id="1" uniqueName="Component1_7">
      <xmlPr mapId="9" xpath="/character/Powers/Power1/Component1_7" xmlDataType="string"/>
    </xmlCellPr>
  </singleXmlCell>
  <singleXmlCell id="8911" r="H32" connectionId="9">
    <xmlCellPr id="1" uniqueName="Component1_8">
      <xmlPr mapId="9" xpath="/character/Powers/Power1/Component1_8" xmlDataType="string"/>
    </xmlCellPr>
  </singleXmlCell>
  <singleXmlCell id="8912" r="H33" connectionId="9">
    <xmlCellPr id="1" uniqueName="Component1_9">
      <xmlPr mapId="9" xpath="/character/Powers/Power1/Component1_9" xmlDataType="string"/>
    </xmlCellPr>
  </singleXmlCell>
  <singleXmlCell id="8913" r="H34" connectionId="9">
    <xmlCellPr id="1" uniqueName="Component1_10">
      <xmlPr mapId="9" xpath="/character/Powers/Power1/Component1_10" xmlDataType="string"/>
    </xmlCellPr>
  </singleXmlCell>
  <singleXmlCell id="8914" r="S25" connectionId="9">
    <xmlCellPr id="1" uniqueName="ComponentType1_1">
      <xmlPr mapId="9" xpath="/character/Powers/Power1/ComponentType1_1" xmlDataType="string"/>
    </xmlCellPr>
  </singleXmlCell>
  <singleXmlCell id="8915" r="S26" connectionId="9">
    <xmlCellPr id="1" uniqueName="ComponentType1_2">
      <xmlPr mapId="9" xpath="/character/Powers/Power1/ComponentType1_2" xmlDataType="string"/>
    </xmlCellPr>
  </singleXmlCell>
  <singleXmlCell id="8916" r="S27" connectionId="9">
    <xmlCellPr id="1" uniqueName="ComponentType1_3">
      <xmlPr mapId="9" xpath="/character/Powers/Power1/ComponentType1_3" xmlDataType="string"/>
    </xmlCellPr>
  </singleXmlCell>
  <singleXmlCell id="8917" r="S28" connectionId="9">
    <xmlCellPr id="1" uniqueName="ComponentType1_4">
      <xmlPr mapId="9" xpath="/character/Powers/Power1/ComponentType1_4" xmlDataType="string"/>
    </xmlCellPr>
  </singleXmlCell>
  <singleXmlCell id="8918" r="S29" connectionId="9">
    <xmlCellPr id="1" uniqueName="ComponentType1_5">
      <xmlPr mapId="9" xpath="/character/Powers/Power1/ComponentType1_5" xmlDataType="string"/>
    </xmlCellPr>
  </singleXmlCell>
  <singleXmlCell id="8919" r="S30" connectionId="9">
    <xmlCellPr id="1" uniqueName="ComponentType1_6">
      <xmlPr mapId="9" xpath="/character/Powers/Power1/ComponentType1_6" xmlDataType="string"/>
    </xmlCellPr>
  </singleXmlCell>
  <singleXmlCell id="8920" r="S31" connectionId="9">
    <xmlCellPr id="1" uniqueName="ComponentType1_7">
      <xmlPr mapId="9" xpath="/character/Powers/Power1/ComponentType1_7" xmlDataType="string"/>
    </xmlCellPr>
  </singleXmlCell>
  <singleXmlCell id="8921" r="S32" connectionId="9">
    <xmlCellPr id="1" uniqueName="ComponentType1_8">
      <xmlPr mapId="9" xpath="/character/Powers/Power1/ComponentType1_8" xmlDataType="string"/>
    </xmlCellPr>
  </singleXmlCell>
  <singleXmlCell id="8922" r="S33" connectionId="9">
    <xmlCellPr id="1" uniqueName="ComponentType1_9">
      <xmlPr mapId="9" xpath="/character/Powers/Power1/ComponentType1_9" xmlDataType="string"/>
    </xmlCellPr>
  </singleXmlCell>
  <singleXmlCell id="8923" r="S34" connectionId="9">
    <xmlCellPr id="1" uniqueName="ComponentType1_10">
      <xmlPr mapId="9" xpath="/character/Powers/Power1/ComponentType1_10" xmlDataType="string"/>
    </xmlCellPr>
  </singleXmlCell>
  <singleXmlCell id="8924" r="H36" connectionId="9">
    <xmlCellPr id="1" uniqueName="PowerDescription1">
      <xmlPr mapId="9" xpath="/character/Powers/Power1/PowerDescription1" xmlDataType="string"/>
    </xmlCellPr>
  </singleXmlCell>
  <singleXmlCell id="8925" r="H41" connectionId="9">
    <xmlCellPr id="1" uniqueName="Powername2_1">
      <xmlPr mapId="9" xpath="/character/Powers/Power2/Powername2_1" xmlDataType="string"/>
    </xmlCellPr>
  </singleXmlCell>
  <singleXmlCell id="8926" r="H42" connectionId="9">
    <xmlCellPr id="1" uniqueName="Component2_1">
      <xmlPr mapId="9" xpath="/character/Powers/Power2/Component2_1" xmlDataType="string"/>
    </xmlCellPr>
  </singleXmlCell>
  <singleXmlCell id="8927" r="H43" connectionId="9">
    <xmlCellPr id="1" uniqueName="Component2_2">
      <xmlPr mapId="9" xpath="/character/Powers/Power2/Component2_2" xmlDataType="string"/>
    </xmlCellPr>
  </singleXmlCell>
  <singleXmlCell id="8928" r="H44" connectionId="9">
    <xmlCellPr id="1" uniqueName="Component2_3">
      <xmlPr mapId="9" xpath="/character/Powers/Power2/Component2_3" xmlDataType="string"/>
    </xmlCellPr>
  </singleXmlCell>
  <singleXmlCell id="8929" r="H45" connectionId="9">
    <xmlCellPr id="1" uniqueName="Component2_4">
      <xmlPr mapId="9" xpath="/character/Powers/Power2/Component2_4" xmlDataType="string"/>
    </xmlCellPr>
  </singleXmlCell>
  <singleXmlCell id="8930" r="H46" connectionId="9">
    <xmlCellPr id="1" uniqueName="Component2_5">
      <xmlPr mapId="9" xpath="/character/Powers/Power2/Component2_5" xmlDataType="string"/>
    </xmlCellPr>
  </singleXmlCell>
  <singleXmlCell id="8931" r="H47" connectionId="9">
    <xmlCellPr id="1" uniqueName="Component2_6">
      <xmlPr mapId="9" xpath="/character/Powers/Power2/Component2_6" xmlDataType="string"/>
    </xmlCellPr>
  </singleXmlCell>
  <singleXmlCell id="8932" r="H48" connectionId="9">
    <xmlCellPr id="1" uniqueName="Component2_7">
      <xmlPr mapId="9" xpath="/character/Powers/Power2/Component2_7" xmlDataType="string"/>
    </xmlCellPr>
  </singleXmlCell>
  <singleXmlCell id="8933" r="H49" connectionId="9">
    <xmlCellPr id="1" uniqueName="Component2_8">
      <xmlPr mapId="9" xpath="/character/Powers/Power2/Component2_8" xmlDataType="string"/>
    </xmlCellPr>
  </singleXmlCell>
  <singleXmlCell id="8934" r="H50" connectionId="9">
    <xmlCellPr id="1" uniqueName="Component2_9">
      <xmlPr mapId="9" xpath="/character/Powers/Power2/Component2_9" xmlDataType="string"/>
    </xmlCellPr>
  </singleXmlCell>
  <singleXmlCell id="8935" r="H51" connectionId="9">
    <xmlCellPr id="1" uniqueName="Component2_10">
      <xmlPr mapId="9" xpath="/character/Powers/Power2/Component2_10" xmlDataType="string"/>
    </xmlCellPr>
  </singleXmlCell>
  <singleXmlCell id="8936" r="S42" connectionId="9">
    <xmlCellPr id="1" uniqueName="ComponentType2_1">
      <xmlPr mapId="9" xpath="/character/Powers/Power2/ComponentType2_1" xmlDataType="string"/>
    </xmlCellPr>
  </singleXmlCell>
  <singleXmlCell id="8937" r="S43" connectionId="9">
    <xmlCellPr id="1" uniqueName="ComponentType2_2">
      <xmlPr mapId="9" xpath="/character/Powers/Power2/ComponentType2_2" xmlDataType="string"/>
    </xmlCellPr>
  </singleXmlCell>
  <singleXmlCell id="8938" r="S44" connectionId="9">
    <xmlCellPr id="1" uniqueName="ComponentType2_3">
      <xmlPr mapId="9" xpath="/character/Powers/Power2/ComponentType2_3" xmlDataType="string"/>
    </xmlCellPr>
  </singleXmlCell>
  <singleXmlCell id="8939" r="S45" connectionId="9">
    <xmlCellPr id="1" uniqueName="ComponentType2_4">
      <xmlPr mapId="9" xpath="/character/Powers/Power2/ComponentType2_4" xmlDataType="string"/>
    </xmlCellPr>
  </singleXmlCell>
  <singleXmlCell id="8940" r="S46" connectionId="9">
    <xmlCellPr id="1" uniqueName="ComponentType2_5">
      <xmlPr mapId="9" xpath="/character/Powers/Power2/ComponentType2_5" xmlDataType="string"/>
    </xmlCellPr>
  </singleXmlCell>
  <singleXmlCell id="8941" r="S47" connectionId="9">
    <xmlCellPr id="1" uniqueName="ComponentType2_6">
      <xmlPr mapId="9" xpath="/character/Powers/Power2/ComponentType2_6" xmlDataType="string"/>
    </xmlCellPr>
  </singleXmlCell>
  <singleXmlCell id="8942" r="S48" connectionId="9">
    <xmlCellPr id="1" uniqueName="ComponentType2_7">
      <xmlPr mapId="9" xpath="/character/Powers/Power2/ComponentType2_7" xmlDataType="string"/>
    </xmlCellPr>
  </singleXmlCell>
  <singleXmlCell id="8943" r="S49" connectionId="9">
    <xmlCellPr id="1" uniqueName="ComponentType2_8">
      <xmlPr mapId="9" xpath="/character/Powers/Power2/ComponentType2_8" xmlDataType="string"/>
    </xmlCellPr>
  </singleXmlCell>
  <singleXmlCell id="8944" r="S50" connectionId="9">
    <xmlCellPr id="1" uniqueName="ComponentType2_9">
      <xmlPr mapId="9" xpath="/character/Powers/Power2/ComponentType2_9" xmlDataType="string"/>
    </xmlCellPr>
  </singleXmlCell>
  <singleXmlCell id="8945" r="S51" connectionId="9">
    <xmlCellPr id="1" uniqueName="ComponentType2_10">
      <xmlPr mapId="9" xpath="/character/Powers/Power2/ComponentType2_10" xmlDataType="string"/>
    </xmlCellPr>
  </singleXmlCell>
  <singleXmlCell id="8946" r="H53" connectionId="9">
    <xmlCellPr id="1" uniqueName="PowerDescription2">
      <xmlPr mapId="9" xpath="/character/Powers/Power2/PowerDescription2" xmlDataType="string"/>
    </xmlCellPr>
  </singleXmlCell>
  <singleXmlCell id="8947" r="H58" connectionId="9">
    <xmlCellPr id="1" uniqueName="Powername3_1">
      <xmlPr mapId="9" xpath="/character/Powers/Power3/Powername3_1" xmlDataType="string"/>
    </xmlCellPr>
  </singleXmlCell>
  <singleXmlCell id="8948" r="H59" connectionId="9">
    <xmlCellPr id="1" uniqueName="Component3_1">
      <xmlPr mapId="9" xpath="/character/Powers/Power3/Component3_1" xmlDataType="string"/>
    </xmlCellPr>
  </singleXmlCell>
  <singleXmlCell id="8949" r="H60" connectionId="9">
    <xmlCellPr id="1" uniqueName="Component3_2">
      <xmlPr mapId="9" xpath="/character/Powers/Power3/Component3_2" xmlDataType="string"/>
    </xmlCellPr>
  </singleXmlCell>
  <singleXmlCell id="8950" r="H61" connectionId="9">
    <xmlCellPr id="1" uniqueName="Component3_3">
      <xmlPr mapId="9" xpath="/character/Powers/Power3/Component3_3" xmlDataType="string"/>
    </xmlCellPr>
  </singleXmlCell>
  <singleXmlCell id="8951" r="H62" connectionId="9">
    <xmlCellPr id="1" uniqueName="Component3_4">
      <xmlPr mapId="9" xpath="/character/Powers/Power3/Component3_4" xmlDataType="string"/>
    </xmlCellPr>
  </singleXmlCell>
  <singleXmlCell id="8952" r="H63" connectionId="9">
    <xmlCellPr id="1" uniqueName="Component3_5">
      <xmlPr mapId="9" xpath="/character/Powers/Power3/Component3_5" xmlDataType="string"/>
    </xmlCellPr>
  </singleXmlCell>
  <singleXmlCell id="8953" r="H64" connectionId="9">
    <xmlCellPr id="1" uniqueName="Component3_6">
      <xmlPr mapId="9" xpath="/character/Powers/Power3/Component3_6" xmlDataType="string"/>
    </xmlCellPr>
  </singleXmlCell>
  <singleXmlCell id="8954" r="H65" connectionId="9">
    <xmlCellPr id="1" uniqueName="Component3_7">
      <xmlPr mapId="9" xpath="/character/Powers/Power3/Component3_7" xmlDataType="string"/>
    </xmlCellPr>
  </singleXmlCell>
  <singleXmlCell id="8955" r="H66" connectionId="9">
    <xmlCellPr id="1" uniqueName="Component3_8">
      <xmlPr mapId="9" xpath="/character/Powers/Power3/Component3_8" xmlDataType="string"/>
    </xmlCellPr>
  </singleXmlCell>
  <singleXmlCell id="8956" r="H67" connectionId="9">
    <xmlCellPr id="1" uniqueName="Component3_9">
      <xmlPr mapId="9" xpath="/character/Powers/Power3/Component3_9" xmlDataType="string"/>
    </xmlCellPr>
  </singleXmlCell>
  <singleXmlCell id="8957" r="H68" connectionId="9">
    <xmlCellPr id="1" uniqueName="Component3_10">
      <xmlPr mapId="9" xpath="/character/Powers/Power3/Component3_10" xmlDataType="string"/>
    </xmlCellPr>
  </singleXmlCell>
  <singleXmlCell id="8958" r="S59" connectionId="9">
    <xmlCellPr id="1" uniqueName="ComponentType3_1">
      <xmlPr mapId="9" xpath="/character/Powers/Power3/ComponentType3_1" xmlDataType="string"/>
    </xmlCellPr>
  </singleXmlCell>
  <singleXmlCell id="8959" r="S60" connectionId="9">
    <xmlCellPr id="1" uniqueName="ComponentType3_2">
      <xmlPr mapId="9" xpath="/character/Powers/Power3/ComponentType3_2" xmlDataType="string"/>
    </xmlCellPr>
  </singleXmlCell>
  <singleXmlCell id="8960" r="S61" connectionId="9">
    <xmlCellPr id="1" uniqueName="ComponentType3_3">
      <xmlPr mapId="9" xpath="/character/Powers/Power3/ComponentType3_3" xmlDataType="string"/>
    </xmlCellPr>
  </singleXmlCell>
  <singleXmlCell id="8961" r="S62" connectionId="9">
    <xmlCellPr id="1" uniqueName="ComponentType3_4">
      <xmlPr mapId="9" xpath="/character/Powers/Power3/ComponentType3_4" xmlDataType="string"/>
    </xmlCellPr>
  </singleXmlCell>
  <singleXmlCell id="8962" r="S63" connectionId="9">
    <xmlCellPr id="1" uniqueName="ComponentType3_5">
      <xmlPr mapId="9" xpath="/character/Powers/Power3/ComponentType3_5" xmlDataType="string"/>
    </xmlCellPr>
  </singleXmlCell>
  <singleXmlCell id="8963" r="S64" connectionId="9">
    <xmlCellPr id="1" uniqueName="ComponentType3_6">
      <xmlPr mapId="9" xpath="/character/Powers/Power3/ComponentType3_6" xmlDataType="string"/>
    </xmlCellPr>
  </singleXmlCell>
  <singleXmlCell id="8964" r="S65" connectionId="9">
    <xmlCellPr id="1" uniqueName="ComponentType3_7">
      <xmlPr mapId="9" xpath="/character/Powers/Power3/ComponentType3_7" xmlDataType="string"/>
    </xmlCellPr>
  </singleXmlCell>
  <singleXmlCell id="8965" r="S66" connectionId="9">
    <xmlCellPr id="1" uniqueName="ComponentType3_8">
      <xmlPr mapId="9" xpath="/character/Powers/Power3/ComponentType3_8" xmlDataType="string"/>
    </xmlCellPr>
  </singleXmlCell>
  <singleXmlCell id="8966" r="S67" connectionId="9">
    <xmlCellPr id="1" uniqueName="ComponentType3_9">
      <xmlPr mapId="9" xpath="/character/Powers/Power3/ComponentType3_9" xmlDataType="string"/>
    </xmlCellPr>
  </singleXmlCell>
  <singleXmlCell id="8967" r="S68" connectionId="9">
    <xmlCellPr id="1" uniqueName="ComponentType3_10">
      <xmlPr mapId="9" xpath="/character/Powers/Power3/ComponentType3_10" xmlDataType="string"/>
    </xmlCellPr>
  </singleXmlCell>
  <singleXmlCell id="8968" r="H70" connectionId="9">
    <xmlCellPr id="1" uniqueName="PowerDescription3">
      <xmlPr mapId="9" xpath="/character/Powers/Power3/PowerDescription3" xmlDataType="string"/>
    </xmlCellPr>
  </singleXmlCell>
  <singleXmlCell id="8969" r="H75" connectionId="9">
    <xmlCellPr id="1" uniqueName="Powername4_1">
      <xmlPr mapId="9" xpath="/character/Powers/Power4/Powername4_1" xmlDataType="string"/>
    </xmlCellPr>
  </singleXmlCell>
  <singleXmlCell id="8970" r="H76" connectionId="9">
    <xmlCellPr id="1" uniqueName="Component4_1">
      <xmlPr mapId="9" xpath="/character/Powers/Power4/Component4_1" xmlDataType="string"/>
    </xmlCellPr>
  </singleXmlCell>
  <singleXmlCell id="8971" r="H77" connectionId="9">
    <xmlCellPr id="1" uniqueName="Component4_2">
      <xmlPr mapId="9" xpath="/character/Powers/Power4/Component4_2" xmlDataType="string"/>
    </xmlCellPr>
  </singleXmlCell>
  <singleXmlCell id="8972" r="H78" connectionId="9">
    <xmlCellPr id="1" uniqueName="Component4_3">
      <xmlPr mapId="9" xpath="/character/Powers/Power4/Component4_3" xmlDataType="string"/>
    </xmlCellPr>
  </singleXmlCell>
  <singleXmlCell id="8973" r="H79" connectionId="9">
    <xmlCellPr id="1" uniqueName="Component4_4">
      <xmlPr mapId="9" xpath="/character/Powers/Power4/Component4_4" xmlDataType="string"/>
    </xmlCellPr>
  </singleXmlCell>
  <singleXmlCell id="8974" r="H80" connectionId="9">
    <xmlCellPr id="1" uniqueName="Component4_5">
      <xmlPr mapId="9" xpath="/character/Powers/Power4/Component4_5" xmlDataType="string"/>
    </xmlCellPr>
  </singleXmlCell>
  <singleXmlCell id="8975" r="H81" connectionId="9">
    <xmlCellPr id="1" uniqueName="Component4_6">
      <xmlPr mapId="9" xpath="/character/Powers/Power4/Component4_6" xmlDataType="string"/>
    </xmlCellPr>
  </singleXmlCell>
  <singleXmlCell id="8976" r="H82" connectionId="9">
    <xmlCellPr id="1" uniqueName="Component4_7">
      <xmlPr mapId="9" xpath="/character/Powers/Power4/Component4_7" xmlDataType="string"/>
    </xmlCellPr>
  </singleXmlCell>
  <singleXmlCell id="8977" r="H83" connectionId="9">
    <xmlCellPr id="1" uniqueName="Component4_8">
      <xmlPr mapId="9" xpath="/character/Powers/Power4/Component4_8" xmlDataType="string"/>
    </xmlCellPr>
  </singleXmlCell>
  <singleXmlCell id="8978" r="H84" connectionId="9">
    <xmlCellPr id="1" uniqueName="Component4_9">
      <xmlPr mapId="9" xpath="/character/Powers/Power4/Component4_9" xmlDataType="string"/>
    </xmlCellPr>
  </singleXmlCell>
  <singleXmlCell id="8979" r="H85" connectionId="9">
    <xmlCellPr id="1" uniqueName="Component4_10">
      <xmlPr mapId="9" xpath="/character/Powers/Power4/Component4_10" xmlDataType="string"/>
    </xmlCellPr>
  </singleXmlCell>
  <singleXmlCell id="8980" r="S76" connectionId="9">
    <xmlCellPr id="1" uniqueName="ComponentType4_1">
      <xmlPr mapId="9" xpath="/character/Powers/Power4/ComponentType4_1" xmlDataType="string"/>
    </xmlCellPr>
  </singleXmlCell>
  <singleXmlCell id="8981" r="S77" connectionId="9">
    <xmlCellPr id="1" uniqueName="ComponentType4_2">
      <xmlPr mapId="9" xpath="/character/Powers/Power4/ComponentType4_2" xmlDataType="string"/>
    </xmlCellPr>
  </singleXmlCell>
  <singleXmlCell id="8982" r="S78" connectionId="9">
    <xmlCellPr id="1" uniqueName="ComponentType4_3">
      <xmlPr mapId="9" xpath="/character/Powers/Power4/ComponentType4_3" xmlDataType="string"/>
    </xmlCellPr>
  </singleXmlCell>
  <singleXmlCell id="8983" r="S79" connectionId="9">
    <xmlCellPr id="1" uniqueName="ComponentType4_4">
      <xmlPr mapId="9" xpath="/character/Powers/Power4/ComponentType4_4" xmlDataType="string"/>
    </xmlCellPr>
  </singleXmlCell>
  <singleXmlCell id="8984" r="S80" connectionId="9">
    <xmlCellPr id="1" uniqueName="ComponentType4_5">
      <xmlPr mapId="9" xpath="/character/Powers/Power4/ComponentType4_5" xmlDataType="string"/>
    </xmlCellPr>
  </singleXmlCell>
  <singleXmlCell id="8985" r="S81" connectionId="9">
    <xmlCellPr id="1" uniqueName="ComponentType4_6">
      <xmlPr mapId="9" xpath="/character/Powers/Power4/ComponentType4_6" xmlDataType="string"/>
    </xmlCellPr>
  </singleXmlCell>
  <singleXmlCell id="8986" r="S82" connectionId="9">
    <xmlCellPr id="1" uniqueName="ComponentType4_7">
      <xmlPr mapId="9" xpath="/character/Powers/Power4/ComponentType4_7" xmlDataType="string"/>
    </xmlCellPr>
  </singleXmlCell>
  <singleXmlCell id="8987" r="S83" connectionId="9">
    <xmlCellPr id="1" uniqueName="ComponentType4_8">
      <xmlPr mapId="9" xpath="/character/Powers/Power4/ComponentType4_8" xmlDataType="string"/>
    </xmlCellPr>
  </singleXmlCell>
  <singleXmlCell id="8988" r="S84" connectionId="9">
    <xmlCellPr id="1" uniqueName="ComponentType4_9">
      <xmlPr mapId="9" xpath="/character/Powers/Power4/ComponentType4_9" xmlDataType="string"/>
    </xmlCellPr>
  </singleXmlCell>
  <singleXmlCell id="8989" r="S85" connectionId="9">
    <xmlCellPr id="1" uniqueName="ComponentType4_10">
      <xmlPr mapId="9" xpath="/character/Powers/Power4/ComponentType4_10" xmlDataType="string"/>
    </xmlCellPr>
  </singleXmlCell>
  <singleXmlCell id="8990" r="H87" connectionId="9">
    <xmlCellPr id="1" uniqueName="PowerDescription4">
      <xmlPr mapId="9" xpath="/character/Powers/Power4/PowerDescription4" xmlDataType="string"/>
    </xmlCellPr>
  </singleXmlCell>
  <singleXmlCell id="8991" r="H92" connectionId="9">
    <xmlCellPr id="1" uniqueName="Powername5_1">
      <xmlPr mapId="9" xpath="/character/Powers/Power5/Powername5_1" xmlDataType="string"/>
    </xmlCellPr>
  </singleXmlCell>
  <singleXmlCell id="8992" r="H93" connectionId="9">
    <xmlCellPr id="1" uniqueName="Component5_1">
      <xmlPr mapId="9" xpath="/character/Powers/Power5/Component5_1" xmlDataType="string"/>
    </xmlCellPr>
  </singleXmlCell>
  <singleXmlCell id="8993" r="H94" connectionId="9">
    <xmlCellPr id="1" uniqueName="Component5_2">
      <xmlPr mapId="9" xpath="/character/Powers/Power5/Component5_2" xmlDataType="string"/>
    </xmlCellPr>
  </singleXmlCell>
  <singleXmlCell id="8994" r="H95" connectionId="9">
    <xmlCellPr id="1" uniqueName="Component5_3">
      <xmlPr mapId="9" xpath="/character/Powers/Power5/Component5_3" xmlDataType="string"/>
    </xmlCellPr>
  </singleXmlCell>
  <singleXmlCell id="8995" r="H96" connectionId="9">
    <xmlCellPr id="1" uniqueName="Component5_4">
      <xmlPr mapId="9" xpath="/character/Powers/Power5/Component5_4" xmlDataType="string"/>
    </xmlCellPr>
  </singleXmlCell>
  <singleXmlCell id="8996" r="H97" connectionId="9">
    <xmlCellPr id="1" uniqueName="Component5_5">
      <xmlPr mapId="9" xpath="/character/Powers/Power5/Component5_5" xmlDataType="string"/>
    </xmlCellPr>
  </singleXmlCell>
  <singleXmlCell id="8997" r="H98" connectionId="9">
    <xmlCellPr id="1" uniqueName="Component5_6">
      <xmlPr mapId="9" xpath="/character/Powers/Power5/Component5_6" xmlDataType="string"/>
    </xmlCellPr>
  </singleXmlCell>
  <singleXmlCell id="8998" r="H99" connectionId="9">
    <xmlCellPr id="1" uniqueName="Component5_7">
      <xmlPr mapId="9" xpath="/character/Powers/Power5/Component5_7" xmlDataType="string"/>
    </xmlCellPr>
  </singleXmlCell>
  <singleXmlCell id="8999" r="H100" connectionId="9">
    <xmlCellPr id="1" uniqueName="Component5_8">
      <xmlPr mapId="9" xpath="/character/Powers/Power5/Component5_8" xmlDataType="string"/>
    </xmlCellPr>
  </singleXmlCell>
  <singleXmlCell id="9000" r="H101" connectionId="9">
    <xmlCellPr id="1" uniqueName="Component5_9">
      <xmlPr mapId="9" xpath="/character/Powers/Power5/Component5_9" xmlDataType="string"/>
    </xmlCellPr>
  </singleXmlCell>
  <singleXmlCell id="9001" r="H102" connectionId="9">
    <xmlCellPr id="1" uniqueName="Component5_10">
      <xmlPr mapId="9" xpath="/character/Powers/Power5/Component5_10" xmlDataType="string"/>
    </xmlCellPr>
  </singleXmlCell>
  <singleXmlCell id="9002" r="S93" connectionId="9">
    <xmlCellPr id="1" uniqueName="ComponentType5_1">
      <xmlPr mapId="9" xpath="/character/Powers/Power5/ComponentType5_1" xmlDataType="string"/>
    </xmlCellPr>
  </singleXmlCell>
  <singleXmlCell id="9003" r="S94" connectionId="9">
    <xmlCellPr id="1" uniqueName="ComponentType5_2">
      <xmlPr mapId="9" xpath="/character/Powers/Power5/ComponentType5_2" xmlDataType="string"/>
    </xmlCellPr>
  </singleXmlCell>
  <singleXmlCell id="9004" r="S95" connectionId="9">
    <xmlCellPr id="1" uniqueName="ComponentType5_3">
      <xmlPr mapId="9" xpath="/character/Powers/Power5/ComponentType5_3" xmlDataType="string"/>
    </xmlCellPr>
  </singleXmlCell>
  <singleXmlCell id="9005" r="S96" connectionId="9">
    <xmlCellPr id="1" uniqueName="ComponentType5_4">
      <xmlPr mapId="9" xpath="/character/Powers/Power5/ComponentType5_4" xmlDataType="string"/>
    </xmlCellPr>
  </singleXmlCell>
  <singleXmlCell id="9006" r="S97" connectionId="9">
    <xmlCellPr id="1" uniqueName="ComponentType5_5">
      <xmlPr mapId="9" xpath="/character/Powers/Power5/ComponentType5_5" xmlDataType="string"/>
    </xmlCellPr>
  </singleXmlCell>
  <singleXmlCell id="9007" r="S98" connectionId="9">
    <xmlCellPr id="1" uniqueName="ComponentType5_6">
      <xmlPr mapId="9" xpath="/character/Powers/Power5/ComponentType5_6" xmlDataType="string"/>
    </xmlCellPr>
  </singleXmlCell>
  <singleXmlCell id="9008" r="S99" connectionId="9">
    <xmlCellPr id="1" uniqueName="ComponentType5_7">
      <xmlPr mapId="9" xpath="/character/Powers/Power5/ComponentType5_7" xmlDataType="string"/>
    </xmlCellPr>
  </singleXmlCell>
  <singleXmlCell id="9009" r="S101" connectionId="9">
    <xmlCellPr id="1" uniqueName="ComponentType5_9">
      <xmlPr mapId="9" xpath="/character/Powers/Power5/ComponentType5_9" xmlDataType="string"/>
    </xmlCellPr>
  </singleXmlCell>
  <singleXmlCell id="9010" r="S100" connectionId="9">
    <xmlCellPr id="1" uniqueName="ComponentType5_8">
      <xmlPr mapId="9" xpath="/character/Powers/Power5/ComponentType5_8" xmlDataType="string"/>
    </xmlCellPr>
  </singleXmlCell>
  <singleXmlCell id="9011" r="S102" connectionId="9">
    <xmlCellPr id="1" uniqueName="ComponentType5_10">
      <xmlPr mapId="9" xpath="/character/Powers/Power5/ComponentType5_10" xmlDataType="string"/>
    </xmlCellPr>
  </singleXmlCell>
  <singleXmlCell id="9012" r="H104" connectionId="9">
    <xmlCellPr id="1" uniqueName="PowerDescription5">
      <xmlPr mapId="9" xpath="/character/Powers/Power5/PowerDescription5" xmlDataType="string"/>
    </xmlCellPr>
  </singleXmlCell>
  <singleXmlCell id="9013" r="H109" connectionId="9">
    <xmlCellPr id="1" uniqueName="Powername6_1">
      <xmlPr mapId="9" xpath="/character/Powers/Power6/Powername6_1" xmlDataType="string"/>
    </xmlCellPr>
  </singleXmlCell>
  <singleXmlCell id="9014" r="H110" connectionId="9">
    <xmlCellPr id="1" uniqueName="Component6_1">
      <xmlPr mapId="9" xpath="/character/Powers/Power6/Component6_1" xmlDataType="string"/>
    </xmlCellPr>
  </singleXmlCell>
  <singleXmlCell id="9015" r="H111" connectionId="9">
    <xmlCellPr id="1" uniqueName="Component6_2">
      <xmlPr mapId="9" xpath="/character/Powers/Power6/Component6_2" xmlDataType="string"/>
    </xmlCellPr>
  </singleXmlCell>
  <singleXmlCell id="9016" r="H112" connectionId="9">
    <xmlCellPr id="1" uniqueName="Component6_3">
      <xmlPr mapId="9" xpath="/character/Powers/Power6/Component6_3" xmlDataType="string"/>
    </xmlCellPr>
  </singleXmlCell>
  <singleXmlCell id="9017" r="H113" connectionId="9">
    <xmlCellPr id="1" uniqueName="Component6_4">
      <xmlPr mapId="9" xpath="/character/Powers/Power6/Component6_4" xmlDataType="string"/>
    </xmlCellPr>
  </singleXmlCell>
  <singleXmlCell id="9018" r="H114" connectionId="9">
    <xmlCellPr id="1" uniqueName="Component6_5">
      <xmlPr mapId="9" xpath="/character/Powers/Power6/Component6_5" xmlDataType="string"/>
    </xmlCellPr>
  </singleXmlCell>
  <singleXmlCell id="9019" r="H115" connectionId="9">
    <xmlCellPr id="1" uniqueName="Component6_6">
      <xmlPr mapId="9" xpath="/character/Powers/Power6/Component6_6" xmlDataType="string"/>
    </xmlCellPr>
  </singleXmlCell>
  <singleXmlCell id="9020" r="H116" connectionId="9">
    <xmlCellPr id="1" uniqueName="Component6_7">
      <xmlPr mapId="9" xpath="/character/Powers/Power6/Component6_7" xmlDataType="string"/>
    </xmlCellPr>
  </singleXmlCell>
  <singleXmlCell id="9021" r="H117" connectionId="9">
    <xmlCellPr id="1" uniqueName="Component6_8">
      <xmlPr mapId="9" xpath="/character/Powers/Power6/Component6_8" xmlDataType="string"/>
    </xmlCellPr>
  </singleXmlCell>
  <singleXmlCell id="9022" r="H118" connectionId="9">
    <xmlCellPr id="1" uniqueName="Component6_9">
      <xmlPr mapId="9" xpath="/character/Powers/Power6/Component6_9" xmlDataType="string"/>
    </xmlCellPr>
  </singleXmlCell>
  <singleXmlCell id="9023" r="H119" connectionId="9">
    <xmlCellPr id="1" uniqueName="Component6_10">
      <xmlPr mapId="9" xpath="/character/Powers/Power6/Component6_10" xmlDataType="string"/>
    </xmlCellPr>
  </singleXmlCell>
  <singleXmlCell id="9024" r="S110" connectionId="9">
    <xmlCellPr id="1" uniqueName="ComponentType6_1">
      <xmlPr mapId="9" xpath="/character/Powers/Power6/ComponentType6_1" xmlDataType="string"/>
    </xmlCellPr>
  </singleXmlCell>
  <singleXmlCell id="9025" r="S111" connectionId="9">
    <xmlCellPr id="1" uniqueName="ComponentType6_2">
      <xmlPr mapId="9" xpath="/character/Powers/Power6/ComponentType6_2" xmlDataType="string"/>
    </xmlCellPr>
  </singleXmlCell>
  <singleXmlCell id="9026" r="S112" connectionId="9">
    <xmlCellPr id="1" uniqueName="ComponentType6_3">
      <xmlPr mapId="9" xpath="/character/Powers/Power6/ComponentType6_3" xmlDataType="string"/>
    </xmlCellPr>
  </singleXmlCell>
  <singleXmlCell id="9027" r="S113" connectionId="9">
    <xmlCellPr id="1" uniqueName="ComponentType6_4">
      <xmlPr mapId="9" xpath="/character/Powers/Power6/ComponentType6_4" xmlDataType="string"/>
    </xmlCellPr>
  </singleXmlCell>
  <singleXmlCell id="9028" r="S114" connectionId="9">
    <xmlCellPr id="1" uniqueName="ComponentType6_5">
      <xmlPr mapId="9" xpath="/character/Powers/Power6/ComponentType6_5" xmlDataType="string"/>
    </xmlCellPr>
  </singleXmlCell>
  <singleXmlCell id="9029" r="S115" connectionId="9">
    <xmlCellPr id="1" uniqueName="ComponentType6_6">
      <xmlPr mapId="9" xpath="/character/Powers/Power6/ComponentType6_6" xmlDataType="string"/>
    </xmlCellPr>
  </singleXmlCell>
  <singleXmlCell id="9030" r="S116" connectionId="9">
    <xmlCellPr id="1" uniqueName="ComponentType6_7">
      <xmlPr mapId="9" xpath="/character/Powers/Power6/ComponentType6_7" xmlDataType="string"/>
    </xmlCellPr>
  </singleXmlCell>
  <singleXmlCell id="9031" r="S117" connectionId="9">
    <xmlCellPr id="1" uniqueName="ComponentType6_8">
      <xmlPr mapId="9" xpath="/character/Powers/Power6/ComponentType6_8" xmlDataType="string"/>
    </xmlCellPr>
  </singleXmlCell>
  <singleXmlCell id="9032" r="S118" connectionId="9">
    <xmlCellPr id="1" uniqueName="ComponentType6_9">
      <xmlPr mapId="9" xpath="/character/Powers/Power6/ComponentType6_9" xmlDataType="string"/>
    </xmlCellPr>
  </singleXmlCell>
  <singleXmlCell id="9033" r="S119" connectionId="9">
    <xmlCellPr id="1" uniqueName="ComponentType6_10">
      <xmlPr mapId="9" xpath="/character/Powers/Power6/ComponentType6_10" xmlDataType="string"/>
    </xmlCellPr>
  </singleXmlCell>
  <singleXmlCell id="9034" r="H121" connectionId="9">
    <xmlCellPr id="1" uniqueName="PowerDescription6">
      <xmlPr mapId="9" xpath="/character/Powers/Power6/PowerDescription6" xmlDataType="string"/>
    </xmlCellPr>
  </singleXmlCell>
  <singleXmlCell id="9035" r="H126" connectionId="9">
    <xmlCellPr id="1" uniqueName="Powername7_1">
      <xmlPr mapId="9" xpath="/character/Powers/Power7/Powername7_1" xmlDataType="string"/>
    </xmlCellPr>
  </singleXmlCell>
  <singleXmlCell id="9036" r="H127" connectionId="9">
    <xmlCellPr id="1" uniqueName="Component7_1">
      <xmlPr mapId="9" xpath="/character/Powers/Power7/Component7_1" xmlDataType="string"/>
    </xmlCellPr>
  </singleXmlCell>
  <singleXmlCell id="9037" r="H128" connectionId="9">
    <xmlCellPr id="1" uniqueName="Component7_2">
      <xmlPr mapId="9" xpath="/character/Powers/Power7/Component7_2" xmlDataType="string"/>
    </xmlCellPr>
  </singleXmlCell>
  <singleXmlCell id="9038" r="H129" connectionId="9">
    <xmlCellPr id="1" uniqueName="Component7_3">
      <xmlPr mapId="9" xpath="/character/Powers/Power7/Component7_3" xmlDataType="string"/>
    </xmlCellPr>
  </singleXmlCell>
  <singleXmlCell id="9039" r="H130" connectionId="9">
    <xmlCellPr id="1" uniqueName="Component7_4">
      <xmlPr mapId="9" xpath="/character/Powers/Power7/Component7_4" xmlDataType="string"/>
    </xmlCellPr>
  </singleXmlCell>
  <singleXmlCell id="9040" r="H131" connectionId="9">
    <xmlCellPr id="1" uniqueName="Component7_5">
      <xmlPr mapId="9" xpath="/character/Powers/Power7/Component7_5" xmlDataType="string"/>
    </xmlCellPr>
  </singleXmlCell>
  <singleXmlCell id="9041" r="H132" connectionId="9">
    <xmlCellPr id="1" uniqueName="Component7_6">
      <xmlPr mapId="9" xpath="/character/Powers/Power7/Component7_6" xmlDataType="string"/>
    </xmlCellPr>
  </singleXmlCell>
  <singleXmlCell id="9042" r="H133" connectionId="9">
    <xmlCellPr id="1" uniqueName="Component7_7">
      <xmlPr mapId="9" xpath="/character/Powers/Power7/Component7_7" xmlDataType="string"/>
    </xmlCellPr>
  </singleXmlCell>
  <singleXmlCell id="9043" r="H134" connectionId="9">
    <xmlCellPr id="1" uniqueName="Component7_8">
      <xmlPr mapId="9" xpath="/character/Powers/Power7/Component7_8" xmlDataType="string"/>
    </xmlCellPr>
  </singleXmlCell>
  <singleXmlCell id="9044" r="H135" connectionId="9">
    <xmlCellPr id="1" uniqueName="Component7_9">
      <xmlPr mapId="9" xpath="/character/Powers/Power7/Component7_9" xmlDataType="string"/>
    </xmlCellPr>
  </singleXmlCell>
  <singleXmlCell id="9045" r="H136" connectionId="9">
    <xmlCellPr id="1" uniqueName="Component7_10">
      <xmlPr mapId="9" xpath="/character/Powers/Power7/Component7_10" xmlDataType="string"/>
    </xmlCellPr>
  </singleXmlCell>
  <singleXmlCell id="9046" r="S127" connectionId="9">
    <xmlCellPr id="1" uniqueName="ComponentType7_1">
      <xmlPr mapId="9" xpath="/character/Powers/Power7/ComponentType7_1" xmlDataType="string"/>
    </xmlCellPr>
  </singleXmlCell>
  <singleXmlCell id="9047" r="S128" connectionId="9">
    <xmlCellPr id="1" uniqueName="ComponentType7_2">
      <xmlPr mapId="9" xpath="/character/Powers/Power7/ComponentType7_2" xmlDataType="string"/>
    </xmlCellPr>
  </singleXmlCell>
  <singleXmlCell id="9048" r="S129" connectionId="9">
    <xmlCellPr id="1" uniqueName="ComponentType7_3">
      <xmlPr mapId="9" xpath="/character/Powers/Power7/ComponentType7_3" xmlDataType="string"/>
    </xmlCellPr>
  </singleXmlCell>
  <singleXmlCell id="9049" r="S130" connectionId="9">
    <xmlCellPr id="1" uniqueName="ComponentType7_4">
      <xmlPr mapId="9" xpath="/character/Powers/Power7/ComponentType7_4" xmlDataType="string"/>
    </xmlCellPr>
  </singleXmlCell>
  <singleXmlCell id="9050" r="S131" connectionId="9">
    <xmlCellPr id="1" uniqueName="ComponentType7_5">
      <xmlPr mapId="9" xpath="/character/Powers/Power7/ComponentType7_5" xmlDataType="string"/>
    </xmlCellPr>
  </singleXmlCell>
  <singleXmlCell id="9051" r="S132" connectionId="9">
    <xmlCellPr id="1" uniqueName="ComponentType7_6">
      <xmlPr mapId="9" xpath="/character/Powers/Power7/ComponentType7_6" xmlDataType="string"/>
    </xmlCellPr>
  </singleXmlCell>
  <singleXmlCell id="9052" r="S133" connectionId="9">
    <xmlCellPr id="1" uniqueName="ComponentType7_7">
      <xmlPr mapId="9" xpath="/character/Powers/Power7/ComponentType7_7" xmlDataType="string"/>
    </xmlCellPr>
  </singleXmlCell>
  <singleXmlCell id="9053" r="S134" connectionId="9">
    <xmlCellPr id="1" uniqueName="ComponentType7_8">
      <xmlPr mapId="9" xpath="/character/Powers/Power7/ComponentType7_8" xmlDataType="string"/>
    </xmlCellPr>
  </singleXmlCell>
  <singleXmlCell id="9054" r="S135" connectionId="9">
    <xmlCellPr id="1" uniqueName="ComponentType7_9">
      <xmlPr mapId="9" xpath="/character/Powers/Power7/ComponentType7_9" xmlDataType="string"/>
    </xmlCellPr>
  </singleXmlCell>
  <singleXmlCell id="9055" r="S136" connectionId="9">
    <xmlCellPr id="1" uniqueName="ComponentType7_10">
      <xmlPr mapId="9" xpath="/character/Powers/Power7/ComponentType7_10" xmlDataType="string"/>
    </xmlCellPr>
  </singleXmlCell>
  <singleXmlCell id="9056" r="H138" connectionId="9">
    <xmlCellPr id="1" uniqueName="PowerDescription7">
      <xmlPr mapId="9" xpath="/character/Powers/Power7/PowerDescription7" xmlDataType="string"/>
    </xmlCellPr>
  </singleXmlCell>
  <singleXmlCell id="9057" r="H143" connectionId="9">
    <xmlCellPr id="1" uniqueName="Powername8_1">
      <xmlPr mapId="9" xpath="/character/Powers/Power8/Powername8_1" xmlDataType="string"/>
    </xmlCellPr>
  </singleXmlCell>
  <singleXmlCell id="9059" r="H144" connectionId="9">
    <xmlCellPr id="1" uniqueName="Component8_1">
      <xmlPr mapId="9" xpath="/character/Powers/Power8/Component8_1" xmlDataType="string"/>
    </xmlCellPr>
  </singleXmlCell>
  <singleXmlCell id="9060" r="H145" connectionId="9">
    <xmlCellPr id="1" uniqueName="Component8_2">
      <xmlPr mapId="9" xpath="/character/Powers/Power8/Component8_2" xmlDataType="string"/>
    </xmlCellPr>
  </singleXmlCell>
  <singleXmlCell id="9061" r="H146" connectionId="9">
    <xmlCellPr id="1" uniqueName="Component8_3">
      <xmlPr mapId="9" xpath="/character/Powers/Power8/Component8_3" xmlDataType="string"/>
    </xmlCellPr>
  </singleXmlCell>
  <singleXmlCell id="9062" r="H147" connectionId="9">
    <xmlCellPr id="1" uniqueName="Component8_4">
      <xmlPr mapId="9" xpath="/character/Powers/Power8/Component8_4" xmlDataType="string"/>
    </xmlCellPr>
  </singleXmlCell>
  <singleXmlCell id="9063" r="H148" connectionId="9">
    <xmlCellPr id="1" uniqueName="Component8_5">
      <xmlPr mapId="9" xpath="/character/Powers/Power8/Component8_5" xmlDataType="string"/>
    </xmlCellPr>
  </singleXmlCell>
  <singleXmlCell id="9064" r="H149" connectionId="9">
    <xmlCellPr id="1" uniqueName="Component8_6">
      <xmlPr mapId="9" xpath="/character/Powers/Power8/Component8_6" xmlDataType="string"/>
    </xmlCellPr>
  </singleXmlCell>
  <singleXmlCell id="9065" r="H150" connectionId="9">
    <xmlCellPr id="1" uniqueName="Component8_7">
      <xmlPr mapId="9" xpath="/character/Powers/Power8/Component8_7" xmlDataType="string"/>
    </xmlCellPr>
  </singleXmlCell>
  <singleXmlCell id="9066" r="H151" connectionId="9">
    <xmlCellPr id="1" uniqueName="Component8_8">
      <xmlPr mapId="9" xpath="/character/Powers/Power8/Component8_8" xmlDataType="string"/>
    </xmlCellPr>
  </singleXmlCell>
  <singleXmlCell id="9067" r="H152" connectionId="9">
    <xmlCellPr id="1" uniqueName="Component8_9">
      <xmlPr mapId="9" xpath="/character/Powers/Power8/Component8_9" xmlDataType="string"/>
    </xmlCellPr>
  </singleXmlCell>
  <singleXmlCell id="9068" r="H153" connectionId="9">
    <xmlCellPr id="1" uniqueName="Component8_10">
      <xmlPr mapId="9" xpath="/character/Powers/Power8/Component8_10" xmlDataType="string"/>
    </xmlCellPr>
  </singleXmlCell>
  <singleXmlCell id="9069" r="S144" connectionId="9">
    <xmlCellPr id="1" uniqueName="ComponentType8_1">
      <xmlPr mapId="9" xpath="/character/Powers/Power8/ComponentType8_1" xmlDataType="string"/>
    </xmlCellPr>
  </singleXmlCell>
  <singleXmlCell id="9070" r="S145" connectionId="9">
    <xmlCellPr id="1" uniqueName="ComponentType8_2">
      <xmlPr mapId="9" xpath="/character/Powers/Power8/ComponentType8_2" xmlDataType="string"/>
    </xmlCellPr>
  </singleXmlCell>
  <singleXmlCell id="9071" r="S146" connectionId="9">
    <xmlCellPr id="1" uniqueName="ComponentType8_3">
      <xmlPr mapId="9" xpath="/character/Powers/Power8/ComponentType8_3" xmlDataType="string"/>
    </xmlCellPr>
  </singleXmlCell>
  <singleXmlCell id="9072" r="S147" connectionId="9">
    <xmlCellPr id="1" uniqueName="ComponentType8_4">
      <xmlPr mapId="9" xpath="/character/Powers/Power8/ComponentType8_4" xmlDataType="string"/>
    </xmlCellPr>
  </singleXmlCell>
  <singleXmlCell id="9073" r="S148" connectionId="9">
    <xmlCellPr id="1" uniqueName="ComponentType8_5">
      <xmlPr mapId="9" xpath="/character/Powers/Power8/ComponentType8_5" xmlDataType="string"/>
    </xmlCellPr>
  </singleXmlCell>
  <singleXmlCell id="9074" r="S149" connectionId="9">
    <xmlCellPr id="1" uniqueName="ComponentType8_6">
      <xmlPr mapId="9" xpath="/character/Powers/Power8/ComponentType8_6" xmlDataType="string"/>
    </xmlCellPr>
  </singleXmlCell>
  <singleXmlCell id="9075" r="S150" connectionId="9">
    <xmlCellPr id="1" uniqueName="ComponentType8_7">
      <xmlPr mapId="9" xpath="/character/Powers/Power8/ComponentType8_7" xmlDataType="string"/>
    </xmlCellPr>
  </singleXmlCell>
  <singleXmlCell id="9076" r="S151" connectionId="9">
    <xmlCellPr id="1" uniqueName="ComponentType8_8">
      <xmlPr mapId="9" xpath="/character/Powers/Power8/ComponentType8_8" xmlDataType="string"/>
    </xmlCellPr>
  </singleXmlCell>
  <singleXmlCell id="9077" r="S152" connectionId="9">
    <xmlCellPr id="1" uniqueName="ComponentType8_9">
      <xmlPr mapId="9" xpath="/character/Powers/Power8/ComponentType8_9" xmlDataType="string"/>
    </xmlCellPr>
  </singleXmlCell>
  <singleXmlCell id="9078" r="S153" connectionId="9">
    <xmlCellPr id="1" uniqueName="ComponentType8_10">
      <xmlPr mapId="9" xpath="/character/Powers/Power8/ComponentType8_10" xmlDataType="string"/>
    </xmlCellPr>
  </singleXmlCell>
  <singleXmlCell id="9079" r="H155" connectionId="9">
    <xmlCellPr id="1" uniqueName="PowerDescription8">
      <xmlPr mapId="9" xpath="/character/Powers/Power8/PowerDescription8" xmlDataType="string"/>
    </xmlCellPr>
  </singleXmlCell>
  <singleXmlCell id="9080" r="H160" connectionId="9">
    <xmlCellPr id="1" uniqueName="Powername9_1">
      <xmlPr mapId="9" xpath="/character/Powers/Power9/Powername9_1" xmlDataType="string"/>
    </xmlCellPr>
  </singleXmlCell>
  <singleXmlCell id="9081" r="H161" connectionId="9">
    <xmlCellPr id="1" uniqueName="Component9_1">
      <xmlPr mapId="9" xpath="/character/Powers/Power9/Component9_1" xmlDataType="string"/>
    </xmlCellPr>
  </singleXmlCell>
  <singleXmlCell id="9082" r="H162" connectionId="9">
    <xmlCellPr id="1" uniqueName="Component9_2">
      <xmlPr mapId="9" xpath="/character/Powers/Power9/Component9_2" xmlDataType="string"/>
    </xmlCellPr>
  </singleXmlCell>
  <singleXmlCell id="9083" r="H163" connectionId="9">
    <xmlCellPr id="1" uniqueName="Component9_3">
      <xmlPr mapId="9" xpath="/character/Powers/Power9/Component9_3" xmlDataType="string"/>
    </xmlCellPr>
  </singleXmlCell>
  <singleXmlCell id="9084" r="H164" connectionId="9">
    <xmlCellPr id="1" uniqueName="Component9_4">
      <xmlPr mapId="9" xpath="/character/Powers/Power9/Component9_4" xmlDataType="string"/>
    </xmlCellPr>
  </singleXmlCell>
  <singleXmlCell id="9085" r="H165" connectionId="9">
    <xmlCellPr id="1" uniqueName="Component9_5">
      <xmlPr mapId="9" xpath="/character/Powers/Power9/Component9_5" xmlDataType="string"/>
    </xmlCellPr>
  </singleXmlCell>
  <singleXmlCell id="9086" r="H166" connectionId="9">
    <xmlCellPr id="1" uniqueName="Component9_6">
      <xmlPr mapId="9" xpath="/character/Powers/Power9/Component9_6" xmlDataType="string"/>
    </xmlCellPr>
  </singleXmlCell>
  <singleXmlCell id="9087" r="H167" connectionId="9">
    <xmlCellPr id="1" uniqueName="Component9_7">
      <xmlPr mapId="9" xpath="/character/Powers/Power9/Component9_7" xmlDataType="string"/>
    </xmlCellPr>
  </singleXmlCell>
  <singleXmlCell id="9088" r="H168" connectionId="9">
    <xmlCellPr id="1" uniqueName="Component9_8">
      <xmlPr mapId="9" xpath="/character/Powers/Power9/Component9_8" xmlDataType="string"/>
    </xmlCellPr>
  </singleXmlCell>
  <singleXmlCell id="9089" r="H169" connectionId="9">
    <xmlCellPr id="1" uniqueName="Component9_9">
      <xmlPr mapId="9" xpath="/character/Powers/Power9/Component9_9" xmlDataType="string"/>
    </xmlCellPr>
  </singleXmlCell>
  <singleXmlCell id="9090" r="H170" connectionId="9">
    <xmlCellPr id="1" uniqueName="Component9_10">
      <xmlPr mapId="9" xpath="/character/Powers/Power9/Component9_10" xmlDataType="string"/>
    </xmlCellPr>
  </singleXmlCell>
  <singleXmlCell id="9091" r="S161" connectionId="9">
    <xmlCellPr id="1" uniqueName="ComponentType9_1">
      <xmlPr mapId="9" xpath="/character/Powers/Power9/ComponentType9_1" xmlDataType="string"/>
    </xmlCellPr>
  </singleXmlCell>
  <singleXmlCell id="9092" r="S162" connectionId="9">
    <xmlCellPr id="1" uniqueName="ComponentType9_2">
      <xmlPr mapId="9" xpath="/character/Powers/Power9/ComponentType9_2" xmlDataType="string"/>
    </xmlCellPr>
  </singleXmlCell>
  <singleXmlCell id="9093" r="S163" connectionId="9">
    <xmlCellPr id="1" uniqueName="ComponentType9_3">
      <xmlPr mapId="9" xpath="/character/Powers/Power9/ComponentType9_3" xmlDataType="string"/>
    </xmlCellPr>
  </singleXmlCell>
  <singleXmlCell id="9094" r="S164" connectionId="9">
    <xmlCellPr id="1" uniqueName="ComponentType9_4">
      <xmlPr mapId="9" xpath="/character/Powers/Power9/ComponentType9_4" xmlDataType="string"/>
    </xmlCellPr>
  </singleXmlCell>
  <singleXmlCell id="9095" r="S165" connectionId="9">
    <xmlCellPr id="1" uniqueName="ComponentType9_5">
      <xmlPr mapId="9" xpath="/character/Powers/Power9/ComponentType9_5" xmlDataType="string"/>
    </xmlCellPr>
  </singleXmlCell>
  <singleXmlCell id="9096" r="S166" connectionId="9">
    <xmlCellPr id="1" uniqueName="ComponentType9_6">
      <xmlPr mapId="9" xpath="/character/Powers/Power9/ComponentType9_6" xmlDataType="string"/>
    </xmlCellPr>
  </singleXmlCell>
  <singleXmlCell id="9097" r="S167" connectionId="9">
    <xmlCellPr id="1" uniqueName="ComponentType9_7">
      <xmlPr mapId="9" xpath="/character/Powers/Power9/ComponentType9_7" xmlDataType="string"/>
    </xmlCellPr>
  </singleXmlCell>
  <singleXmlCell id="9098" r="S168" connectionId="9">
    <xmlCellPr id="1" uniqueName="ComponentType9_8">
      <xmlPr mapId="9" xpath="/character/Powers/Power9/ComponentType9_8" xmlDataType="string"/>
    </xmlCellPr>
  </singleXmlCell>
  <singleXmlCell id="9099" r="S169" connectionId="9">
    <xmlCellPr id="1" uniqueName="ComponentType9_9">
      <xmlPr mapId="9" xpath="/character/Powers/Power9/ComponentType9_9" xmlDataType="string"/>
    </xmlCellPr>
  </singleXmlCell>
  <singleXmlCell id="9100" r="S170" connectionId="9">
    <xmlCellPr id="1" uniqueName="ComponentType9_10">
      <xmlPr mapId="9" xpath="/character/Powers/Power9/ComponentType9_10" xmlDataType="string"/>
    </xmlCellPr>
  </singleXmlCell>
  <singleXmlCell id="9101" r="H172" connectionId="9">
    <xmlCellPr id="1" uniqueName="PowerDescription9">
      <xmlPr mapId="9" xpath="/character/Powers/Power9/PowerDescription9" xmlDataType="string"/>
    </xmlCellPr>
  </singleXmlCell>
</singleXmlCells>
</file>

<file path=xl/tables/tableSingleCells7.xml><?xml version="1.0" encoding="utf-8"?>
<singleXmlCells xmlns="http://schemas.openxmlformats.org/spreadsheetml/2006/main">
  <singleXmlCell id="9102" r="I21" connectionId="9">
    <xmlCellPr id="1" uniqueName="ComponentName1">
      <xmlPr mapId="9" xpath="/character/EquipmentComponents/EqPowerComponent1/ComponentName1" xmlDataType="string"/>
    </xmlCellPr>
  </singleXmlCell>
  <singleXmlCell id="9103" r="I22" connectionId="9">
    <xmlCellPr id="1" uniqueName="PowerEffect1">
      <xmlPr mapId="9" xpath="/character/EquipmentComponents/EqPowerComponent1/PowerEffect1" xmlDataType="string"/>
    </xmlCellPr>
  </singleXmlCell>
  <singleXmlCell id="9104" r="J31" connectionId="9">
    <xmlCellPr id="1" uniqueName="DescriptionModifier1">
      <xmlPr mapId="9" xpath="/character/EquipmentComponents/EqPowerComponent1/DescriptionModifier1" xmlDataType="string"/>
    </xmlCellPr>
  </singleXmlCell>
  <singleXmlCell id="9105" r="J32" connectionId="9">
    <xmlCellPr id="1" uniqueName="ChosenExtras1">
      <xmlPr mapId="9" xpath="/character/EquipmentComponents/EqPowerComponent1/ChosenExtras1" xmlDataType="string"/>
    </xmlCellPr>
  </singleXmlCell>
  <singleXmlCell id="9106" r="J33" connectionId="9">
    <xmlCellPr id="1" uniqueName="ChosenFlaws1">
      <xmlPr mapId="9" xpath="/character/EquipmentComponents/EqPowerComponent1/ChosenFlaws1" xmlDataType="string"/>
    </xmlCellPr>
  </singleXmlCell>
  <singleXmlCell id="9107" r="J34" connectionId="9">
    <xmlCellPr id="1" uniqueName="ChosenFlats1">
      <xmlPr mapId="9" xpath="/character/EquipmentComponents/EqPowerComponent1/ChosenFlats1" xmlDataType="string"/>
    </xmlCellPr>
  </singleXmlCell>
  <singleXmlCell id="9108" r="AP21" connectionId="9">
    <xmlCellPr id="1" uniqueName="BaseCost1">
      <xmlPr mapId="9" xpath="/character/EquipmentComponents/EqPowerComponent1/BaseCost1" xmlDataType="string"/>
    </xmlCellPr>
  </singleXmlCell>
  <singleXmlCell id="9109" r="AP22" connectionId="9">
    <xmlCellPr id="1" uniqueName="Extras1">
      <xmlPr mapId="9" xpath="/character/EquipmentComponents/EqPowerComponent1/Extras1" xmlDataType="string"/>
    </xmlCellPr>
  </singleXmlCell>
  <singleXmlCell id="9110" r="AP23" connectionId="9">
    <xmlCellPr id="1" uniqueName="Flaws1">
      <xmlPr mapId="9" xpath="/character/EquipmentComponents/EqPowerComponent1/Flaws1" xmlDataType="string"/>
    </xmlCellPr>
  </singleXmlCell>
  <singleXmlCell id="9111" r="AP24" connectionId="9">
    <xmlCellPr id="1" uniqueName="Rank1">
      <xmlPr mapId="9" xpath="/character/EquipmentComponents/EqPowerComponent1/Rank1" xmlDataType="string"/>
    </xmlCellPr>
  </singleXmlCell>
  <singleXmlCell id="9112" r="AP25" connectionId="9">
    <xmlCellPr id="1" uniqueName="FlatModifiers1">
      <xmlPr mapId="9" xpath="/character/EquipmentComponents/EqPowerComponent1/FlatModifiers1" xmlDataType="string"/>
    </xmlCellPr>
  </singleXmlCell>
  <singleXmlCell id="9113" r="I38" connectionId="9">
    <xmlCellPr id="1" uniqueName="ComponentName2">
      <xmlPr mapId="9" xpath="/character/EquipmentComponents/EqPowerComponent2/ComponentName2" xmlDataType="string"/>
    </xmlCellPr>
  </singleXmlCell>
  <singleXmlCell id="9114" r="I39" connectionId="9">
    <xmlCellPr id="1" uniqueName="PowerEffect2">
      <xmlPr mapId="9" xpath="/character/EquipmentComponents/EqPowerComponent2/PowerEffect2" xmlDataType="string"/>
    </xmlCellPr>
  </singleXmlCell>
  <singleXmlCell id="9115" r="J48" connectionId="9">
    <xmlCellPr id="1" uniqueName="DescriptionModifier2">
      <xmlPr mapId="9" xpath="/character/EquipmentComponents/EqPowerComponent2/DescriptionModifier2" xmlDataType="string"/>
    </xmlCellPr>
  </singleXmlCell>
  <singleXmlCell id="9116" r="J49" connectionId="9">
    <xmlCellPr id="1" uniqueName="ChosenExtras2">
      <xmlPr mapId="9" xpath="/character/EquipmentComponents/EqPowerComponent2/ChosenExtras2" xmlDataType="string"/>
    </xmlCellPr>
  </singleXmlCell>
  <singleXmlCell id="9117" r="J50" connectionId="9">
    <xmlCellPr id="1" uniqueName="ChosenFlaws2">
      <xmlPr mapId="9" xpath="/character/EquipmentComponents/EqPowerComponent2/ChosenFlaws2" xmlDataType="string"/>
    </xmlCellPr>
  </singleXmlCell>
  <singleXmlCell id="9118" r="J51" connectionId="9">
    <xmlCellPr id="1" uniqueName="ChosenFlats2">
      <xmlPr mapId="9" xpath="/character/EquipmentComponents/EqPowerComponent2/ChosenFlats2" xmlDataType="string"/>
    </xmlCellPr>
  </singleXmlCell>
  <singleXmlCell id="9119" r="AP38" connectionId="9">
    <xmlCellPr id="1" uniqueName="BaseCost2">
      <xmlPr mapId="9" xpath="/character/EquipmentComponents/EqPowerComponent2/BaseCost2" xmlDataType="string"/>
    </xmlCellPr>
  </singleXmlCell>
  <singleXmlCell id="9120" r="AP39" connectionId="9">
    <xmlCellPr id="1" uniqueName="Extras2">
      <xmlPr mapId="9" xpath="/character/EquipmentComponents/EqPowerComponent2/Extras2" xmlDataType="string"/>
    </xmlCellPr>
  </singleXmlCell>
  <singleXmlCell id="9121" r="AP40" connectionId="9">
    <xmlCellPr id="1" uniqueName="Flaws2">
      <xmlPr mapId="9" xpath="/character/EquipmentComponents/EqPowerComponent2/Flaws2" xmlDataType="string"/>
    </xmlCellPr>
  </singleXmlCell>
  <singleXmlCell id="9122" r="AP41" connectionId="9">
    <xmlCellPr id="1" uniqueName="Rank2">
      <xmlPr mapId="9" xpath="/character/EquipmentComponents/EqPowerComponent2/Rank2" xmlDataType="string"/>
    </xmlCellPr>
  </singleXmlCell>
  <singleXmlCell id="9123" r="AP42" connectionId="9">
    <xmlCellPr id="1" uniqueName="FlatModifiers2">
      <xmlPr mapId="9" xpath="/character/EquipmentComponents/EqPowerComponent2/FlatModifiers2" xmlDataType="string"/>
    </xmlCellPr>
  </singleXmlCell>
  <singleXmlCell id="9124" r="I55" connectionId="9">
    <xmlCellPr id="1" uniqueName="ComponentName3">
      <xmlPr mapId="9" xpath="/character/EquipmentComponents/EqPowerComponent3/ComponentName3" xmlDataType="string"/>
    </xmlCellPr>
  </singleXmlCell>
  <singleXmlCell id="9125" r="I56" connectionId="9">
    <xmlCellPr id="1" uniqueName="PowerEffect3">
      <xmlPr mapId="9" xpath="/character/EquipmentComponents/EqPowerComponent3/PowerEffect3" xmlDataType="string"/>
    </xmlCellPr>
  </singleXmlCell>
  <singleXmlCell id="9126" r="J65" connectionId="9">
    <xmlCellPr id="1" uniqueName="DescriptionModifier3">
      <xmlPr mapId="9" xpath="/character/EquipmentComponents/EqPowerComponent3/DescriptionModifier3" xmlDataType="string"/>
    </xmlCellPr>
  </singleXmlCell>
  <singleXmlCell id="9127" r="J66" connectionId="9">
    <xmlCellPr id="1" uniqueName="ChosenExtras3">
      <xmlPr mapId="9" xpath="/character/EquipmentComponents/EqPowerComponent3/ChosenExtras3" xmlDataType="string"/>
    </xmlCellPr>
  </singleXmlCell>
  <singleXmlCell id="9128" r="J67" connectionId="9">
    <xmlCellPr id="1" uniqueName="ChosenFlaws3">
      <xmlPr mapId="9" xpath="/character/EquipmentComponents/EqPowerComponent3/ChosenFlaws3" xmlDataType="string"/>
    </xmlCellPr>
  </singleXmlCell>
  <singleXmlCell id="9129" r="J68" connectionId="9">
    <xmlCellPr id="1" uniqueName="ChosenFlats3">
      <xmlPr mapId="9" xpath="/character/EquipmentComponents/EqPowerComponent3/ChosenFlats3" xmlDataType="string"/>
    </xmlCellPr>
  </singleXmlCell>
  <singleXmlCell id="9130" r="AP55" connectionId="9">
    <xmlCellPr id="1" uniqueName="BaseCost3">
      <xmlPr mapId="9" xpath="/character/EquipmentComponents/EqPowerComponent3/BaseCost3" xmlDataType="string"/>
    </xmlCellPr>
  </singleXmlCell>
  <singleXmlCell id="9131" r="AP56" connectionId="9">
    <xmlCellPr id="1" uniqueName="Extras3">
      <xmlPr mapId="9" xpath="/character/EquipmentComponents/EqPowerComponent3/Extras3" xmlDataType="string"/>
    </xmlCellPr>
  </singleXmlCell>
  <singleXmlCell id="9132" r="AP57" connectionId="9">
    <xmlCellPr id="1" uniqueName="Flaws3">
      <xmlPr mapId="9" xpath="/character/EquipmentComponents/EqPowerComponent3/Flaws3" xmlDataType="string"/>
    </xmlCellPr>
  </singleXmlCell>
  <singleXmlCell id="9133" r="AP58" connectionId="9">
    <xmlCellPr id="1" uniqueName="Rank3">
      <xmlPr mapId="9" xpath="/character/EquipmentComponents/EqPowerComponent3/Rank3" xmlDataType="string"/>
    </xmlCellPr>
  </singleXmlCell>
  <singleXmlCell id="9134" r="AP59" connectionId="9">
    <xmlCellPr id="1" uniqueName="FlatModifiers3">
      <xmlPr mapId="9" xpath="/character/EquipmentComponents/EqPowerComponent3/FlatModifiers3" xmlDataType="string"/>
    </xmlCellPr>
  </singleXmlCell>
  <singleXmlCell id="9135" r="I72" connectionId="9">
    <xmlCellPr id="1" uniqueName="ComponentName4">
      <xmlPr mapId="9" xpath="/character/EquipmentComponents/EqPowerComponent4/ComponentName4" xmlDataType="string"/>
    </xmlCellPr>
  </singleXmlCell>
  <singleXmlCell id="9136" r="I73" connectionId="9">
    <xmlCellPr id="1" uniqueName="PowerEffect4">
      <xmlPr mapId="9" xpath="/character/EquipmentComponents/EqPowerComponent4/PowerEffect4" xmlDataType="string"/>
    </xmlCellPr>
  </singleXmlCell>
  <singleXmlCell id="9137" r="J82" connectionId="9">
    <xmlCellPr id="1" uniqueName="DescriptionModifier4">
      <xmlPr mapId="9" xpath="/character/EquipmentComponents/EqPowerComponent4/DescriptionModifier4" xmlDataType="string"/>
    </xmlCellPr>
  </singleXmlCell>
  <singleXmlCell id="9138" r="J83" connectionId="9">
    <xmlCellPr id="1" uniqueName="ChosenExtras4">
      <xmlPr mapId="9" xpath="/character/EquipmentComponents/EqPowerComponent4/ChosenExtras4" xmlDataType="string"/>
    </xmlCellPr>
  </singleXmlCell>
  <singleXmlCell id="9139" r="J84" connectionId="9">
    <xmlCellPr id="1" uniqueName="ChosenFlaws4">
      <xmlPr mapId="9" xpath="/character/EquipmentComponents/EqPowerComponent4/ChosenFlaws4" xmlDataType="string"/>
    </xmlCellPr>
  </singleXmlCell>
  <singleXmlCell id="9140" r="J85" connectionId="9">
    <xmlCellPr id="1" uniqueName="ChosenFlats4">
      <xmlPr mapId="9" xpath="/character/EquipmentComponents/EqPowerComponent4/ChosenFlats4" xmlDataType="string"/>
    </xmlCellPr>
  </singleXmlCell>
  <singleXmlCell id="9141" r="AP72" connectionId="9">
    <xmlCellPr id="1" uniqueName="BaseCost4">
      <xmlPr mapId="9" xpath="/character/EquipmentComponents/EqPowerComponent4/BaseCost4" xmlDataType="string"/>
    </xmlCellPr>
  </singleXmlCell>
  <singleXmlCell id="9142" r="AP73" connectionId="9">
    <xmlCellPr id="1" uniqueName="Extras4">
      <xmlPr mapId="9" xpath="/character/EquipmentComponents/EqPowerComponent4/Extras4" xmlDataType="string"/>
    </xmlCellPr>
  </singleXmlCell>
  <singleXmlCell id="9143" r="AP74" connectionId="9">
    <xmlCellPr id="1" uniqueName="Flaws4">
      <xmlPr mapId="9" xpath="/character/EquipmentComponents/EqPowerComponent4/Flaws4" xmlDataType="string"/>
    </xmlCellPr>
  </singleXmlCell>
  <singleXmlCell id="9144" r="AP75" connectionId="9">
    <xmlCellPr id="1" uniqueName="Rank4">
      <xmlPr mapId="9" xpath="/character/EquipmentComponents/EqPowerComponent4/Rank4" xmlDataType="string"/>
    </xmlCellPr>
  </singleXmlCell>
  <singleXmlCell id="9145" r="AP76" connectionId="9">
    <xmlCellPr id="1" uniqueName="FlatModifiers4">
      <xmlPr mapId="9" xpath="/character/EquipmentComponents/EqPowerComponent4/FlatModifiers4" xmlDataType="string"/>
    </xmlCellPr>
  </singleXmlCell>
  <singleXmlCell id="9146" r="I89" connectionId="9">
    <xmlCellPr id="1" uniqueName="ComponentName5">
      <xmlPr mapId="9" xpath="/character/EquipmentComponents/EqPowerComponent5/ComponentName5" xmlDataType="string"/>
    </xmlCellPr>
  </singleXmlCell>
  <singleXmlCell id="9147" r="I90" connectionId="9">
    <xmlCellPr id="1" uniqueName="PowerEffect5">
      <xmlPr mapId="9" xpath="/character/EquipmentComponents/EqPowerComponent5/PowerEffect5" xmlDataType="string"/>
    </xmlCellPr>
  </singleXmlCell>
  <singleXmlCell id="9148" r="J99" connectionId="9">
    <xmlCellPr id="1" uniqueName="DescriptionModifier5">
      <xmlPr mapId="9" xpath="/character/EquipmentComponents/EqPowerComponent5/DescriptionModifier5" xmlDataType="string"/>
    </xmlCellPr>
  </singleXmlCell>
  <singleXmlCell id="9149" r="J100" connectionId="9">
    <xmlCellPr id="1" uniqueName="ChosenExtras5">
      <xmlPr mapId="9" xpath="/character/EquipmentComponents/EqPowerComponent5/ChosenExtras5" xmlDataType="string"/>
    </xmlCellPr>
  </singleXmlCell>
  <singleXmlCell id="9150" r="J101" connectionId="9">
    <xmlCellPr id="1" uniqueName="ChosenFlaws5">
      <xmlPr mapId="9" xpath="/character/EquipmentComponents/EqPowerComponent5/ChosenFlaws5" xmlDataType="string"/>
    </xmlCellPr>
  </singleXmlCell>
  <singleXmlCell id="9151" r="J102" connectionId="9">
    <xmlCellPr id="1" uniqueName="ChosenFlats5">
      <xmlPr mapId="9" xpath="/character/EquipmentComponents/EqPowerComponent5/ChosenFlats5" xmlDataType="string"/>
    </xmlCellPr>
  </singleXmlCell>
  <singleXmlCell id="9152" r="AP89" connectionId="9">
    <xmlCellPr id="1" uniqueName="BaseCost5">
      <xmlPr mapId="9" xpath="/character/EquipmentComponents/EqPowerComponent5/BaseCost5" xmlDataType="string"/>
    </xmlCellPr>
  </singleXmlCell>
  <singleXmlCell id="9153" r="AP90" connectionId="9">
    <xmlCellPr id="1" uniqueName="Extras5">
      <xmlPr mapId="9" xpath="/character/EquipmentComponents/EqPowerComponent5/Extras5" xmlDataType="string"/>
    </xmlCellPr>
  </singleXmlCell>
  <singleXmlCell id="9154" r="AP91" connectionId="9">
    <xmlCellPr id="1" uniqueName="Flaws5">
      <xmlPr mapId="9" xpath="/character/EquipmentComponents/EqPowerComponent5/Flaws5" xmlDataType="string"/>
    </xmlCellPr>
  </singleXmlCell>
  <singleXmlCell id="9155" r="AP92" connectionId="9">
    <xmlCellPr id="1" uniqueName="Rank5">
      <xmlPr mapId="9" xpath="/character/EquipmentComponents/EqPowerComponent5/Rank5" xmlDataType="string"/>
    </xmlCellPr>
  </singleXmlCell>
  <singleXmlCell id="9156" r="AP93" connectionId="9">
    <xmlCellPr id="1" uniqueName="FlatModifiers5">
      <xmlPr mapId="9" xpath="/character/EquipmentComponents/EqPowerComponent5/FlatModifiers5" xmlDataType="string"/>
    </xmlCellPr>
  </singleXmlCell>
  <singleXmlCell id="9157" r="I106" connectionId="9">
    <xmlCellPr id="1" uniqueName="ComponentName6">
      <xmlPr mapId="9" xpath="/character/EquipmentComponents/EqPowerComponent6/ComponentName6" xmlDataType="string"/>
    </xmlCellPr>
  </singleXmlCell>
  <singleXmlCell id="9158" r="I107" connectionId="9">
    <xmlCellPr id="1" uniqueName="PowerEffect6">
      <xmlPr mapId="9" xpath="/character/EquipmentComponents/EqPowerComponent6/PowerEffect6" xmlDataType="string"/>
    </xmlCellPr>
  </singleXmlCell>
  <singleXmlCell id="9159" r="J116" connectionId="9">
    <xmlCellPr id="1" uniqueName="DescriptionModifier6">
      <xmlPr mapId="9" xpath="/character/EquipmentComponents/EqPowerComponent6/DescriptionModifier6" xmlDataType="string"/>
    </xmlCellPr>
  </singleXmlCell>
  <singleXmlCell id="9160" r="J117" connectionId="9">
    <xmlCellPr id="1" uniqueName="ChosenExtras6">
      <xmlPr mapId="9" xpath="/character/EquipmentComponents/EqPowerComponent6/ChosenExtras6" xmlDataType="string"/>
    </xmlCellPr>
  </singleXmlCell>
  <singleXmlCell id="9161" r="J118" connectionId="9">
    <xmlCellPr id="1" uniqueName="ChosenFlaws6">
      <xmlPr mapId="9" xpath="/character/EquipmentComponents/EqPowerComponent6/ChosenFlaws6" xmlDataType="string"/>
    </xmlCellPr>
  </singleXmlCell>
  <singleXmlCell id="9162" r="J119" connectionId="9">
    <xmlCellPr id="1" uniqueName="ChosenFlats6">
      <xmlPr mapId="9" xpath="/character/EquipmentComponents/EqPowerComponent6/ChosenFlats6" xmlDataType="string"/>
    </xmlCellPr>
  </singleXmlCell>
  <singleXmlCell id="9163" r="AP106" connectionId="9">
    <xmlCellPr id="1" uniqueName="BaseCost6">
      <xmlPr mapId="9" xpath="/character/EquipmentComponents/EqPowerComponent6/BaseCost6" xmlDataType="string"/>
    </xmlCellPr>
  </singleXmlCell>
  <singleXmlCell id="9164" r="AP107" connectionId="9">
    <xmlCellPr id="1" uniqueName="Extras6">
      <xmlPr mapId="9" xpath="/character/EquipmentComponents/EqPowerComponent6/Extras6" xmlDataType="string"/>
    </xmlCellPr>
  </singleXmlCell>
  <singleXmlCell id="9165" r="AP108" connectionId="9">
    <xmlCellPr id="1" uniqueName="Flaws6">
      <xmlPr mapId="9" xpath="/character/EquipmentComponents/EqPowerComponent6/Flaws6" xmlDataType="string"/>
    </xmlCellPr>
  </singleXmlCell>
  <singleXmlCell id="9166" r="AP109" connectionId="9">
    <xmlCellPr id="1" uniqueName="Rank6">
      <xmlPr mapId="9" xpath="/character/EquipmentComponents/EqPowerComponent6/Rank6" xmlDataType="string"/>
    </xmlCellPr>
  </singleXmlCell>
  <singleXmlCell id="9167" r="AP110" connectionId="9">
    <xmlCellPr id="1" uniqueName="FlatModifiers6">
      <xmlPr mapId="9" xpath="/character/EquipmentComponents/EqPowerComponent6/FlatModifiers6" xmlDataType="string"/>
    </xmlCellPr>
  </singleXmlCell>
  <singleXmlCell id="9168" r="I123" connectionId="9">
    <xmlCellPr id="1" uniqueName="ComponentName7">
      <xmlPr mapId="9" xpath="/character/EquipmentComponents/EqPowerComponent7/ComponentName7" xmlDataType="string"/>
    </xmlCellPr>
  </singleXmlCell>
  <singleXmlCell id="9169" r="I124" connectionId="9">
    <xmlCellPr id="1" uniqueName="PowerEffect7">
      <xmlPr mapId="9" xpath="/character/EquipmentComponents/EqPowerComponent7/PowerEffect7" xmlDataType="string"/>
    </xmlCellPr>
  </singleXmlCell>
  <singleXmlCell id="9170" r="J133" connectionId="9">
    <xmlCellPr id="1" uniqueName="DescriptionModifier7">
      <xmlPr mapId="9" xpath="/character/EquipmentComponents/EqPowerComponent7/DescriptionModifier7" xmlDataType="string"/>
    </xmlCellPr>
  </singleXmlCell>
  <singleXmlCell id="9171" r="J134" connectionId="9">
    <xmlCellPr id="1" uniqueName="ChosenExtras7">
      <xmlPr mapId="9" xpath="/character/EquipmentComponents/EqPowerComponent7/ChosenExtras7" xmlDataType="string"/>
    </xmlCellPr>
  </singleXmlCell>
  <singleXmlCell id="9172" r="J135" connectionId="9">
    <xmlCellPr id="1" uniqueName="ChosenFlaws7">
      <xmlPr mapId="9" xpath="/character/EquipmentComponents/EqPowerComponent7/ChosenFlaws7" xmlDataType="string"/>
    </xmlCellPr>
  </singleXmlCell>
  <singleXmlCell id="9173" r="J136" connectionId="9">
    <xmlCellPr id="1" uniqueName="ChosenFlats7">
      <xmlPr mapId="9" xpath="/character/EquipmentComponents/EqPowerComponent7/ChosenFlats7" xmlDataType="string"/>
    </xmlCellPr>
  </singleXmlCell>
  <singleXmlCell id="9174" r="AP123" connectionId="9">
    <xmlCellPr id="1" uniqueName="BaseCost7">
      <xmlPr mapId="9" xpath="/character/EquipmentComponents/EqPowerComponent7/BaseCost7" xmlDataType="string"/>
    </xmlCellPr>
  </singleXmlCell>
  <singleXmlCell id="9175" r="AP124" connectionId="9">
    <xmlCellPr id="1" uniqueName="Extras7">
      <xmlPr mapId="9" xpath="/character/EquipmentComponents/EqPowerComponent7/Extras7" xmlDataType="string"/>
    </xmlCellPr>
  </singleXmlCell>
  <singleXmlCell id="9176" r="AP125" connectionId="9">
    <xmlCellPr id="1" uniqueName="Flaws7">
      <xmlPr mapId="9" xpath="/character/EquipmentComponents/EqPowerComponent7/Flaws7" xmlDataType="string"/>
    </xmlCellPr>
  </singleXmlCell>
  <singleXmlCell id="9177" r="AP126" connectionId="9">
    <xmlCellPr id="1" uniqueName="Rank7">
      <xmlPr mapId="9" xpath="/character/EquipmentComponents/EqPowerComponent7/Rank7" xmlDataType="string"/>
    </xmlCellPr>
  </singleXmlCell>
  <singleXmlCell id="9178" r="AP127" connectionId="9">
    <xmlCellPr id="1" uniqueName="FlatModifiers7">
      <xmlPr mapId="9" xpath="/character/EquipmentComponents/EqPowerComponent7/FlatModifiers7" xmlDataType="string"/>
    </xmlCellPr>
  </singleXmlCell>
  <singleXmlCell id="9179" r="I140" connectionId="9">
    <xmlCellPr id="1" uniqueName="ComponentName8">
      <xmlPr mapId="9" xpath="/character/EquipmentComponents/EqPowerComponent8/ComponentName8" xmlDataType="string"/>
    </xmlCellPr>
  </singleXmlCell>
  <singleXmlCell id="9180" r="I141" connectionId="9">
    <xmlCellPr id="1" uniqueName="PowerEffect8">
      <xmlPr mapId="9" xpath="/character/EquipmentComponents/EqPowerComponent8/PowerEffect8" xmlDataType="string"/>
    </xmlCellPr>
  </singleXmlCell>
  <singleXmlCell id="9181" r="J150" connectionId="9">
    <xmlCellPr id="1" uniqueName="DescriptionModifier8">
      <xmlPr mapId="9" xpath="/character/EquipmentComponents/EqPowerComponent8/DescriptionModifier8" xmlDataType="string"/>
    </xmlCellPr>
  </singleXmlCell>
  <singleXmlCell id="9182" r="J151" connectionId="9">
    <xmlCellPr id="1" uniqueName="ChosenExtras8">
      <xmlPr mapId="9" xpath="/character/EquipmentComponents/EqPowerComponent8/ChosenExtras8" xmlDataType="string"/>
    </xmlCellPr>
  </singleXmlCell>
  <singleXmlCell id="9183" r="J152" connectionId="9">
    <xmlCellPr id="1" uniqueName="ChosenFlaws8">
      <xmlPr mapId="9" xpath="/character/EquipmentComponents/EqPowerComponent8/ChosenFlaws8" xmlDataType="string"/>
    </xmlCellPr>
  </singleXmlCell>
  <singleXmlCell id="9184" r="J153" connectionId="9">
    <xmlCellPr id="1" uniqueName="ChosenFlats8">
      <xmlPr mapId="9" xpath="/character/EquipmentComponents/EqPowerComponent8/ChosenFlats8" xmlDataType="string"/>
    </xmlCellPr>
  </singleXmlCell>
  <singleXmlCell id="9185" r="AP140" connectionId="9">
    <xmlCellPr id="1" uniqueName="BaseCost8">
      <xmlPr mapId="9" xpath="/character/EquipmentComponents/EqPowerComponent8/BaseCost8" xmlDataType="string"/>
    </xmlCellPr>
  </singleXmlCell>
  <singleXmlCell id="9186" r="AP141" connectionId="9">
    <xmlCellPr id="1" uniqueName="Extras8">
      <xmlPr mapId="9" xpath="/character/EquipmentComponents/EqPowerComponent8/Extras8" xmlDataType="string"/>
    </xmlCellPr>
  </singleXmlCell>
  <singleXmlCell id="9187" r="AP142" connectionId="9">
    <xmlCellPr id="1" uniqueName="Flaws8">
      <xmlPr mapId="9" xpath="/character/EquipmentComponents/EqPowerComponent8/Flaws8" xmlDataType="string"/>
    </xmlCellPr>
  </singleXmlCell>
  <singleXmlCell id="9188" r="AP143" connectionId="9">
    <xmlCellPr id="1" uniqueName="Rank8">
      <xmlPr mapId="9" xpath="/character/EquipmentComponents/EqPowerComponent8/Rank8" xmlDataType="string"/>
    </xmlCellPr>
  </singleXmlCell>
  <singleXmlCell id="9189" r="AP144" connectionId="9">
    <xmlCellPr id="1" uniqueName="FlatModifiers8">
      <xmlPr mapId="9" xpath="/character/EquipmentComponents/EqPowerComponent8/FlatModifiers8" xmlDataType="string"/>
    </xmlCellPr>
  </singleXmlCell>
  <singleXmlCell id="9190" r="I157" connectionId="9">
    <xmlCellPr id="1" uniqueName="ComponentName9">
      <xmlPr mapId="9" xpath="/character/EquipmentComponents/EqPowerComponent9/ComponentName9" xmlDataType="string"/>
    </xmlCellPr>
  </singleXmlCell>
  <singleXmlCell id="9191" r="I158" connectionId="9">
    <xmlCellPr id="1" uniqueName="PowerEffect9">
      <xmlPr mapId="9" xpath="/character/EquipmentComponents/EqPowerComponent9/PowerEffect9" xmlDataType="string"/>
    </xmlCellPr>
  </singleXmlCell>
  <singleXmlCell id="9192" r="J167" connectionId="9">
    <xmlCellPr id="1" uniqueName="DescriptionModifier9">
      <xmlPr mapId="9" xpath="/character/EquipmentComponents/EqPowerComponent9/DescriptionModifier9" xmlDataType="string"/>
    </xmlCellPr>
  </singleXmlCell>
  <singleXmlCell id="9193" r="J168" connectionId="9">
    <xmlCellPr id="1" uniqueName="ChosenExtras9">
      <xmlPr mapId="9" xpath="/character/EquipmentComponents/EqPowerComponent9/ChosenExtras9" xmlDataType="string"/>
    </xmlCellPr>
  </singleXmlCell>
  <singleXmlCell id="9194" r="J169" connectionId="9">
    <xmlCellPr id="1" uniqueName="ChosenFlaws9">
      <xmlPr mapId="9" xpath="/character/EquipmentComponents/EqPowerComponent9/ChosenFlaws9" xmlDataType="string"/>
    </xmlCellPr>
  </singleXmlCell>
  <singleXmlCell id="9195" r="J170" connectionId="9">
    <xmlCellPr id="1" uniqueName="ChosenFlats9">
      <xmlPr mapId="9" xpath="/character/EquipmentComponents/EqPowerComponent9/ChosenFlats9" xmlDataType="string"/>
    </xmlCellPr>
  </singleXmlCell>
  <singleXmlCell id="9196" r="AP157" connectionId="9">
    <xmlCellPr id="1" uniqueName="BaseCost9">
      <xmlPr mapId="9" xpath="/character/EquipmentComponents/EqPowerComponent9/BaseCost9" xmlDataType="string"/>
    </xmlCellPr>
  </singleXmlCell>
  <singleXmlCell id="9197" r="AP158" connectionId="9">
    <xmlCellPr id="1" uniqueName="Extras9">
      <xmlPr mapId="9" xpath="/character/EquipmentComponents/EqPowerComponent9/Extras9" xmlDataType="string"/>
    </xmlCellPr>
  </singleXmlCell>
  <singleXmlCell id="9198" r="AP159" connectionId="9">
    <xmlCellPr id="1" uniqueName="Flaws9">
      <xmlPr mapId="9" xpath="/character/EquipmentComponents/EqPowerComponent9/Flaws9" xmlDataType="string"/>
    </xmlCellPr>
  </singleXmlCell>
  <singleXmlCell id="9199" r="AP160" connectionId="9">
    <xmlCellPr id="1" uniqueName="Rank9">
      <xmlPr mapId="9" xpath="/character/EquipmentComponents/EqPowerComponent9/Rank9" xmlDataType="string"/>
    </xmlCellPr>
  </singleXmlCell>
  <singleXmlCell id="9200" r="AP161" connectionId="9">
    <xmlCellPr id="1" uniqueName="FlatModifiers9">
      <xmlPr mapId="9" xpath="/character/EquipmentComponents/EqPowerComponent9/FlatModifiers9" xmlDataType="string"/>
    </xmlCellPr>
  </singleXmlCell>
  <singleXmlCell id="9201" r="I174" connectionId="9">
    <xmlCellPr id="1" uniqueName="ComponentName10">
      <xmlPr mapId="9" xpath="/character/EquipmentComponents/EqPowerComponent10/ComponentName10" xmlDataType="string"/>
    </xmlCellPr>
  </singleXmlCell>
  <singleXmlCell id="9202" r="I175" connectionId="9">
    <xmlCellPr id="1" uniqueName="PowerEffect10">
      <xmlPr mapId="9" xpath="/character/EquipmentComponents/EqPowerComponent10/PowerEffect10" xmlDataType="string"/>
    </xmlCellPr>
  </singleXmlCell>
  <singleXmlCell id="9203" r="J184" connectionId="9">
    <xmlCellPr id="1" uniqueName="DescriptionModifier10">
      <xmlPr mapId="9" xpath="/character/EquipmentComponents/EqPowerComponent10/DescriptionModifier10" xmlDataType="string"/>
    </xmlCellPr>
  </singleXmlCell>
  <singleXmlCell id="9204" r="J185" connectionId="9">
    <xmlCellPr id="1" uniqueName="ChosenExtras10">
      <xmlPr mapId="9" xpath="/character/EquipmentComponents/EqPowerComponent10/ChosenExtras10" xmlDataType="string"/>
    </xmlCellPr>
  </singleXmlCell>
  <singleXmlCell id="9205" r="J186" connectionId="9">
    <xmlCellPr id="1" uniqueName="ChosenFlaws10">
      <xmlPr mapId="9" xpath="/character/EquipmentComponents/EqPowerComponent10/ChosenFlaws10" xmlDataType="string"/>
    </xmlCellPr>
  </singleXmlCell>
  <singleXmlCell id="9206" r="J187" connectionId="9">
    <xmlCellPr id="1" uniqueName="ChosenFlats10">
      <xmlPr mapId="9" xpath="/character/EquipmentComponents/EqPowerComponent10/ChosenFlats10" xmlDataType="string"/>
    </xmlCellPr>
  </singleXmlCell>
  <singleXmlCell id="9207" r="AP174" connectionId="9">
    <xmlCellPr id="1" uniqueName="BaseCost10">
      <xmlPr mapId="9" xpath="/character/EquipmentComponents/EqPowerComponent10/BaseCost10" xmlDataType="string"/>
    </xmlCellPr>
  </singleXmlCell>
  <singleXmlCell id="9208" r="AP175" connectionId="9">
    <xmlCellPr id="1" uniqueName="Extras10">
      <xmlPr mapId="9" xpath="/character/EquipmentComponents/EqPowerComponent10/Extras10" xmlDataType="string"/>
    </xmlCellPr>
  </singleXmlCell>
  <singleXmlCell id="9209" r="AP176" connectionId="9">
    <xmlCellPr id="1" uniqueName="Flaws10">
      <xmlPr mapId="9" xpath="/character/EquipmentComponents/EqPowerComponent10/Flaws10" xmlDataType="string"/>
    </xmlCellPr>
  </singleXmlCell>
  <singleXmlCell id="9210" r="AP177" connectionId="9">
    <xmlCellPr id="1" uniqueName="Rank10">
      <xmlPr mapId="9" xpath="/character/EquipmentComponents/EqPowerComponent10/Rank10" xmlDataType="string"/>
    </xmlCellPr>
  </singleXmlCell>
  <singleXmlCell id="9211" r="AP178" connectionId="9">
    <xmlCellPr id="1" uniqueName="FlatModifiers10">
      <xmlPr mapId="9" xpath="/character/EquipmentComponents/EqPowerComponent10/FlatModifiers10" xmlDataType="string"/>
    </xmlCellPr>
  </singleXmlCell>
  <singleXmlCell id="9212" r="I191" connectionId="9">
    <xmlCellPr id="1" uniqueName="ComponentName11">
      <xmlPr mapId="9" xpath="/character/EquipmentComponents/EqPowerComponent11/ComponentName11" xmlDataType="string"/>
    </xmlCellPr>
  </singleXmlCell>
  <singleXmlCell id="9213" r="I192" connectionId="9">
    <xmlCellPr id="1" uniqueName="PowerEffect11">
      <xmlPr mapId="9" xpath="/character/EquipmentComponents/EqPowerComponent11/PowerEffect11" xmlDataType="string"/>
    </xmlCellPr>
  </singleXmlCell>
  <singleXmlCell id="9214" r="J201" connectionId="9">
    <xmlCellPr id="1" uniqueName="DescriptionModifier11">
      <xmlPr mapId="9" xpath="/character/EquipmentComponents/EqPowerComponent11/DescriptionModifier11" xmlDataType="string"/>
    </xmlCellPr>
  </singleXmlCell>
  <singleXmlCell id="9215" r="J202" connectionId="9">
    <xmlCellPr id="1" uniqueName="ChosenExtras11">
      <xmlPr mapId="9" xpath="/character/EquipmentComponents/EqPowerComponent11/ChosenExtras11" xmlDataType="string"/>
    </xmlCellPr>
  </singleXmlCell>
  <singleXmlCell id="9216" r="J203" connectionId="9">
    <xmlCellPr id="1" uniqueName="ChosenFlaws11">
      <xmlPr mapId="9" xpath="/character/EquipmentComponents/EqPowerComponent11/ChosenFlaws11" xmlDataType="string"/>
    </xmlCellPr>
  </singleXmlCell>
  <singleXmlCell id="9217" r="J204" connectionId="9">
    <xmlCellPr id="1" uniqueName="ChosenFlats11">
      <xmlPr mapId="9" xpath="/character/EquipmentComponents/EqPowerComponent11/ChosenFlats11" xmlDataType="string"/>
    </xmlCellPr>
  </singleXmlCell>
  <singleXmlCell id="9218" r="AP191" connectionId="9">
    <xmlCellPr id="1" uniqueName="BaseCost11">
      <xmlPr mapId="9" xpath="/character/EquipmentComponents/EqPowerComponent11/BaseCost11" xmlDataType="string"/>
    </xmlCellPr>
  </singleXmlCell>
  <singleXmlCell id="9219" r="AP192" connectionId="9">
    <xmlCellPr id="1" uniqueName="Extras11">
      <xmlPr mapId="9" xpath="/character/EquipmentComponents/EqPowerComponent11/Extras11" xmlDataType="string"/>
    </xmlCellPr>
  </singleXmlCell>
  <singleXmlCell id="9220" r="AP193" connectionId="9">
    <xmlCellPr id="1" uniqueName="Flaws11">
      <xmlPr mapId="9" xpath="/character/EquipmentComponents/EqPowerComponent11/Flaws11" xmlDataType="string"/>
    </xmlCellPr>
  </singleXmlCell>
  <singleXmlCell id="9221" r="AP194" connectionId="9">
    <xmlCellPr id="1" uniqueName="Rank11">
      <xmlPr mapId="9" xpath="/character/EquipmentComponents/EqPowerComponent11/Rank11" xmlDataType="string"/>
    </xmlCellPr>
  </singleXmlCell>
  <singleXmlCell id="9222" r="AP195" connectionId="9">
    <xmlCellPr id="1" uniqueName="FlatModifiers11">
      <xmlPr mapId="9" xpath="/character/EquipmentComponents/EqPowerComponent11/FlatModifiers11" xmlDataType="string"/>
    </xmlCellPr>
  </singleXmlCell>
  <singleXmlCell id="9223" r="I208" connectionId="9">
    <xmlCellPr id="1" uniqueName="ComponentName12">
      <xmlPr mapId="9" xpath="/character/EquipmentComponents/EqPowerComponent12/ComponentName12" xmlDataType="string"/>
    </xmlCellPr>
  </singleXmlCell>
  <singleXmlCell id="9224" r="I209" connectionId="9">
    <xmlCellPr id="1" uniqueName="PowerEffect12">
      <xmlPr mapId="9" xpath="/character/EquipmentComponents/EqPowerComponent12/PowerEffect12" xmlDataType="string"/>
    </xmlCellPr>
  </singleXmlCell>
  <singleXmlCell id="9225" r="J218" connectionId="9">
    <xmlCellPr id="1" uniqueName="DescriptionModifier12">
      <xmlPr mapId="9" xpath="/character/EquipmentComponents/EqPowerComponent12/DescriptionModifier12" xmlDataType="string"/>
    </xmlCellPr>
  </singleXmlCell>
  <singleXmlCell id="9226" r="J219" connectionId="9">
    <xmlCellPr id="1" uniqueName="ChosenExtras12">
      <xmlPr mapId="9" xpath="/character/EquipmentComponents/EqPowerComponent12/ChosenExtras12" xmlDataType="string"/>
    </xmlCellPr>
  </singleXmlCell>
  <singleXmlCell id="9227" r="J220" connectionId="9">
    <xmlCellPr id="1" uniqueName="ChosenFlaws12">
      <xmlPr mapId="9" xpath="/character/EquipmentComponents/EqPowerComponent12/ChosenFlaws12" xmlDataType="string"/>
    </xmlCellPr>
  </singleXmlCell>
  <singleXmlCell id="9228" r="J221" connectionId="9">
    <xmlCellPr id="1" uniqueName="ChosenFlats12">
      <xmlPr mapId="9" xpath="/character/EquipmentComponents/EqPowerComponent12/ChosenFlats12" xmlDataType="string"/>
    </xmlCellPr>
  </singleXmlCell>
  <singleXmlCell id="9229" r="AP208" connectionId="9">
    <xmlCellPr id="1" uniqueName="BaseCost12">
      <xmlPr mapId="9" xpath="/character/EquipmentComponents/EqPowerComponent12/BaseCost12" xmlDataType="string"/>
    </xmlCellPr>
  </singleXmlCell>
  <singleXmlCell id="9230" r="AP209" connectionId="9">
    <xmlCellPr id="1" uniqueName="Extras12">
      <xmlPr mapId="9" xpath="/character/EquipmentComponents/EqPowerComponent12/Extras12" xmlDataType="string"/>
    </xmlCellPr>
  </singleXmlCell>
  <singleXmlCell id="9231" r="AP210" connectionId="9">
    <xmlCellPr id="1" uniqueName="Flaws12">
      <xmlPr mapId="9" xpath="/character/EquipmentComponents/EqPowerComponent12/Flaws12" xmlDataType="string"/>
    </xmlCellPr>
  </singleXmlCell>
  <singleXmlCell id="9232" r="AP211" connectionId="9">
    <xmlCellPr id="1" uniqueName="Rank12">
      <xmlPr mapId="9" xpath="/character/EquipmentComponents/EqPowerComponent12/Rank12" xmlDataType="string"/>
    </xmlCellPr>
  </singleXmlCell>
  <singleXmlCell id="9233" r="AP212" connectionId="9">
    <xmlCellPr id="1" uniqueName="FlatModifiers12">
      <xmlPr mapId="9" xpath="/character/EquipmentComponents/EqPowerComponent12/FlatModifiers12" xmlDataType="string"/>
    </xmlCellPr>
  </singleXmlCell>
  <singleXmlCell id="9234" r="I225" connectionId="9">
    <xmlCellPr id="1" uniqueName="ComponentName13">
      <xmlPr mapId="9" xpath="/character/EquipmentComponents/EqPowerComponent13/ComponentName13" xmlDataType="string"/>
    </xmlCellPr>
  </singleXmlCell>
  <singleXmlCell id="9235" r="I226" connectionId="9">
    <xmlCellPr id="1" uniqueName="PowerEffect13">
      <xmlPr mapId="9" xpath="/character/EquipmentComponents/EqPowerComponent13/PowerEffect13" xmlDataType="string"/>
    </xmlCellPr>
  </singleXmlCell>
  <singleXmlCell id="9236" r="J235" connectionId="9">
    <xmlCellPr id="1" uniqueName="DescriptionModifier13">
      <xmlPr mapId="9" xpath="/character/EquipmentComponents/EqPowerComponent13/DescriptionModifier13" xmlDataType="string"/>
    </xmlCellPr>
  </singleXmlCell>
  <singleXmlCell id="9237" r="J236" connectionId="9">
    <xmlCellPr id="1" uniqueName="ChosenExtras13">
      <xmlPr mapId="9" xpath="/character/EquipmentComponents/EqPowerComponent13/ChosenExtras13" xmlDataType="string"/>
    </xmlCellPr>
  </singleXmlCell>
  <singleXmlCell id="9238" r="J237" connectionId="9">
    <xmlCellPr id="1" uniqueName="ChosenFlaws13">
      <xmlPr mapId="9" xpath="/character/EquipmentComponents/EqPowerComponent13/ChosenFlaws13" xmlDataType="string"/>
    </xmlCellPr>
  </singleXmlCell>
  <singleXmlCell id="9239" r="J238" connectionId="9">
    <xmlCellPr id="1" uniqueName="ChosenFlats13">
      <xmlPr mapId="9" xpath="/character/EquipmentComponents/EqPowerComponent13/ChosenFlats13" xmlDataType="string"/>
    </xmlCellPr>
  </singleXmlCell>
  <singleXmlCell id="9240" r="AP225" connectionId="9">
    <xmlCellPr id="1" uniqueName="BaseCost13">
      <xmlPr mapId="9" xpath="/character/EquipmentComponents/EqPowerComponent13/BaseCost13" xmlDataType="string"/>
    </xmlCellPr>
  </singleXmlCell>
  <singleXmlCell id="9241" r="AP226" connectionId="9">
    <xmlCellPr id="1" uniqueName="Extras13">
      <xmlPr mapId="9" xpath="/character/EquipmentComponents/EqPowerComponent13/Extras13" xmlDataType="string"/>
    </xmlCellPr>
  </singleXmlCell>
  <singleXmlCell id="9242" r="AP227" connectionId="9">
    <xmlCellPr id="1" uniqueName="Flaws13">
      <xmlPr mapId="9" xpath="/character/EquipmentComponents/EqPowerComponent13/Flaws13" xmlDataType="string"/>
    </xmlCellPr>
  </singleXmlCell>
  <singleXmlCell id="9243" r="AP228" connectionId="9">
    <xmlCellPr id="1" uniqueName="Rank13">
      <xmlPr mapId="9" xpath="/character/EquipmentComponents/EqPowerComponent13/Rank13" xmlDataType="string"/>
    </xmlCellPr>
  </singleXmlCell>
  <singleXmlCell id="9244" r="AP229" connectionId="9">
    <xmlCellPr id="1" uniqueName="FlatModifiers13">
      <xmlPr mapId="9" xpath="/character/EquipmentComponents/EqPowerComponent13/FlatModifiers13" xmlDataType="string"/>
    </xmlCellPr>
  </singleXmlCell>
  <singleXmlCell id="9245" r="I242" connectionId="9">
    <xmlCellPr id="1" uniqueName="ComponentName14">
      <xmlPr mapId="9" xpath="/character/EquipmentComponents/EqPowerComponent14/ComponentName14" xmlDataType="string"/>
    </xmlCellPr>
  </singleXmlCell>
  <singleXmlCell id="9246" r="I243" connectionId="9">
    <xmlCellPr id="1" uniqueName="PowerEffect14">
      <xmlPr mapId="9" xpath="/character/EquipmentComponents/EqPowerComponent14/PowerEffect14" xmlDataType="string"/>
    </xmlCellPr>
  </singleXmlCell>
  <singleXmlCell id="9247" r="J252" connectionId="9">
    <xmlCellPr id="1" uniqueName="DescriptionModifier14">
      <xmlPr mapId="9" xpath="/character/EquipmentComponents/EqPowerComponent14/DescriptionModifier14" xmlDataType="string"/>
    </xmlCellPr>
  </singleXmlCell>
  <singleXmlCell id="9248" r="J253" connectionId="9">
    <xmlCellPr id="1" uniqueName="ChosenExtras14">
      <xmlPr mapId="9" xpath="/character/EquipmentComponents/EqPowerComponent14/ChosenExtras14" xmlDataType="string"/>
    </xmlCellPr>
  </singleXmlCell>
  <singleXmlCell id="9249" r="J254" connectionId="9">
    <xmlCellPr id="1" uniqueName="ChosenFlaws14">
      <xmlPr mapId="9" xpath="/character/EquipmentComponents/EqPowerComponent14/ChosenFlaws14" xmlDataType="string"/>
    </xmlCellPr>
  </singleXmlCell>
  <singleXmlCell id="9250" r="J255" connectionId="9">
    <xmlCellPr id="1" uniqueName="ChosenFlats14">
      <xmlPr mapId="9" xpath="/character/EquipmentComponents/EqPowerComponent14/ChosenFlats14" xmlDataType="string"/>
    </xmlCellPr>
  </singleXmlCell>
  <singleXmlCell id="9251" r="AP242" connectionId="9">
    <xmlCellPr id="1" uniqueName="BaseCost14">
      <xmlPr mapId="9" xpath="/character/EquipmentComponents/EqPowerComponent14/BaseCost14" xmlDataType="string"/>
    </xmlCellPr>
  </singleXmlCell>
  <singleXmlCell id="9252" r="AP243" connectionId="9">
    <xmlCellPr id="1" uniqueName="Extras14">
      <xmlPr mapId="9" xpath="/character/EquipmentComponents/EqPowerComponent14/Extras14" xmlDataType="string"/>
    </xmlCellPr>
  </singleXmlCell>
  <singleXmlCell id="9253" r="AP244" connectionId="9">
    <xmlCellPr id="1" uniqueName="Flaws14">
      <xmlPr mapId="9" xpath="/character/EquipmentComponents/EqPowerComponent14/Flaws14" xmlDataType="string"/>
    </xmlCellPr>
  </singleXmlCell>
  <singleXmlCell id="9254" r="AP245" connectionId="9">
    <xmlCellPr id="1" uniqueName="Rank14">
      <xmlPr mapId="9" xpath="/character/EquipmentComponents/EqPowerComponent14/Rank14" xmlDataType="string"/>
    </xmlCellPr>
  </singleXmlCell>
  <singleXmlCell id="9255" r="AP246" connectionId="9">
    <xmlCellPr id="1" uniqueName="FlatModifiers14">
      <xmlPr mapId="9" xpath="/character/EquipmentComponents/EqPowerComponent14/FlatModifiers14" xmlDataType="string"/>
    </xmlCellPr>
  </singleXmlCell>
  <singleXmlCell id="9256" r="I259" connectionId="9">
    <xmlCellPr id="1" uniqueName="ComponentName15">
      <xmlPr mapId="9" xpath="/character/EquipmentComponents/EqPowerComponent15/ComponentName15" xmlDataType="string"/>
    </xmlCellPr>
  </singleXmlCell>
  <singleXmlCell id="9257" r="I260" connectionId="9">
    <xmlCellPr id="1" uniqueName="PowerEffect15">
      <xmlPr mapId="9" xpath="/character/EquipmentComponents/EqPowerComponent15/PowerEffect15" xmlDataType="string"/>
    </xmlCellPr>
  </singleXmlCell>
  <singleXmlCell id="9258" r="J269" connectionId="9">
    <xmlCellPr id="1" uniqueName="DescriptionModifier15">
      <xmlPr mapId="9" xpath="/character/EquipmentComponents/EqPowerComponent15/DescriptionModifier15" xmlDataType="string"/>
    </xmlCellPr>
  </singleXmlCell>
  <singleXmlCell id="9259" r="J270" connectionId="9">
    <xmlCellPr id="1" uniqueName="ChosenExtras15">
      <xmlPr mapId="9" xpath="/character/EquipmentComponents/EqPowerComponent15/ChosenExtras15" xmlDataType="string"/>
    </xmlCellPr>
  </singleXmlCell>
  <singleXmlCell id="9260" r="J271" connectionId="9">
    <xmlCellPr id="1" uniqueName="ChosenFlaws15">
      <xmlPr mapId="9" xpath="/character/EquipmentComponents/EqPowerComponent15/ChosenFlaws15" xmlDataType="string"/>
    </xmlCellPr>
  </singleXmlCell>
  <singleXmlCell id="9261" r="J272" connectionId="9">
    <xmlCellPr id="1" uniqueName="ChosenFlats15">
      <xmlPr mapId="9" xpath="/character/EquipmentComponents/EqPowerComponent15/ChosenFlats15" xmlDataType="string"/>
    </xmlCellPr>
  </singleXmlCell>
  <singleXmlCell id="9262" r="AP259" connectionId="9">
    <xmlCellPr id="1" uniqueName="BaseCost15">
      <xmlPr mapId="9" xpath="/character/EquipmentComponents/EqPowerComponent15/BaseCost15" xmlDataType="string"/>
    </xmlCellPr>
  </singleXmlCell>
  <singleXmlCell id="9263" r="AP260" connectionId="9">
    <xmlCellPr id="1" uniqueName="Extras15">
      <xmlPr mapId="9" xpath="/character/EquipmentComponents/EqPowerComponent15/Extras15" xmlDataType="string"/>
    </xmlCellPr>
  </singleXmlCell>
  <singleXmlCell id="9264" r="AP261" connectionId="9">
    <xmlCellPr id="1" uniqueName="Flaws15">
      <xmlPr mapId="9" xpath="/character/EquipmentComponents/EqPowerComponent15/Flaws15" xmlDataType="string"/>
    </xmlCellPr>
  </singleXmlCell>
  <singleXmlCell id="9265" r="AP262" connectionId="9">
    <xmlCellPr id="1" uniqueName="Rank15">
      <xmlPr mapId="9" xpath="/character/EquipmentComponents/EqPowerComponent15/Rank15" xmlDataType="string"/>
    </xmlCellPr>
  </singleXmlCell>
  <singleXmlCell id="9266" r="AP263" connectionId="9">
    <xmlCellPr id="1" uniqueName="FlatModifiers15">
      <xmlPr mapId="9" xpath="/character/EquipmentComponents/EqPowerComponent15/FlatModifiers15" xmlDataType="string"/>
    </xmlCellPr>
  </singleXmlCell>
  <singleXmlCell id="9267" r="I276" connectionId="9">
    <xmlCellPr id="1" uniqueName="ComponentName16">
      <xmlPr mapId="9" xpath="/character/EquipmentComponents/EqPowerComponent16/ComponentName16" xmlDataType="string"/>
    </xmlCellPr>
  </singleXmlCell>
  <singleXmlCell id="9268" r="I277" connectionId="9">
    <xmlCellPr id="1" uniqueName="PowerEffect16">
      <xmlPr mapId="9" xpath="/character/EquipmentComponents/EqPowerComponent16/PowerEffect16" xmlDataType="string"/>
    </xmlCellPr>
  </singleXmlCell>
  <singleXmlCell id="9269" r="J286" connectionId="9">
    <xmlCellPr id="1" uniqueName="DescriptionModifier16">
      <xmlPr mapId="9" xpath="/character/EquipmentComponents/EqPowerComponent16/DescriptionModifier16" xmlDataType="string"/>
    </xmlCellPr>
  </singleXmlCell>
  <singleXmlCell id="9270" r="J287" connectionId="9">
    <xmlCellPr id="1" uniqueName="ChosenExtras16">
      <xmlPr mapId="9" xpath="/character/EquipmentComponents/EqPowerComponent16/ChosenExtras16" xmlDataType="string"/>
    </xmlCellPr>
  </singleXmlCell>
  <singleXmlCell id="9271" r="J288" connectionId="9">
    <xmlCellPr id="1" uniqueName="ChosenFlaws16">
      <xmlPr mapId="9" xpath="/character/EquipmentComponents/EqPowerComponent16/ChosenFlaws16" xmlDataType="string"/>
    </xmlCellPr>
  </singleXmlCell>
  <singleXmlCell id="9272" r="J289" connectionId="9">
    <xmlCellPr id="1" uniqueName="ChosenFlats16">
      <xmlPr mapId="9" xpath="/character/EquipmentComponents/EqPowerComponent16/ChosenFlats16" xmlDataType="string"/>
    </xmlCellPr>
  </singleXmlCell>
  <singleXmlCell id="9273" r="AP276" connectionId="9">
    <xmlCellPr id="1" uniqueName="BaseCost16">
      <xmlPr mapId="9" xpath="/character/EquipmentComponents/EqPowerComponent16/BaseCost16" xmlDataType="string"/>
    </xmlCellPr>
  </singleXmlCell>
  <singleXmlCell id="9274" r="AP277" connectionId="9">
    <xmlCellPr id="1" uniqueName="Extras16">
      <xmlPr mapId="9" xpath="/character/EquipmentComponents/EqPowerComponent16/Extras16" xmlDataType="string"/>
    </xmlCellPr>
  </singleXmlCell>
  <singleXmlCell id="9275" r="AP278" connectionId="9">
    <xmlCellPr id="1" uniqueName="Flaws16">
      <xmlPr mapId="9" xpath="/character/EquipmentComponents/EqPowerComponent16/Flaws16" xmlDataType="string"/>
    </xmlCellPr>
  </singleXmlCell>
  <singleXmlCell id="9276" r="AP279" connectionId="9">
    <xmlCellPr id="1" uniqueName="Rank16">
      <xmlPr mapId="9" xpath="/character/EquipmentComponents/EqPowerComponent16/Rank16" xmlDataType="string"/>
    </xmlCellPr>
  </singleXmlCell>
  <singleXmlCell id="9277" r="AP280" connectionId="9">
    <xmlCellPr id="1" uniqueName="FlatModifiers16">
      <xmlPr mapId="9" xpath="/character/EquipmentComponents/EqPowerComponent16/FlatModifiers16" xmlDataType="string"/>
    </xmlCellPr>
  </singleXmlCell>
  <singleXmlCell id="9278" r="I293" connectionId="9">
    <xmlCellPr id="1" uniqueName="ComponentName17">
      <xmlPr mapId="9" xpath="/character/EquipmentComponents/EqPowerComponent17/ComponentName17" xmlDataType="string"/>
    </xmlCellPr>
  </singleXmlCell>
  <singleXmlCell id="9279" r="I294" connectionId="9">
    <xmlCellPr id="1" uniqueName="PowerEffect17">
      <xmlPr mapId="9" xpath="/character/EquipmentComponents/EqPowerComponent17/PowerEffect17" xmlDataType="string"/>
    </xmlCellPr>
  </singleXmlCell>
  <singleXmlCell id="9280" r="J303" connectionId="9">
    <xmlCellPr id="1" uniqueName="DescriptionModifier17">
      <xmlPr mapId="9" xpath="/character/EquipmentComponents/EqPowerComponent17/DescriptionModifier17" xmlDataType="string"/>
    </xmlCellPr>
  </singleXmlCell>
  <singleXmlCell id="9281" r="J304" connectionId="9">
    <xmlCellPr id="1" uniqueName="ChosenExtras17">
      <xmlPr mapId="9" xpath="/character/EquipmentComponents/EqPowerComponent17/ChosenExtras17" xmlDataType="string"/>
    </xmlCellPr>
  </singleXmlCell>
  <singleXmlCell id="9282" r="J305" connectionId="9">
    <xmlCellPr id="1" uniqueName="ChosenFlaws17">
      <xmlPr mapId="9" xpath="/character/EquipmentComponents/EqPowerComponent17/ChosenFlaws17" xmlDataType="string"/>
    </xmlCellPr>
  </singleXmlCell>
  <singleXmlCell id="9283" r="J306" connectionId="9">
    <xmlCellPr id="1" uniqueName="ChosenFlats17">
      <xmlPr mapId="9" xpath="/character/EquipmentComponents/EqPowerComponent17/ChosenFlats17" xmlDataType="string"/>
    </xmlCellPr>
  </singleXmlCell>
  <singleXmlCell id="9284" r="AP293" connectionId="9">
    <xmlCellPr id="1" uniqueName="BaseCost17">
      <xmlPr mapId="9" xpath="/character/EquipmentComponents/EqPowerComponent17/BaseCost17" xmlDataType="string"/>
    </xmlCellPr>
  </singleXmlCell>
  <singleXmlCell id="9285" r="AP294" connectionId="9">
    <xmlCellPr id="1" uniqueName="Extras17">
      <xmlPr mapId="9" xpath="/character/EquipmentComponents/EqPowerComponent17/Extras17" xmlDataType="string"/>
    </xmlCellPr>
  </singleXmlCell>
  <singleXmlCell id="9286" r="AP295" connectionId="9">
    <xmlCellPr id="1" uniqueName="Flaws17">
      <xmlPr mapId="9" xpath="/character/EquipmentComponents/EqPowerComponent17/Flaws17" xmlDataType="string"/>
    </xmlCellPr>
  </singleXmlCell>
  <singleXmlCell id="9287" r="AP296" connectionId="9">
    <xmlCellPr id="1" uniqueName="Rank17">
      <xmlPr mapId="9" xpath="/character/EquipmentComponents/EqPowerComponent17/Rank17" xmlDataType="string"/>
    </xmlCellPr>
  </singleXmlCell>
  <singleXmlCell id="9288" r="AP297" connectionId="9">
    <xmlCellPr id="1" uniqueName="FlatModifiers17">
      <xmlPr mapId="9" xpath="/character/EquipmentComponents/EqPowerComponent17/FlatModifiers17" xmlDataType="string"/>
    </xmlCellPr>
  </singleXmlCell>
  <singleXmlCell id="9289" r="I310" connectionId="9">
    <xmlCellPr id="1" uniqueName="ComponentName18">
      <xmlPr mapId="9" xpath="/character/EquipmentComponents/EqPowerComponent18/ComponentName18" xmlDataType="string"/>
    </xmlCellPr>
  </singleXmlCell>
  <singleXmlCell id="9290" r="I311" connectionId="9">
    <xmlCellPr id="1" uniqueName="PowerEffect18">
      <xmlPr mapId="9" xpath="/character/EquipmentComponents/EqPowerComponent18/PowerEffect18" xmlDataType="string"/>
    </xmlCellPr>
  </singleXmlCell>
  <singleXmlCell id="9291" r="J320" connectionId="9">
    <xmlCellPr id="1" uniqueName="DescriptionModifier18">
      <xmlPr mapId="9" xpath="/character/EquipmentComponents/EqPowerComponent18/DescriptionModifier18" xmlDataType="string"/>
    </xmlCellPr>
  </singleXmlCell>
  <singleXmlCell id="9292" r="J321" connectionId="9">
    <xmlCellPr id="1" uniqueName="ChosenExtras18">
      <xmlPr mapId="9" xpath="/character/EquipmentComponents/EqPowerComponent18/ChosenExtras18" xmlDataType="string"/>
    </xmlCellPr>
  </singleXmlCell>
  <singleXmlCell id="9293" r="J322" connectionId="9">
    <xmlCellPr id="1" uniqueName="ChosenFlaws18">
      <xmlPr mapId="9" xpath="/character/EquipmentComponents/EqPowerComponent18/ChosenFlaws18" xmlDataType="string"/>
    </xmlCellPr>
  </singleXmlCell>
  <singleXmlCell id="9294" r="J323" connectionId="9">
    <xmlCellPr id="1" uniqueName="ChosenFlats18">
      <xmlPr mapId="9" xpath="/character/EquipmentComponents/EqPowerComponent18/ChosenFlats18" xmlDataType="string"/>
    </xmlCellPr>
  </singleXmlCell>
  <singleXmlCell id="9295" r="AP310" connectionId="9">
    <xmlCellPr id="1" uniqueName="BaseCost18">
      <xmlPr mapId="9" xpath="/character/EquipmentComponents/EqPowerComponent18/BaseCost18" xmlDataType="string"/>
    </xmlCellPr>
  </singleXmlCell>
  <singleXmlCell id="9296" r="AP311" connectionId="9">
    <xmlCellPr id="1" uniqueName="Extras18">
      <xmlPr mapId="9" xpath="/character/EquipmentComponents/EqPowerComponent18/Extras18" xmlDataType="string"/>
    </xmlCellPr>
  </singleXmlCell>
  <singleXmlCell id="9297" r="AP312" connectionId="9">
    <xmlCellPr id="1" uniqueName="Flaws18">
      <xmlPr mapId="9" xpath="/character/EquipmentComponents/EqPowerComponent18/Flaws18" xmlDataType="string"/>
    </xmlCellPr>
  </singleXmlCell>
  <singleXmlCell id="9298" r="AP313" connectionId="9">
    <xmlCellPr id="1" uniqueName="Rank18">
      <xmlPr mapId="9" xpath="/character/EquipmentComponents/EqPowerComponent18/Rank18" xmlDataType="string"/>
    </xmlCellPr>
  </singleXmlCell>
  <singleXmlCell id="9299" r="AP314" connectionId="9">
    <xmlCellPr id="1" uniqueName="FlatModifiers18">
      <xmlPr mapId="9" xpath="/character/EquipmentComponents/EqPowerComponent18/FlatModifiers18" xmlDataType="string"/>
    </xmlCellPr>
  </singleXmlCell>
  <singleXmlCell id="9300" r="I327" connectionId="9">
    <xmlCellPr id="1" uniqueName="ComponentName19">
      <xmlPr mapId="9" xpath="/character/EquipmentComponents/EqPowerComponent19/ComponentName19" xmlDataType="string"/>
    </xmlCellPr>
  </singleXmlCell>
  <singleXmlCell id="9301" r="I328" connectionId="9">
    <xmlCellPr id="1" uniqueName="PowerEffect19">
      <xmlPr mapId="9" xpath="/character/EquipmentComponents/EqPowerComponent19/PowerEffect19" xmlDataType="string"/>
    </xmlCellPr>
  </singleXmlCell>
  <singleXmlCell id="9302" r="J337" connectionId="9">
    <xmlCellPr id="1" uniqueName="DescriptionModifier19">
      <xmlPr mapId="9" xpath="/character/EquipmentComponents/EqPowerComponent19/DescriptionModifier19" xmlDataType="string"/>
    </xmlCellPr>
  </singleXmlCell>
  <singleXmlCell id="9303" r="J338" connectionId="9">
    <xmlCellPr id="1" uniqueName="ChosenExtras19">
      <xmlPr mapId="9" xpath="/character/EquipmentComponents/EqPowerComponent19/ChosenExtras19" xmlDataType="string"/>
    </xmlCellPr>
  </singleXmlCell>
  <singleXmlCell id="9304" r="J339" connectionId="9">
    <xmlCellPr id="1" uniqueName="ChosenFlaws19">
      <xmlPr mapId="9" xpath="/character/EquipmentComponents/EqPowerComponent19/ChosenFlaws19" xmlDataType="string"/>
    </xmlCellPr>
  </singleXmlCell>
  <singleXmlCell id="9305" r="J340" connectionId="9">
    <xmlCellPr id="1" uniqueName="ChosenFlats19">
      <xmlPr mapId="9" xpath="/character/EquipmentComponents/EqPowerComponent19/ChosenFlats19" xmlDataType="string"/>
    </xmlCellPr>
  </singleXmlCell>
  <singleXmlCell id="9306" r="AP327" connectionId="9">
    <xmlCellPr id="1" uniqueName="BaseCost19">
      <xmlPr mapId="9" xpath="/character/EquipmentComponents/EqPowerComponent19/BaseCost19" xmlDataType="string"/>
    </xmlCellPr>
  </singleXmlCell>
  <singleXmlCell id="9307" r="AP328" connectionId="9">
    <xmlCellPr id="1" uniqueName="Extras19">
      <xmlPr mapId="9" xpath="/character/EquipmentComponents/EqPowerComponent19/Extras19" xmlDataType="string"/>
    </xmlCellPr>
  </singleXmlCell>
  <singleXmlCell id="9308" r="AP329" connectionId="9">
    <xmlCellPr id="1" uniqueName="Flaws19">
      <xmlPr mapId="9" xpath="/character/EquipmentComponents/EqPowerComponent19/Flaws19" xmlDataType="string"/>
    </xmlCellPr>
  </singleXmlCell>
  <singleXmlCell id="9309" r="AP330" connectionId="9">
    <xmlCellPr id="1" uniqueName="Rank19">
      <xmlPr mapId="9" xpath="/character/EquipmentComponents/EqPowerComponent19/Rank19" xmlDataType="string"/>
    </xmlCellPr>
  </singleXmlCell>
  <singleXmlCell id="9310" r="AP331" connectionId="9">
    <xmlCellPr id="1" uniqueName="FlatModifiers19">
      <xmlPr mapId="9" xpath="/character/EquipmentComponents/EqPowerComponent19/FlatModifiers19" xmlDataType="string"/>
    </xmlCellPr>
  </singleXmlCell>
  <singleXmlCell id="9311" r="I344" connectionId="9">
    <xmlCellPr id="1" uniqueName="ComponentName20">
      <xmlPr mapId="9" xpath="/character/EquipmentComponents/EqPowerComponent20/ComponentName20" xmlDataType="string"/>
    </xmlCellPr>
  </singleXmlCell>
  <singleXmlCell id="9312" r="I345" connectionId="9">
    <xmlCellPr id="1" uniqueName="PowerEffect20">
      <xmlPr mapId="9" xpath="/character/EquipmentComponents/EqPowerComponent20/PowerEffect20" xmlDataType="string"/>
    </xmlCellPr>
  </singleXmlCell>
  <singleXmlCell id="9313" r="J354" connectionId="9">
    <xmlCellPr id="1" uniqueName="DescriptionModifier20">
      <xmlPr mapId="9" xpath="/character/EquipmentComponents/EqPowerComponent20/DescriptionModifier20" xmlDataType="string"/>
    </xmlCellPr>
  </singleXmlCell>
  <singleXmlCell id="9314" r="J355" connectionId="9">
    <xmlCellPr id="1" uniqueName="ChosenExtras20">
      <xmlPr mapId="9" xpath="/character/EquipmentComponents/EqPowerComponent20/ChosenExtras20" xmlDataType="string"/>
    </xmlCellPr>
  </singleXmlCell>
  <singleXmlCell id="9315" r="J356" connectionId="9">
    <xmlCellPr id="1" uniqueName="ChosenFlaws20">
      <xmlPr mapId="9" xpath="/character/EquipmentComponents/EqPowerComponent20/ChosenFlaws20" xmlDataType="string"/>
    </xmlCellPr>
  </singleXmlCell>
  <singleXmlCell id="9316" r="J357" connectionId="9">
    <xmlCellPr id="1" uniqueName="ChosenFlats20">
      <xmlPr mapId="9" xpath="/character/EquipmentComponents/EqPowerComponent20/ChosenFlats20" xmlDataType="string"/>
    </xmlCellPr>
  </singleXmlCell>
  <singleXmlCell id="9317" r="AP344" connectionId="9">
    <xmlCellPr id="1" uniqueName="BaseCost20">
      <xmlPr mapId="9" xpath="/character/EquipmentComponents/EqPowerComponent20/BaseCost20" xmlDataType="string"/>
    </xmlCellPr>
  </singleXmlCell>
  <singleXmlCell id="9318" r="AP345" connectionId="9">
    <xmlCellPr id="1" uniqueName="Extras20">
      <xmlPr mapId="9" xpath="/character/EquipmentComponents/EqPowerComponent20/Extras20" xmlDataType="string"/>
    </xmlCellPr>
  </singleXmlCell>
  <singleXmlCell id="9319" r="AP346" connectionId="9">
    <xmlCellPr id="1" uniqueName="Flaws20">
      <xmlPr mapId="9" xpath="/character/EquipmentComponents/EqPowerComponent20/Flaws20" xmlDataType="string"/>
    </xmlCellPr>
  </singleXmlCell>
  <singleXmlCell id="9320" r="AP347" connectionId="9">
    <xmlCellPr id="1" uniqueName="Rank20">
      <xmlPr mapId="9" xpath="/character/EquipmentComponents/EqPowerComponent20/Rank20" xmlDataType="string"/>
    </xmlCellPr>
  </singleXmlCell>
  <singleXmlCell id="9321" r="AP348" connectionId="9">
    <xmlCellPr id="1" uniqueName="FlatModifiers20">
      <xmlPr mapId="9" xpath="/character/EquipmentComponents/EqPowerComponent20/FlatModifiers20" xmlDataType="string"/>
    </xmlCellPr>
  </singleXmlCell>
</singleXmlCells>
</file>

<file path=xl/tables/tableSingleCells8.xml><?xml version="1.0" encoding="utf-8"?>
<singleXmlCells xmlns="http://schemas.openxmlformats.org/spreadsheetml/2006/main">
  <singleXmlCell id="9322" r="H14" connectionId="9">
    <xmlCellPr id="1" uniqueName="Powername1_1">
      <xmlPr mapId="9" xpath="/character/Equipment/Equipment1/Powername1_1" xmlDataType="string"/>
    </xmlCellPr>
  </singleXmlCell>
  <singleXmlCell id="9323" r="H15" connectionId="9">
    <xmlCellPr id="1" uniqueName="Component1_1">
      <xmlPr mapId="9" xpath="/character/Equipment/Equipment1/Component1_1" xmlDataType="string"/>
    </xmlCellPr>
  </singleXmlCell>
  <singleXmlCell id="9324" r="H16" connectionId="9">
    <xmlCellPr id="1" uniqueName="Component1_2">
      <xmlPr mapId="9" xpath="/character/Equipment/Equipment1/Component1_2" xmlDataType="string"/>
    </xmlCellPr>
  </singleXmlCell>
  <singleXmlCell id="9325" r="H17" connectionId="9">
    <xmlCellPr id="1" uniqueName="Component1_3">
      <xmlPr mapId="9" xpath="/character/Equipment/Equipment1/Component1_3" xmlDataType="string"/>
    </xmlCellPr>
  </singleXmlCell>
  <singleXmlCell id="9326" r="H18" connectionId="9">
    <xmlCellPr id="1" uniqueName="Component1_4">
      <xmlPr mapId="9" xpath="/character/Equipment/Equipment1/Component1_4" xmlDataType="string"/>
    </xmlCellPr>
  </singleXmlCell>
  <singleXmlCell id="9327" r="H19" connectionId="9">
    <xmlCellPr id="1" uniqueName="Component1_5">
      <xmlPr mapId="9" xpath="/character/Equipment/Equipment1/Component1_5" xmlDataType="string"/>
    </xmlCellPr>
  </singleXmlCell>
  <singleXmlCell id="9328" r="H20" connectionId="9">
    <xmlCellPr id="1" uniqueName="Component1_6">
      <xmlPr mapId="9" xpath="/character/Equipment/Equipment1/Component1_6" xmlDataType="string"/>
    </xmlCellPr>
  </singleXmlCell>
  <singleXmlCell id="9329" r="H21" connectionId="9">
    <xmlCellPr id="1" uniqueName="Component1_7">
      <xmlPr mapId="9" xpath="/character/Equipment/Equipment1/Component1_7" xmlDataType="string"/>
    </xmlCellPr>
  </singleXmlCell>
  <singleXmlCell id="9330" r="H22" connectionId="9">
    <xmlCellPr id="1" uniqueName="Component1_8">
      <xmlPr mapId="9" xpath="/character/Equipment/Equipment1/Component1_8" xmlDataType="string"/>
    </xmlCellPr>
  </singleXmlCell>
  <singleXmlCell id="9331" r="H23" connectionId="9">
    <xmlCellPr id="1" uniqueName="Component1_9">
      <xmlPr mapId="9" xpath="/character/Equipment/Equipment1/Component1_9" xmlDataType="string"/>
    </xmlCellPr>
  </singleXmlCell>
  <singleXmlCell id="9332" r="H24" connectionId="9">
    <xmlCellPr id="1" uniqueName="Component1_10">
      <xmlPr mapId="9" xpath="/character/Equipment/Equipment1/Component1_10" xmlDataType="string"/>
    </xmlCellPr>
  </singleXmlCell>
  <singleXmlCell id="9333" r="S15" connectionId="9">
    <xmlCellPr id="1" uniqueName="ComponentType1_1">
      <xmlPr mapId="9" xpath="/character/Equipment/Equipment1/ComponentType1_1" xmlDataType="string"/>
    </xmlCellPr>
  </singleXmlCell>
  <singleXmlCell id="9334" r="S16" connectionId="9">
    <xmlCellPr id="1" uniqueName="ComponentType1_2">
      <xmlPr mapId="9" xpath="/character/Equipment/Equipment1/ComponentType1_2" xmlDataType="string"/>
    </xmlCellPr>
  </singleXmlCell>
  <singleXmlCell id="9335" r="S17" connectionId="9">
    <xmlCellPr id="1" uniqueName="ComponentType1_3">
      <xmlPr mapId="9" xpath="/character/Equipment/Equipment1/ComponentType1_3" xmlDataType="string"/>
    </xmlCellPr>
  </singleXmlCell>
  <singleXmlCell id="9336" r="S18" connectionId="9">
    <xmlCellPr id="1" uniqueName="ComponentType1_4">
      <xmlPr mapId="9" xpath="/character/Equipment/Equipment1/ComponentType1_4" xmlDataType="string"/>
    </xmlCellPr>
  </singleXmlCell>
  <singleXmlCell id="9337" r="S19" connectionId="9">
    <xmlCellPr id="1" uniqueName="ComponentType1_5">
      <xmlPr mapId="9" xpath="/character/Equipment/Equipment1/ComponentType1_5" xmlDataType="string"/>
    </xmlCellPr>
  </singleXmlCell>
  <singleXmlCell id="9338" r="S20" connectionId="9">
    <xmlCellPr id="1" uniqueName="ComponentType1_6">
      <xmlPr mapId="9" xpath="/character/Equipment/Equipment1/ComponentType1_6" xmlDataType="string"/>
    </xmlCellPr>
  </singleXmlCell>
  <singleXmlCell id="9339" r="S21" connectionId="9">
    <xmlCellPr id="1" uniqueName="ComponentType1_7">
      <xmlPr mapId="9" xpath="/character/Equipment/Equipment1/ComponentType1_7" xmlDataType="string"/>
    </xmlCellPr>
  </singleXmlCell>
  <singleXmlCell id="9340" r="S22" connectionId="9">
    <xmlCellPr id="1" uniqueName="ComponentType1_8">
      <xmlPr mapId="9" xpath="/character/Equipment/Equipment1/ComponentType1_8" xmlDataType="string"/>
    </xmlCellPr>
  </singleXmlCell>
  <singleXmlCell id="9341" r="S23" connectionId="9">
    <xmlCellPr id="1" uniqueName="ComponentType1_9">
      <xmlPr mapId="9" xpath="/character/Equipment/Equipment1/ComponentType1_9" xmlDataType="string"/>
    </xmlCellPr>
  </singleXmlCell>
  <singleXmlCell id="9342" r="S24" connectionId="9">
    <xmlCellPr id="1" uniqueName="ComponentType1_10">
      <xmlPr mapId="9" xpath="/character/Equipment/Equipment1/ComponentType1_10" xmlDataType="string"/>
    </xmlCellPr>
  </singleXmlCell>
  <singleXmlCell id="9343" r="H26" connectionId="9">
    <xmlCellPr id="1" uniqueName="PowerDescription1">
      <xmlPr mapId="9" xpath="/character/Equipment/Equipment1/PowerDescription1" xmlDataType="string"/>
    </xmlCellPr>
  </singleXmlCell>
  <singleXmlCell id="9344" r="H31" connectionId="9">
    <xmlCellPr id="1" uniqueName="Powername2_1">
      <xmlPr mapId="9" xpath="/character/Equipment/Equipment2/Powername2_1" xmlDataType="string"/>
    </xmlCellPr>
  </singleXmlCell>
  <singleXmlCell id="9345" r="H32" connectionId="9">
    <xmlCellPr id="1" uniqueName="Component2_1">
      <xmlPr mapId="9" xpath="/character/Equipment/Equipment2/Component2_1" xmlDataType="string"/>
    </xmlCellPr>
  </singleXmlCell>
  <singleXmlCell id="9346" r="H33" connectionId="9">
    <xmlCellPr id="1" uniqueName="Component2_2">
      <xmlPr mapId="9" xpath="/character/Equipment/Equipment2/Component2_2" xmlDataType="string"/>
    </xmlCellPr>
  </singleXmlCell>
  <singleXmlCell id="9347" r="H34" connectionId="9">
    <xmlCellPr id="1" uniqueName="Component2_3">
      <xmlPr mapId="9" xpath="/character/Equipment/Equipment2/Component2_3" xmlDataType="string"/>
    </xmlCellPr>
  </singleXmlCell>
  <singleXmlCell id="9348" r="H35" connectionId="9">
    <xmlCellPr id="1" uniqueName="Component2_4">
      <xmlPr mapId="9" xpath="/character/Equipment/Equipment2/Component2_4" xmlDataType="string"/>
    </xmlCellPr>
  </singleXmlCell>
  <singleXmlCell id="9349" r="H36" connectionId="9">
    <xmlCellPr id="1" uniqueName="Component2_5">
      <xmlPr mapId="9" xpath="/character/Equipment/Equipment2/Component2_5" xmlDataType="string"/>
    </xmlCellPr>
  </singleXmlCell>
  <singleXmlCell id="9350" r="H37" connectionId="9">
    <xmlCellPr id="1" uniqueName="Component2_6">
      <xmlPr mapId="9" xpath="/character/Equipment/Equipment2/Component2_6" xmlDataType="string"/>
    </xmlCellPr>
  </singleXmlCell>
  <singleXmlCell id="9351" r="H38" connectionId="9">
    <xmlCellPr id="1" uniqueName="Component2_7">
      <xmlPr mapId="9" xpath="/character/Equipment/Equipment2/Component2_7" xmlDataType="string"/>
    </xmlCellPr>
  </singleXmlCell>
  <singleXmlCell id="9352" r="H39" connectionId="9">
    <xmlCellPr id="1" uniqueName="Component2_8">
      <xmlPr mapId="9" xpath="/character/Equipment/Equipment2/Component2_8" xmlDataType="string"/>
    </xmlCellPr>
  </singleXmlCell>
  <singleXmlCell id="9353" r="H40" connectionId="9">
    <xmlCellPr id="1" uniqueName="Component2_9">
      <xmlPr mapId="9" xpath="/character/Equipment/Equipment2/Component2_9" xmlDataType="string"/>
    </xmlCellPr>
  </singleXmlCell>
  <singleXmlCell id="9354" r="H41" connectionId="9">
    <xmlCellPr id="1" uniqueName="Component2_10">
      <xmlPr mapId="9" xpath="/character/Equipment/Equipment2/Component2_10" xmlDataType="string"/>
    </xmlCellPr>
  </singleXmlCell>
  <singleXmlCell id="9355" r="S32" connectionId="9">
    <xmlCellPr id="1" uniqueName="ComponentType2_1">
      <xmlPr mapId="9" xpath="/character/Equipment/Equipment2/ComponentType2_1" xmlDataType="string"/>
    </xmlCellPr>
  </singleXmlCell>
  <singleXmlCell id="9356" r="S33" connectionId="9">
    <xmlCellPr id="1" uniqueName="ComponentType2_2">
      <xmlPr mapId="9" xpath="/character/Equipment/Equipment2/ComponentType2_2" xmlDataType="string"/>
    </xmlCellPr>
  </singleXmlCell>
  <singleXmlCell id="9357" r="S34" connectionId="9">
    <xmlCellPr id="1" uniqueName="ComponentType2_3">
      <xmlPr mapId="9" xpath="/character/Equipment/Equipment2/ComponentType2_3" xmlDataType="string"/>
    </xmlCellPr>
  </singleXmlCell>
  <singleXmlCell id="9358" r="S35" connectionId="9">
    <xmlCellPr id="1" uniqueName="ComponentType2_4">
      <xmlPr mapId="9" xpath="/character/Equipment/Equipment2/ComponentType2_4" xmlDataType="string"/>
    </xmlCellPr>
  </singleXmlCell>
  <singleXmlCell id="9359" r="S36" connectionId="9">
    <xmlCellPr id="1" uniqueName="ComponentType2_5">
      <xmlPr mapId="9" xpath="/character/Equipment/Equipment2/ComponentType2_5" xmlDataType="string"/>
    </xmlCellPr>
  </singleXmlCell>
  <singleXmlCell id="9360" r="S37" connectionId="9">
    <xmlCellPr id="1" uniqueName="ComponentType2_6">
      <xmlPr mapId="9" xpath="/character/Equipment/Equipment2/ComponentType2_6" xmlDataType="string"/>
    </xmlCellPr>
  </singleXmlCell>
  <singleXmlCell id="9361" r="S38" connectionId="9">
    <xmlCellPr id="1" uniqueName="ComponentType2_7">
      <xmlPr mapId="9" xpath="/character/Equipment/Equipment2/ComponentType2_7" xmlDataType="string"/>
    </xmlCellPr>
  </singleXmlCell>
  <singleXmlCell id="9362" r="S39" connectionId="9">
    <xmlCellPr id="1" uniqueName="ComponentType2_8">
      <xmlPr mapId="9" xpath="/character/Equipment/Equipment2/ComponentType2_8" xmlDataType="string"/>
    </xmlCellPr>
  </singleXmlCell>
  <singleXmlCell id="9363" r="S40" connectionId="9">
    <xmlCellPr id="1" uniqueName="ComponentType2_9">
      <xmlPr mapId="9" xpath="/character/Equipment/Equipment2/ComponentType2_9" xmlDataType="string"/>
    </xmlCellPr>
  </singleXmlCell>
  <singleXmlCell id="9364" r="S41" connectionId="9">
    <xmlCellPr id="1" uniqueName="ComponentType2_10">
      <xmlPr mapId="9" xpath="/character/Equipment/Equipment2/ComponentType2_10" xmlDataType="string"/>
    </xmlCellPr>
  </singleXmlCell>
  <singleXmlCell id="9365" r="H43" connectionId="9">
    <xmlCellPr id="1" uniqueName="PowerDescription2">
      <xmlPr mapId="9" xpath="/character/Equipment/Equipment2/PowerDescription2" xmlDataType="string"/>
    </xmlCellPr>
  </singleXmlCell>
  <singleXmlCell id="9366" r="H48" connectionId="9">
    <xmlCellPr id="1" uniqueName="Powername3_1">
      <xmlPr mapId="9" xpath="/character/Equipment/Equipment3/Powername3_1" xmlDataType="string"/>
    </xmlCellPr>
  </singleXmlCell>
  <singleXmlCell id="9367" r="H49" connectionId="9">
    <xmlCellPr id="1" uniqueName="Component3_1">
      <xmlPr mapId="9" xpath="/character/Equipment/Equipment3/Component3_1" xmlDataType="string"/>
    </xmlCellPr>
  </singleXmlCell>
  <singleXmlCell id="9368" r="H50" connectionId="9">
    <xmlCellPr id="1" uniqueName="Component3_2">
      <xmlPr mapId="9" xpath="/character/Equipment/Equipment3/Component3_2" xmlDataType="string"/>
    </xmlCellPr>
  </singleXmlCell>
  <singleXmlCell id="9369" r="H51" connectionId="9">
    <xmlCellPr id="1" uniqueName="Component3_3">
      <xmlPr mapId="9" xpath="/character/Equipment/Equipment3/Component3_3" xmlDataType="string"/>
    </xmlCellPr>
  </singleXmlCell>
  <singleXmlCell id="9370" r="H52" connectionId="9">
    <xmlCellPr id="1" uniqueName="Component3_4">
      <xmlPr mapId="9" xpath="/character/Equipment/Equipment3/Component3_4" xmlDataType="string"/>
    </xmlCellPr>
  </singleXmlCell>
  <singleXmlCell id="9371" r="H53" connectionId="9">
    <xmlCellPr id="1" uniqueName="Component3_5">
      <xmlPr mapId="9" xpath="/character/Equipment/Equipment3/Component3_5" xmlDataType="string"/>
    </xmlCellPr>
  </singleXmlCell>
  <singleXmlCell id="9372" r="H54" connectionId="9">
    <xmlCellPr id="1" uniqueName="Component3_6">
      <xmlPr mapId="9" xpath="/character/Equipment/Equipment3/Component3_6" xmlDataType="string"/>
    </xmlCellPr>
  </singleXmlCell>
  <singleXmlCell id="9373" r="H55" connectionId="9">
    <xmlCellPr id="1" uniqueName="Component3_7">
      <xmlPr mapId="9" xpath="/character/Equipment/Equipment3/Component3_7" xmlDataType="string"/>
    </xmlCellPr>
  </singleXmlCell>
  <singleXmlCell id="9374" r="H56" connectionId="9">
    <xmlCellPr id="1" uniqueName="Component3_8">
      <xmlPr mapId="9" xpath="/character/Equipment/Equipment3/Component3_8" xmlDataType="string"/>
    </xmlCellPr>
  </singleXmlCell>
  <singleXmlCell id="9375" r="H57" connectionId="9">
    <xmlCellPr id="1" uniqueName="Component3_9">
      <xmlPr mapId="9" xpath="/character/Equipment/Equipment3/Component3_9" xmlDataType="string"/>
    </xmlCellPr>
  </singleXmlCell>
  <singleXmlCell id="9376" r="H58" connectionId="9">
    <xmlCellPr id="1" uniqueName="Component3_10">
      <xmlPr mapId="9" xpath="/character/Equipment/Equipment3/Component3_10" xmlDataType="string"/>
    </xmlCellPr>
  </singleXmlCell>
  <singleXmlCell id="9377" r="S49" connectionId="9">
    <xmlCellPr id="1" uniqueName="ComponentType3_1">
      <xmlPr mapId="9" xpath="/character/Equipment/Equipment3/ComponentType3_1" xmlDataType="string"/>
    </xmlCellPr>
  </singleXmlCell>
  <singleXmlCell id="9378" r="S50" connectionId="9">
    <xmlCellPr id="1" uniqueName="ComponentType3_2">
      <xmlPr mapId="9" xpath="/character/Equipment/Equipment3/ComponentType3_2" xmlDataType="string"/>
    </xmlCellPr>
  </singleXmlCell>
  <singleXmlCell id="9379" r="S51" connectionId="9">
    <xmlCellPr id="1" uniqueName="ComponentType3_3">
      <xmlPr mapId="9" xpath="/character/Equipment/Equipment3/ComponentType3_3" xmlDataType="string"/>
    </xmlCellPr>
  </singleXmlCell>
  <singleXmlCell id="9380" r="S52" connectionId="9">
    <xmlCellPr id="1" uniqueName="ComponentType3_4">
      <xmlPr mapId="9" xpath="/character/Equipment/Equipment3/ComponentType3_4" xmlDataType="string"/>
    </xmlCellPr>
  </singleXmlCell>
  <singleXmlCell id="9381" r="S53" connectionId="9">
    <xmlCellPr id="1" uniqueName="ComponentType3_5">
      <xmlPr mapId="9" xpath="/character/Equipment/Equipment3/ComponentType3_5" xmlDataType="string"/>
    </xmlCellPr>
  </singleXmlCell>
  <singleXmlCell id="9382" r="S54" connectionId="9">
    <xmlCellPr id="1" uniqueName="ComponentType3_6">
      <xmlPr mapId="9" xpath="/character/Equipment/Equipment3/ComponentType3_6" xmlDataType="string"/>
    </xmlCellPr>
  </singleXmlCell>
  <singleXmlCell id="9383" r="S55" connectionId="9">
    <xmlCellPr id="1" uniqueName="ComponentType3_7">
      <xmlPr mapId="9" xpath="/character/Equipment/Equipment3/ComponentType3_7" xmlDataType="string"/>
    </xmlCellPr>
  </singleXmlCell>
  <singleXmlCell id="9384" r="S56" connectionId="9">
    <xmlCellPr id="1" uniqueName="ComponentType3_8">
      <xmlPr mapId="9" xpath="/character/Equipment/Equipment3/ComponentType3_8" xmlDataType="string"/>
    </xmlCellPr>
  </singleXmlCell>
  <singleXmlCell id="9385" r="S57" connectionId="9">
    <xmlCellPr id="1" uniqueName="ComponentType3_9">
      <xmlPr mapId="9" xpath="/character/Equipment/Equipment3/ComponentType3_9" xmlDataType="string"/>
    </xmlCellPr>
  </singleXmlCell>
  <singleXmlCell id="9386" r="S58" connectionId="9">
    <xmlCellPr id="1" uniqueName="ComponentType3_10">
      <xmlPr mapId="9" xpath="/character/Equipment/Equipment3/ComponentType3_10" xmlDataType="string"/>
    </xmlCellPr>
  </singleXmlCell>
  <singleXmlCell id="9387" r="H60" connectionId="9">
    <xmlCellPr id="1" uniqueName="PowerDescription3">
      <xmlPr mapId="9" xpath="/character/Equipment/Equipment3/PowerDescription3" xmlDataType="string"/>
    </xmlCellPr>
  </singleXmlCell>
  <singleXmlCell id="9388" r="H65" connectionId="9">
    <xmlCellPr id="1" uniqueName="Powername4_1">
      <xmlPr mapId="9" xpath="/character/Equipment/Equipment4/Powername4_1" xmlDataType="string"/>
    </xmlCellPr>
  </singleXmlCell>
  <singleXmlCell id="9389" r="H66" connectionId="9">
    <xmlCellPr id="1" uniqueName="Component4_1">
      <xmlPr mapId="9" xpath="/character/Equipment/Equipment4/Component4_1" xmlDataType="string"/>
    </xmlCellPr>
  </singleXmlCell>
  <singleXmlCell id="9390" r="H67" connectionId="9">
    <xmlCellPr id="1" uniqueName="Component4_2">
      <xmlPr mapId="9" xpath="/character/Equipment/Equipment4/Component4_2" xmlDataType="string"/>
    </xmlCellPr>
  </singleXmlCell>
  <singleXmlCell id="9391" r="H68" connectionId="9">
    <xmlCellPr id="1" uniqueName="Component4_3">
      <xmlPr mapId="9" xpath="/character/Equipment/Equipment4/Component4_3" xmlDataType="string"/>
    </xmlCellPr>
  </singleXmlCell>
  <singleXmlCell id="9392" r="H69" connectionId="9">
    <xmlCellPr id="1" uniqueName="Component4_4">
      <xmlPr mapId="9" xpath="/character/Equipment/Equipment4/Component4_4" xmlDataType="string"/>
    </xmlCellPr>
  </singleXmlCell>
  <singleXmlCell id="9393" r="H70" connectionId="9">
    <xmlCellPr id="1" uniqueName="Component4_5">
      <xmlPr mapId="9" xpath="/character/Equipment/Equipment4/Component4_5" xmlDataType="string"/>
    </xmlCellPr>
  </singleXmlCell>
  <singleXmlCell id="9394" r="H71" connectionId="9">
    <xmlCellPr id="1" uniqueName="Component4_6">
      <xmlPr mapId="9" xpath="/character/Equipment/Equipment4/Component4_6" xmlDataType="string"/>
    </xmlCellPr>
  </singleXmlCell>
  <singleXmlCell id="9395" r="H72" connectionId="9">
    <xmlCellPr id="1" uniqueName="Component4_7">
      <xmlPr mapId="9" xpath="/character/Equipment/Equipment4/Component4_7" xmlDataType="string"/>
    </xmlCellPr>
  </singleXmlCell>
  <singleXmlCell id="9396" r="H73" connectionId="9">
    <xmlCellPr id="1" uniqueName="Component4_8">
      <xmlPr mapId="9" xpath="/character/Equipment/Equipment4/Component4_8" xmlDataType="string"/>
    </xmlCellPr>
  </singleXmlCell>
  <singleXmlCell id="9397" r="H74" connectionId="9">
    <xmlCellPr id="1" uniqueName="Component4_9">
      <xmlPr mapId="9" xpath="/character/Equipment/Equipment4/Component4_9" xmlDataType="string"/>
    </xmlCellPr>
  </singleXmlCell>
  <singleXmlCell id="9398" r="H75" connectionId="9">
    <xmlCellPr id="1" uniqueName="Component4_10">
      <xmlPr mapId="9" xpath="/character/Equipment/Equipment4/Component4_10" xmlDataType="string"/>
    </xmlCellPr>
  </singleXmlCell>
  <singleXmlCell id="9399" r="S66" connectionId="9">
    <xmlCellPr id="1" uniqueName="ComponentType4_1">
      <xmlPr mapId="9" xpath="/character/Equipment/Equipment4/ComponentType4_1" xmlDataType="string"/>
    </xmlCellPr>
  </singleXmlCell>
  <singleXmlCell id="9400" r="S67" connectionId="9">
    <xmlCellPr id="1" uniqueName="ComponentType4_2">
      <xmlPr mapId="9" xpath="/character/Equipment/Equipment4/ComponentType4_2" xmlDataType="string"/>
    </xmlCellPr>
  </singleXmlCell>
  <singleXmlCell id="9401" r="S68" connectionId="9">
    <xmlCellPr id="1" uniqueName="ComponentType4_3">
      <xmlPr mapId="9" xpath="/character/Equipment/Equipment4/ComponentType4_3" xmlDataType="string"/>
    </xmlCellPr>
  </singleXmlCell>
  <singleXmlCell id="9402" r="S69" connectionId="9">
    <xmlCellPr id="1" uniqueName="ComponentType4_4">
      <xmlPr mapId="9" xpath="/character/Equipment/Equipment4/ComponentType4_4" xmlDataType="string"/>
    </xmlCellPr>
  </singleXmlCell>
  <singleXmlCell id="9403" r="S70" connectionId="9">
    <xmlCellPr id="1" uniqueName="ComponentType4_5">
      <xmlPr mapId="9" xpath="/character/Equipment/Equipment4/ComponentType4_5" xmlDataType="string"/>
    </xmlCellPr>
  </singleXmlCell>
  <singleXmlCell id="9404" r="S71" connectionId="9">
    <xmlCellPr id="1" uniqueName="ComponentType4_6">
      <xmlPr mapId="9" xpath="/character/Equipment/Equipment4/ComponentType4_6" xmlDataType="string"/>
    </xmlCellPr>
  </singleXmlCell>
  <singleXmlCell id="9405" r="S72" connectionId="9">
    <xmlCellPr id="1" uniqueName="ComponentType4_7">
      <xmlPr mapId="9" xpath="/character/Equipment/Equipment4/ComponentType4_7" xmlDataType="string"/>
    </xmlCellPr>
  </singleXmlCell>
  <singleXmlCell id="9406" r="S73" connectionId="9">
    <xmlCellPr id="1" uniqueName="ComponentType4_8">
      <xmlPr mapId="9" xpath="/character/Equipment/Equipment4/ComponentType4_8" xmlDataType="string"/>
    </xmlCellPr>
  </singleXmlCell>
  <singleXmlCell id="9407" r="S74" connectionId="9">
    <xmlCellPr id="1" uniqueName="ComponentType4_9">
      <xmlPr mapId="9" xpath="/character/Equipment/Equipment4/ComponentType4_9" xmlDataType="string"/>
    </xmlCellPr>
  </singleXmlCell>
  <singleXmlCell id="9408" r="S75" connectionId="9">
    <xmlCellPr id="1" uniqueName="ComponentType4_10">
      <xmlPr mapId="9" xpath="/character/Equipment/Equipment4/ComponentType4_10" xmlDataType="string"/>
    </xmlCellPr>
  </singleXmlCell>
  <singleXmlCell id="9409" r="H77" connectionId="9">
    <xmlCellPr id="1" uniqueName="PowerDescription4">
      <xmlPr mapId="9" xpath="/character/Equipment/Equipment4/PowerDescription4" xmlDataType="string"/>
    </xmlCellPr>
  </singleXmlCell>
  <singleXmlCell id="9410" r="H82" connectionId="9">
    <xmlCellPr id="1" uniqueName="Powername5_1">
      <xmlPr mapId="9" xpath="/character/Equipment/Equipment5/Powername5_1" xmlDataType="string"/>
    </xmlCellPr>
  </singleXmlCell>
  <singleXmlCell id="9411" r="H83" connectionId="9">
    <xmlCellPr id="1" uniqueName="Component5_1">
      <xmlPr mapId="9" xpath="/character/Equipment/Equipment5/Component5_1" xmlDataType="string"/>
    </xmlCellPr>
  </singleXmlCell>
  <singleXmlCell id="9412" r="H84" connectionId="9">
    <xmlCellPr id="1" uniqueName="Component5_2">
      <xmlPr mapId="9" xpath="/character/Equipment/Equipment5/Component5_2" xmlDataType="string"/>
    </xmlCellPr>
  </singleXmlCell>
  <singleXmlCell id="9413" r="H85" connectionId="9">
    <xmlCellPr id="1" uniqueName="Component5_3">
      <xmlPr mapId="9" xpath="/character/Equipment/Equipment5/Component5_3" xmlDataType="string"/>
    </xmlCellPr>
  </singleXmlCell>
  <singleXmlCell id="9414" r="H86" connectionId="9">
    <xmlCellPr id="1" uniqueName="Component5_4">
      <xmlPr mapId="9" xpath="/character/Equipment/Equipment5/Component5_4" xmlDataType="string"/>
    </xmlCellPr>
  </singleXmlCell>
  <singleXmlCell id="9415" r="H87" connectionId="9">
    <xmlCellPr id="1" uniqueName="Component5_5">
      <xmlPr mapId="9" xpath="/character/Equipment/Equipment5/Component5_5" xmlDataType="string"/>
    </xmlCellPr>
  </singleXmlCell>
  <singleXmlCell id="9416" r="H88" connectionId="9">
    <xmlCellPr id="1" uniqueName="Component5_6">
      <xmlPr mapId="9" xpath="/character/Equipment/Equipment5/Component5_6" xmlDataType="string"/>
    </xmlCellPr>
  </singleXmlCell>
  <singleXmlCell id="9417" r="H89" connectionId="9">
    <xmlCellPr id="1" uniqueName="Component5_7">
      <xmlPr mapId="9" xpath="/character/Equipment/Equipment5/Component5_7" xmlDataType="string"/>
    </xmlCellPr>
  </singleXmlCell>
  <singleXmlCell id="9418" r="H90" connectionId="9">
    <xmlCellPr id="1" uniqueName="Component5_8">
      <xmlPr mapId="9" xpath="/character/Equipment/Equipment5/Component5_8" xmlDataType="string"/>
    </xmlCellPr>
  </singleXmlCell>
  <singleXmlCell id="9419" r="H91" connectionId="9">
    <xmlCellPr id="1" uniqueName="Component5_9">
      <xmlPr mapId="9" xpath="/character/Equipment/Equipment5/Component5_9" xmlDataType="string"/>
    </xmlCellPr>
  </singleXmlCell>
  <singleXmlCell id="9420" r="H92" connectionId="9">
    <xmlCellPr id="1" uniqueName="Component5_10">
      <xmlPr mapId="9" xpath="/character/Equipment/Equipment5/Component5_10" xmlDataType="string"/>
    </xmlCellPr>
  </singleXmlCell>
  <singleXmlCell id="9421" r="S83" connectionId="9">
    <xmlCellPr id="1" uniqueName="ComponentType5_1">
      <xmlPr mapId="9" xpath="/character/Equipment/Equipment5/ComponentType5_1" xmlDataType="string"/>
    </xmlCellPr>
  </singleXmlCell>
  <singleXmlCell id="9422" r="S84" connectionId="9">
    <xmlCellPr id="1" uniqueName="ComponentType5_2">
      <xmlPr mapId="9" xpath="/character/Equipment/Equipment5/ComponentType5_2" xmlDataType="string"/>
    </xmlCellPr>
  </singleXmlCell>
  <singleXmlCell id="9423" r="S85" connectionId="9">
    <xmlCellPr id="1" uniqueName="ComponentType5_3">
      <xmlPr mapId="9" xpath="/character/Equipment/Equipment5/ComponentType5_3" xmlDataType="string"/>
    </xmlCellPr>
  </singleXmlCell>
  <singleXmlCell id="9424" r="S86" connectionId="9">
    <xmlCellPr id="1" uniqueName="ComponentType5_4">
      <xmlPr mapId="9" xpath="/character/Equipment/Equipment5/ComponentType5_4" xmlDataType="string"/>
    </xmlCellPr>
  </singleXmlCell>
  <singleXmlCell id="9425" r="S87" connectionId="9">
    <xmlCellPr id="1" uniqueName="ComponentType5_5">
      <xmlPr mapId="9" xpath="/character/Equipment/Equipment5/ComponentType5_5" xmlDataType="string"/>
    </xmlCellPr>
  </singleXmlCell>
  <singleXmlCell id="9426" r="S88" connectionId="9">
    <xmlCellPr id="1" uniqueName="ComponentType5_6">
      <xmlPr mapId="9" xpath="/character/Equipment/Equipment5/ComponentType5_6" xmlDataType="string"/>
    </xmlCellPr>
  </singleXmlCell>
  <singleXmlCell id="9427" r="S89" connectionId="9">
    <xmlCellPr id="1" uniqueName="ComponentType5_7">
      <xmlPr mapId="9" xpath="/character/Equipment/Equipment5/ComponentType5_7" xmlDataType="string"/>
    </xmlCellPr>
  </singleXmlCell>
  <singleXmlCell id="9428" r="S90" connectionId="9">
    <xmlCellPr id="1" uniqueName="ComponentType5_8">
      <xmlPr mapId="9" xpath="/character/Equipment/Equipment5/ComponentType5_8" xmlDataType="string"/>
    </xmlCellPr>
  </singleXmlCell>
  <singleXmlCell id="9429" r="S91" connectionId="9">
    <xmlCellPr id="1" uniqueName="ComponentType5_9">
      <xmlPr mapId="9" xpath="/character/Equipment/Equipment5/ComponentType5_9" xmlDataType="string"/>
    </xmlCellPr>
  </singleXmlCell>
  <singleXmlCell id="9430" r="S92" connectionId="9">
    <xmlCellPr id="1" uniqueName="ComponentType5_10">
      <xmlPr mapId="9" xpath="/character/Equipment/Equipment5/ComponentType5_10" xmlDataType="string"/>
    </xmlCellPr>
  </singleXmlCell>
  <singleXmlCell id="9431" r="H94" connectionId="9">
    <xmlCellPr id="1" uniqueName="PowerDescription5">
      <xmlPr mapId="9" xpath="/character/Equipment/Equipment5/PowerDescription5" xmlDataType="string"/>
    </xmlCellPr>
  </singleXmlCell>
  <singleXmlCell id="9432" r="H99" connectionId="9">
    <xmlCellPr id="1" uniqueName="Powername6_1">
      <xmlPr mapId="9" xpath="/character/Equipment/Equipment6/Powername6_1" xmlDataType="string"/>
    </xmlCellPr>
  </singleXmlCell>
  <singleXmlCell id="9433" r="H100" connectionId="9">
    <xmlCellPr id="1" uniqueName="Component6_1">
      <xmlPr mapId="9" xpath="/character/Equipment/Equipment6/Component6_1" xmlDataType="string"/>
    </xmlCellPr>
  </singleXmlCell>
  <singleXmlCell id="9434" r="H101" connectionId="9">
    <xmlCellPr id="1" uniqueName="Component6_2">
      <xmlPr mapId="9" xpath="/character/Equipment/Equipment6/Component6_2" xmlDataType="string"/>
    </xmlCellPr>
  </singleXmlCell>
  <singleXmlCell id="9435" r="H102" connectionId="9">
    <xmlCellPr id="1" uniqueName="Component6_3">
      <xmlPr mapId="9" xpath="/character/Equipment/Equipment6/Component6_3" xmlDataType="string"/>
    </xmlCellPr>
  </singleXmlCell>
  <singleXmlCell id="9436" r="H103" connectionId="9">
    <xmlCellPr id="1" uniqueName="Component6_4">
      <xmlPr mapId="9" xpath="/character/Equipment/Equipment6/Component6_4" xmlDataType="string"/>
    </xmlCellPr>
  </singleXmlCell>
  <singleXmlCell id="9437" r="H104" connectionId="9">
    <xmlCellPr id="1" uniqueName="Component6_5">
      <xmlPr mapId="9" xpath="/character/Equipment/Equipment6/Component6_5" xmlDataType="string"/>
    </xmlCellPr>
  </singleXmlCell>
  <singleXmlCell id="9438" r="H105" connectionId="9">
    <xmlCellPr id="1" uniqueName="Component6_6">
      <xmlPr mapId="9" xpath="/character/Equipment/Equipment6/Component6_6" xmlDataType="string"/>
    </xmlCellPr>
  </singleXmlCell>
  <singleXmlCell id="9439" r="H106" connectionId="9">
    <xmlCellPr id="1" uniqueName="Component6_7">
      <xmlPr mapId="9" xpath="/character/Equipment/Equipment6/Component6_7" xmlDataType="string"/>
    </xmlCellPr>
  </singleXmlCell>
  <singleXmlCell id="9440" r="H107" connectionId="9">
    <xmlCellPr id="1" uniqueName="Component6_8">
      <xmlPr mapId="9" xpath="/character/Equipment/Equipment6/Component6_8" xmlDataType="string"/>
    </xmlCellPr>
  </singleXmlCell>
  <singleXmlCell id="9441" r="H108" connectionId="9">
    <xmlCellPr id="1" uniqueName="Component6_9">
      <xmlPr mapId="9" xpath="/character/Equipment/Equipment6/Component6_9" xmlDataType="string"/>
    </xmlCellPr>
  </singleXmlCell>
  <singleXmlCell id="9442" r="H109" connectionId="9">
    <xmlCellPr id="1" uniqueName="Component6_10">
      <xmlPr mapId="9" xpath="/character/Equipment/Equipment6/Component6_10" xmlDataType="string"/>
    </xmlCellPr>
  </singleXmlCell>
  <singleXmlCell id="9443" r="S100" connectionId="9">
    <xmlCellPr id="1" uniqueName="ComponentType6_1">
      <xmlPr mapId="9" xpath="/character/Equipment/Equipment6/ComponentType6_1" xmlDataType="string"/>
    </xmlCellPr>
  </singleXmlCell>
  <singleXmlCell id="9444" r="S101" connectionId="9">
    <xmlCellPr id="1" uniqueName="ComponentType6_2">
      <xmlPr mapId="9" xpath="/character/Equipment/Equipment6/ComponentType6_2" xmlDataType="string"/>
    </xmlCellPr>
  </singleXmlCell>
  <singleXmlCell id="9445" r="S102" connectionId="9">
    <xmlCellPr id="1" uniqueName="ComponentType6_3">
      <xmlPr mapId="9" xpath="/character/Equipment/Equipment6/ComponentType6_3" xmlDataType="string"/>
    </xmlCellPr>
  </singleXmlCell>
  <singleXmlCell id="9446" r="S103" connectionId="9">
    <xmlCellPr id="1" uniqueName="ComponentType6_4">
      <xmlPr mapId="9" xpath="/character/Equipment/Equipment6/ComponentType6_4" xmlDataType="string"/>
    </xmlCellPr>
  </singleXmlCell>
  <singleXmlCell id="9447" r="S104" connectionId="9">
    <xmlCellPr id="1" uniqueName="ComponentType6_5">
      <xmlPr mapId="9" xpath="/character/Equipment/Equipment6/ComponentType6_5" xmlDataType="string"/>
    </xmlCellPr>
  </singleXmlCell>
  <singleXmlCell id="9448" r="S105" connectionId="9">
    <xmlCellPr id="1" uniqueName="ComponentType6_6">
      <xmlPr mapId="9" xpath="/character/Equipment/Equipment6/ComponentType6_6" xmlDataType="string"/>
    </xmlCellPr>
  </singleXmlCell>
  <singleXmlCell id="9449" r="S106" connectionId="9">
    <xmlCellPr id="1" uniqueName="ComponentType6_7">
      <xmlPr mapId="9" xpath="/character/Equipment/Equipment6/ComponentType6_7" xmlDataType="string"/>
    </xmlCellPr>
  </singleXmlCell>
  <singleXmlCell id="9450" r="S107" connectionId="9">
    <xmlCellPr id="1" uniqueName="ComponentType6_8">
      <xmlPr mapId="9" xpath="/character/Equipment/Equipment6/ComponentType6_8" xmlDataType="string"/>
    </xmlCellPr>
  </singleXmlCell>
  <singleXmlCell id="9451" r="S108" connectionId="9">
    <xmlCellPr id="1" uniqueName="ComponentType6_9">
      <xmlPr mapId="9" xpath="/character/Equipment/Equipment6/ComponentType6_9" xmlDataType="string"/>
    </xmlCellPr>
  </singleXmlCell>
  <singleXmlCell id="9452" r="S109" connectionId="9">
    <xmlCellPr id="1" uniqueName="ComponentType6_10">
      <xmlPr mapId="9" xpath="/character/Equipment/Equipment6/ComponentType6_10" xmlDataType="string"/>
    </xmlCellPr>
  </singleXmlCell>
  <singleXmlCell id="9453" r="H111" connectionId="9">
    <xmlCellPr id="1" uniqueName="PowerDescription6">
      <xmlPr mapId="9" xpath="/character/Equipment/Equipment6/PowerDescription6" xmlDataType="string"/>
    </xmlCellPr>
  </singleXmlCell>
  <singleXmlCell id="9454" r="H116" connectionId="9">
    <xmlCellPr id="1" uniqueName="Powername7_1">
      <xmlPr mapId="9" xpath="/character/Equipment/Equipment7/Powername7_1" xmlDataType="string"/>
    </xmlCellPr>
  </singleXmlCell>
  <singleXmlCell id="9455" r="H117" connectionId="9">
    <xmlCellPr id="1" uniqueName="Component7_1">
      <xmlPr mapId="9" xpath="/character/Equipment/Equipment7/Component7_1" xmlDataType="string"/>
    </xmlCellPr>
  </singleXmlCell>
  <singleXmlCell id="9456" r="H118" connectionId="9">
    <xmlCellPr id="1" uniqueName="Component7_2">
      <xmlPr mapId="9" xpath="/character/Equipment/Equipment7/Component7_2" xmlDataType="string"/>
    </xmlCellPr>
  </singleXmlCell>
  <singleXmlCell id="9457" r="H119" connectionId="9">
    <xmlCellPr id="1" uniqueName="Component7_3">
      <xmlPr mapId="9" xpath="/character/Equipment/Equipment7/Component7_3" xmlDataType="string"/>
    </xmlCellPr>
  </singleXmlCell>
  <singleXmlCell id="9458" r="H120" connectionId="9">
    <xmlCellPr id="1" uniqueName="Component7_4">
      <xmlPr mapId="9" xpath="/character/Equipment/Equipment7/Component7_4" xmlDataType="string"/>
    </xmlCellPr>
  </singleXmlCell>
  <singleXmlCell id="9459" r="H121" connectionId="9">
    <xmlCellPr id="1" uniqueName="Component7_5">
      <xmlPr mapId="9" xpath="/character/Equipment/Equipment7/Component7_5" xmlDataType="string"/>
    </xmlCellPr>
  </singleXmlCell>
  <singleXmlCell id="9460" r="H122" connectionId="9">
    <xmlCellPr id="1" uniqueName="Component7_6">
      <xmlPr mapId="9" xpath="/character/Equipment/Equipment7/Component7_6" xmlDataType="string"/>
    </xmlCellPr>
  </singleXmlCell>
  <singleXmlCell id="9461" r="H123" connectionId="9">
    <xmlCellPr id="1" uniqueName="Component7_7">
      <xmlPr mapId="9" xpath="/character/Equipment/Equipment7/Component7_7" xmlDataType="string"/>
    </xmlCellPr>
  </singleXmlCell>
  <singleXmlCell id="9462" r="H124" connectionId="9">
    <xmlCellPr id="1" uniqueName="Component7_8">
      <xmlPr mapId="9" xpath="/character/Equipment/Equipment7/Component7_8" xmlDataType="string"/>
    </xmlCellPr>
  </singleXmlCell>
  <singleXmlCell id="9463" r="H125" connectionId="9">
    <xmlCellPr id="1" uniqueName="Component7_9">
      <xmlPr mapId="9" xpath="/character/Equipment/Equipment7/Component7_9" xmlDataType="string"/>
    </xmlCellPr>
  </singleXmlCell>
  <singleXmlCell id="9464" r="H126" connectionId="9">
    <xmlCellPr id="1" uniqueName="Component7_10">
      <xmlPr mapId="9" xpath="/character/Equipment/Equipment7/Component7_10" xmlDataType="string"/>
    </xmlCellPr>
  </singleXmlCell>
  <singleXmlCell id="9465" r="S117" connectionId="9">
    <xmlCellPr id="1" uniqueName="ComponentType7_1">
      <xmlPr mapId="9" xpath="/character/Equipment/Equipment7/ComponentType7_1" xmlDataType="string"/>
    </xmlCellPr>
  </singleXmlCell>
  <singleXmlCell id="9466" r="S118" connectionId="9">
    <xmlCellPr id="1" uniqueName="ComponentType7_2">
      <xmlPr mapId="9" xpath="/character/Equipment/Equipment7/ComponentType7_2" xmlDataType="string"/>
    </xmlCellPr>
  </singleXmlCell>
  <singleXmlCell id="9467" r="S119" connectionId="9">
    <xmlCellPr id="1" uniqueName="ComponentType7_3">
      <xmlPr mapId="9" xpath="/character/Equipment/Equipment7/ComponentType7_3" xmlDataType="string"/>
    </xmlCellPr>
  </singleXmlCell>
  <singleXmlCell id="9468" r="S120" connectionId="9">
    <xmlCellPr id="1" uniqueName="ComponentType7_4">
      <xmlPr mapId="9" xpath="/character/Equipment/Equipment7/ComponentType7_4" xmlDataType="string"/>
    </xmlCellPr>
  </singleXmlCell>
  <singleXmlCell id="9469" r="S121" connectionId="9">
    <xmlCellPr id="1" uniqueName="ComponentType7_5">
      <xmlPr mapId="9" xpath="/character/Equipment/Equipment7/ComponentType7_5" xmlDataType="string"/>
    </xmlCellPr>
  </singleXmlCell>
  <singleXmlCell id="9470" r="S122" connectionId="9">
    <xmlCellPr id="1" uniqueName="ComponentType7_6">
      <xmlPr mapId="9" xpath="/character/Equipment/Equipment7/ComponentType7_6" xmlDataType="string"/>
    </xmlCellPr>
  </singleXmlCell>
  <singleXmlCell id="9471" r="S123" connectionId="9">
    <xmlCellPr id="1" uniqueName="ComponentType7_7">
      <xmlPr mapId="9" xpath="/character/Equipment/Equipment7/ComponentType7_7" xmlDataType="string"/>
    </xmlCellPr>
  </singleXmlCell>
  <singleXmlCell id="9472" r="S124" connectionId="9">
    <xmlCellPr id="1" uniqueName="ComponentType7_8">
      <xmlPr mapId="9" xpath="/character/Equipment/Equipment7/ComponentType7_8" xmlDataType="string"/>
    </xmlCellPr>
  </singleXmlCell>
  <singleXmlCell id="9473" r="S125" connectionId="9">
    <xmlCellPr id="1" uniqueName="ComponentType7_9">
      <xmlPr mapId="9" xpath="/character/Equipment/Equipment7/ComponentType7_9" xmlDataType="string"/>
    </xmlCellPr>
  </singleXmlCell>
  <singleXmlCell id="9474" r="S126" connectionId="9">
    <xmlCellPr id="1" uniqueName="ComponentType7_10">
      <xmlPr mapId="9" xpath="/character/Equipment/Equipment7/ComponentType7_10" xmlDataType="string"/>
    </xmlCellPr>
  </singleXmlCell>
  <singleXmlCell id="9475" r="H128" connectionId="9">
    <xmlCellPr id="1" uniqueName="PowerDescription7">
      <xmlPr mapId="9" xpath="/character/Equipment/Equipment7/PowerDescription7" xmlDataType="string"/>
    </xmlCellPr>
  </singleXmlCell>
  <singleXmlCell id="9476" r="H133" connectionId="9">
    <xmlCellPr id="1" uniqueName="Powername8_1">
      <xmlPr mapId="9" xpath="/character/Equipment/Equipment8/Powername8_1" xmlDataType="string"/>
    </xmlCellPr>
  </singleXmlCell>
  <singleXmlCell id="9477" r="H134" connectionId="9">
    <xmlCellPr id="1" uniqueName="Component8_1">
      <xmlPr mapId="9" xpath="/character/Equipment/Equipment8/Component8_1" xmlDataType="string"/>
    </xmlCellPr>
  </singleXmlCell>
  <singleXmlCell id="9478" r="H135" connectionId="9">
    <xmlCellPr id="1" uniqueName="Component8_2">
      <xmlPr mapId="9" xpath="/character/Equipment/Equipment8/Component8_2" xmlDataType="string"/>
    </xmlCellPr>
  </singleXmlCell>
  <singleXmlCell id="9479" r="H136" connectionId="9">
    <xmlCellPr id="1" uniqueName="Component8_3">
      <xmlPr mapId="9" xpath="/character/Equipment/Equipment8/Component8_3" xmlDataType="string"/>
    </xmlCellPr>
  </singleXmlCell>
  <singleXmlCell id="9480" r="H137" connectionId="9">
    <xmlCellPr id="1" uniqueName="Component8_4">
      <xmlPr mapId="9" xpath="/character/Equipment/Equipment8/Component8_4" xmlDataType="string"/>
    </xmlCellPr>
  </singleXmlCell>
  <singleXmlCell id="9481" r="H138" connectionId="9">
    <xmlCellPr id="1" uniqueName="Component8_5">
      <xmlPr mapId="9" xpath="/character/Equipment/Equipment8/Component8_5" xmlDataType="string"/>
    </xmlCellPr>
  </singleXmlCell>
  <singleXmlCell id="9482" r="H139" connectionId="9">
    <xmlCellPr id="1" uniqueName="Component8_6">
      <xmlPr mapId="9" xpath="/character/Equipment/Equipment8/Component8_6" xmlDataType="string"/>
    </xmlCellPr>
  </singleXmlCell>
  <singleXmlCell id="9483" r="H140" connectionId="9">
    <xmlCellPr id="1" uniqueName="Component8_7">
      <xmlPr mapId="9" xpath="/character/Equipment/Equipment8/Component8_7" xmlDataType="string"/>
    </xmlCellPr>
  </singleXmlCell>
  <singleXmlCell id="9484" r="H141" connectionId="9">
    <xmlCellPr id="1" uniqueName="Component8_8">
      <xmlPr mapId="9" xpath="/character/Equipment/Equipment8/Component8_8" xmlDataType="string"/>
    </xmlCellPr>
  </singleXmlCell>
  <singleXmlCell id="9485" r="H142" connectionId="9">
    <xmlCellPr id="1" uniqueName="Component8_9">
      <xmlPr mapId="9" xpath="/character/Equipment/Equipment8/Component8_9" xmlDataType="string"/>
    </xmlCellPr>
  </singleXmlCell>
  <singleXmlCell id="9486" r="H143" connectionId="9">
    <xmlCellPr id="1" uniqueName="Component8_10">
      <xmlPr mapId="9" xpath="/character/Equipment/Equipment8/Component8_10" xmlDataType="string"/>
    </xmlCellPr>
  </singleXmlCell>
  <singleXmlCell id="9487" r="S134" connectionId="9">
    <xmlCellPr id="1" uniqueName="ComponentType8_1">
      <xmlPr mapId="9" xpath="/character/Equipment/Equipment8/ComponentType8_1" xmlDataType="string"/>
    </xmlCellPr>
  </singleXmlCell>
  <singleXmlCell id="9488" r="S135" connectionId="9">
    <xmlCellPr id="1" uniqueName="ComponentType8_2">
      <xmlPr mapId="9" xpath="/character/Equipment/Equipment8/ComponentType8_2" xmlDataType="string"/>
    </xmlCellPr>
  </singleXmlCell>
  <singleXmlCell id="9489" r="S136" connectionId="9">
    <xmlCellPr id="1" uniqueName="ComponentType8_3">
      <xmlPr mapId="9" xpath="/character/Equipment/Equipment8/ComponentType8_3" xmlDataType="string"/>
    </xmlCellPr>
  </singleXmlCell>
  <singleXmlCell id="9490" r="S137" connectionId="9">
    <xmlCellPr id="1" uniqueName="ComponentType8_4">
      <xmlPr mapId="9" xpath="/character/Equipment/Equipment8/ComponentType8_4" xmlDataType="string"/>
    </xmlCellPr>
  </singleXmlCell>
  <singleXmlCell id="9491" r="S138" connectionId="9">
    <xmlCellPr id="1" uniqueName="ComponentType8_5">
      <xmlPr mapId="9" xpath="/character/Equipment/Equipment8/ComponentType8_5" xmlDataType="string"/>
    </xmlCellPr>
  </singleXmlCell>
  <singleXmlCell id="9492" r="S139" connectionId="9">
    <xmlCellPr id="1" uniqueName="ComponentType8_6">
      <xmlPr mapId="9" xpath="/character/Equipment/Equipment8/ComponentType8_6" xmlDataType="string"/>
    </xmlCellPr>
  </singleXmlCell>
  <singleXmlCell id="9493" r="S140" connectionId="9">
    <xmlCellPr id="1" uniqueName="ComponentType8_7">
      <xmlPr mapId="9" xpath="/character/Equipment/Equipment8/ComponentType8_7" xmlDataType="string"/>
    </xmlCellPr>
  </singleXmlCell>
  <singleXmlCell id="9494" r="S141" connectionId="9">
    <xmlCellPr id="1" uniqueName="ComponentType8_8">
      <xmlPr mapId="9" xpath="/character/Equipment/Equipment8/ComponentType8_8" xmlDataType="string"/>
    </xmlCellPr>
  </singleXmlCell>
  <singleXmlCell id="9495" r="S142" connectionId="9">
    <xmlCellPr id="1" uniqueName="ComponentType8_9">
      <xmlPr mapId="9" xpath="/character/Equipment/Equipment8/ComponentType8_9" xmlDataType="string"/>
    </xmlCellPr>
  </singleXmlCell>
  <singleXmlCell id="9496" r="S143" connectionId="9">
    <xmlCellPr id="1" uniqueName="ComponentType8_10">
      <xmlPr mapId="9" xpath="/character/Equipment/Equipment8/ComponentType8_10" xmlDataType="string"/>
    </xmlCellPr>
  </singleXmlCell>
  <singleXmlCell id="9497" r="H145" connectionId="9">
    <xmlCellPr id="1" uniqueName="PowerDescription8">
      <xmlPr mapId="9" xpath="/character/Equipment/Equipment8/PowerDescription8" xmlDataType="string"/>
    </xmlCellPr>
  </singleXmlCell>
  <singleXmlCell id="9498" r="H150" connectionId="9">
    <xmlCellPr id="1" uniqueName="Powername9_1">
      <xmlPr mapId="9" xpath="/character/Equipment/Equipment9/Powername9_1" xmlDataType="string"/>
    </xmlCellPr>
  </singleXmlCell>
  <singleXmlCell id="9499" r="H151" connectionId="9">
    <xmlCellPr id="1" uniqueName="Component9_1">
      <xmlPr mapId="9" xpath="/character/Equipment/Equipment9/Component9_1" xmlDataType="string"/>
    </xmlCellPr>
  </singleXmlCell>
  <singleXmlCell id="9500" r="H152" connectionId="9">
    <xmlCellPr id="1" uniqueName="Component9_2">
      <xmlPr mapId="9" xpath="/character/Equipment/Equipment9/Component9_2" xmlDataType="string"/>
    </xmlCellPr>
  </singleXmlCell>
  <singleXmlCell id="9501" r="H153" connectionId="9">
    <xmlCellPr id="1" uniqueName="Component9_3">
      <xmlPr mapId="9" xpath="/character/Equipment/Equipment9/Component9_3" xmlDataType="string"/>
    </xmlCellPr>
  </singleXmlCell>
  <singleXmlCell id="9502" r="H154" connectionId="9">
    <xmlCellPr id="1" uniqueName="Component9_4">
      <xmlPr mapId="9" xpath="/character/Equipment/Equipment9/Component9_4" xmlDataType="string"/>
    </xmlCellPr>
  </singleXmlCell>
  <singleXmlCell id="9503" r="H155" connectionId="9">
    <xmlCellPr id="1" uniqueName="Component9_5">
      <xmlPr mapId="9" xpath="/character/Equipment/Equipment9/Component9_5" xmlDataType="string"/>
    </xmlCellPr>
  </singleXmlCell>
  <singleXmlCell id="9504" r="H156" connectionId="9">
    <xmlCellPr id="1" uniqueName="Component9_6">
      <xmlPr mapId="9" xpath="/character/Equipment/Equipment9/Component9_6" xmlDataType="string"/>
    </xmlCellPr>
  </singleXmlCell>
  <singleXmlCell id="9505" r="H157" connectionId="9">
    <xmlCellPr id="1" uniqueName="Component9_7">
      <xmlPr mapId="9" xpath="/character/Equipment/Equipment9/Component9_7" xmlDataType="string"/>
    </xmlCellPr>
  </singleXmlCell>
  <singleXmlCell id="9506" r="H158" connectionId="9">
    <xmlCellPr id="1" uniqueName="Component9_8">
      <xmlPr mapId="9" xpath="/character/Equipment/Equipment9/Component9_8" xmlDataType="string"/>
    </xmlCellPr>
  </singleXmlCell>
  <singleXmlCell id="9507" r="H159" connectionId="9">
    <xmlCellPr id="1" uniqueName="Component9_9">
      <xmlPr mapId="9" xpath="/character/Equipment/Equipment9/Component9_9" xmlDataType="string"/>
    </xmlCellPr>
  </singleXmlCell>
  <singleXmlCell id="9508" r="H160" connectionId="9">
    <xmlCellPr id="1" uniqueName="Component9_10">
      <xmlPr mapId="9" xpath="/character/Equipment/Equipment9/Component9_10" xmlDataType="string"/>
    </xmlCellPr>
  </singleXmlCell>
  <singleXmlCell id="9509" r="S151" connectionId="9">
    <xmlCellPr id="1" uniqueName="ComponentType9_1">
      <xmlPr mapId="9" xpath="/character/Equipment/Equipment9/ComponentType9_1" xmlDataType="string"/>
    </xmlCellPr>
  </singleXmlCell>
  <singleXmlCell id="9510" r="S152" connectionId="9">
    <xmlCellPr id="1" uniqueName="ComponentType9_2">
      <xmlPr mapId="9" xpath="/character/Equipment/Equipment9/ComponentType9_2" xmlDataType="string"/>
    </xmlCellPr>
  </singleXmlCell>
  <singleXmlCell id="9511" r="S153" connectionId="9">
    <xmlCellPr id="1" uniqueName="ComponentType9_3">
      <xmlPr mapId="9" xpath="/character/Equipment/Equipment9/ComponentType9_3" xmlDataType="string"/>
    </xmlCellPr>
  </singleXmlCell>
  <singleXmlCell id="9512" r="S154" connectionId="9">
    <xmlCellPr id="1" uniqueName="ComponentType9_4">
      <xmlPr mapId="9" xpath="/character/Equipment/Equipment9/ComponentType9_4" xmlDataType="string"/>
    </xmlCellPr>
  </singleXmlCell>
  <singleXmlCell id="9513" r="S155" connectionId="9">
    <xmlCellPr id="1" uniqueName="ComponentType9_5">
      <xmlPr mapId="9" xpath="/character/Equipment/Equipment9/ComponentType9_5" xmlDataType="string"/>
    </xmlCellPr>
  </singleXmlCell>
  <singleXmlCell id="9514" r="S156" connectionId="9">
    <xmlCellPr id="1" uniqueName="ComponentType9_6">
      <xmlPr mapId="9" xpath="/character/Equipment/Equipment9/ComponentType9_6" xmlDataType="string"/>
    </xmlCellPr>
  </singleXmlCell>
  <singleXmlCell id="9515" r="S157" connectionId="9">
    <xmlCellPr id="1" uniqueName="ComponentType9_7">
      <xmlPr mapId="9" xpath="/character/Equipment/Equipment9/ComponentType9_7" xmlDataType="string"/>
    </xmlCellPr>
  </singleXmlCell>
  <singleXmlCell id="9516" r="S158" connectionId="9">
    <xmlCellPr id="1" uniqueName="ComponentType9_8">
      <xmlPr mapId="9" xpath="/character/Equipment/Equipment9/ComponentType9_8" xmlDataType="string"/>
    </xmlCellPr>
  </singleXmlCell>
  <singleXmlCell id="9517" r="S159" connectionId="9">
    <xmlCellPr id="1" uniqueName="ComponentType9_9">
      <xmlPr mapId="9" xpath="/character/Equipment/Equipment9/ComponentType9_9" xmlDataType="string"/>
    </xmlCellPr>
  </singleXmlCell>
  <singleXmlCell id="9518" r="S160" connectionId="9">
    <xmlCellPr id="1" uniqueName="ComponentType9_10">
      <xmlPr mapId="9" xpath="/character/Equipment/Equipment9/ComponentType9_10" xmlDataType="string"/>
    </xmlCellPr>
  </singleXmlCell>
  <singleXmlCell id="9519" r="H162" connectionId="9">
    <xmlCellPr id="1" uniqueName="PowerDescription9">
      <xmlPr mapId="9" xpath="/character/Equipment/Equipment9/PowerDescription9" xmlDataType="string"/>
    </xmlCellPr>
  </singleXmlCell>
  <singleXmlCell id="9520" r="AV19" connectionId="9">
    <xmlCellPr id="1" uniqueName="StandardEq1">
      <xmlPr mapId="9" xpath="/character/StandardEquipment/StandardEq1" xmlDataType="string"/>
    </xmlCellPr>
  </singleXmlCell>
  <singleXmlCell id="9521" r="AV20" connectionId="9">
    <xmlCellPr id="1" uniqueName="StandardEq2">
      <xmlPr mapId="9" xpath="/character/StandardEquipment/StandardEq2" xmlDataType="string"/>
    </xmlCellPr>
  </singleXmlCell>
  <singleXmlCell id="9522" r="AV21" connectionId="9">
    <xmlCellPr id="1" uniqueName="StandardEq3">
      <xmlPr mapId="9" xpath="/character/StandardEquipment/StandardEq3" xmlDataType="string"/>
    </xmlCellPr>
  </singleXmlCell>
  <singleXmlCell id="9523" r="AV22" connectionId="9">
    <xmlCellPr id="1" uniqueName="StandardEq4">
      <xmlPr mapId="9" xpath="/character/StandardEquipment/StandardEq4" xmlDataType="string"/>
    </xmlCellPr>
  </singleXmlCell>
  <singleXmlCell id="9524" r="AV23" connectionId="9">
    <xmlCellPr id="1" uniqueName="StandardEq5">
      <xmlPr mapId="9" xpath="/character/StandardEquipment/StandardEq5" xmlDataType="string"/>
    </xmlCellPr>
  </singleXmlCell>
  <singleXmlCell id="9525" r="AV24" connectionId="9">
    <xmlCellPr id="1" uniqueName="StandardEq6">
      <xmlPr mapId="9" xpath="/character/StandardEquipment/StandardEq6" xmlDataType="string"/>
    </xmlCellPr>
  </singleXmlCell>
  <singleXmlCell id="9526" r="AV25" connectionId="9">
    <xmlCellPr id="1" uniqueName="StandardEq7">
      <xmlPr mapId="9" xpath="/character/StandardEquipment/StandardEq7" xmlDataType="string"/>
    </xmlCellPr>
  </singleXmlCell>
  <singleXmlCell id="9527" r="AV26" connectionId="9">
    <xmlCellPr id="1" uniqueName="StandardEq8">
      <xmlPr mapId="9" xpath="/character/StandardEquipment/StandardEq8" xmlDataType="string"/>
    </xmlCellPr>
  </singleXmlCell>
  <singleXmlCell id="9528" r="AV27" connectionId="9">
    <xmlCellPr id="1" uniqueName="StandardEq9">
      <xmlPr mapId="9" xpath="/character/StandardEquipment/StandardEq9" xmlDataType="string"/>
    </xmlCellPr>
  </singleXmlCell>
  <singleXmlCell id="9529" r="AV28" connectionId="9">
    <xmlCellPr id="1" uniqueName="StandardEq10">
      <xmlPr mapId="9" xpath="/character/StandardEquipment/StandardEq10" xmlDataType="string"/>
    </xmlCellPr>
  </singleXmlCell>
  <singleXmlCell id="9530" r="BG19" connectionId="9">
    <xmlCellPr id="1" uniqueName="StandardEqCost1">
      <xmlPr mapId="9" xpath="/character/StandardEquipment/StandardEqCost1" xmlDataType="string"/>
    </xmlCellPr>
  </singleXmlCell>
  <singleXmlCell id="9531" r="BG20" connectionId="9">
    <xmlCellPr id="1" uniqueName="StandardEqCost2">
      <xmlPr mapId="9" xpath="/character/StandardEquipment/StandardEqCost2" xmlDataType="string"/>
    </xmlCellPr>
  </singleXmlCell>
  <singleXmlCell id="9532" r="BG21" connectionId="9">
    <xmlCellPr id="1" uniqueName="StandardEqCost3">
      <xmlPr mapId="9" xpath="/character/StandardEquipment/StandardEqCost3" xmlDataType="string"/>
    </xmlCellPr>
  </singleXmlCell>
  <singleXmlCell id="9533" r="BG22" connectionId="9">
    <xmlCellPr id="1" uniqueName="StandardEqCost4">
      <xmlPr mapId="9" xpath="/character/StandardEquipment/StandardEqCost4" xmlDataType="string"/>
    </xmlCellPr>
  </singleXmlCell>
  <singleXmlCell id="9534" r="BG23" connectionId="9">
    <xmlCellPr id="1" uniqueName="StandardEqCost5">
      <xmlPr mapId="9" xpath="/character/StandardEquipment/StandardEqCost5" xmlDataType="string"/>
    </xmlCellPr>
  </singleXmlCell>
  <singleXmlCell id="9535" r="BG24" connectionId="9">
    <xmlCellPr id="1" uniqueName="StandardEqCost6">
      <xmlPr mapId="9" xpath="/character/StandardEquipment/StandardEqCost6" xmlDataType="string"/>
    </xmlCellPr>
  </singleXmlCell>
  <singleXmlCell id="9536" r="BG25" connectionId="9">
    <xmlCellPr id="1" uniqueName="StandardEqCost7">
      <xmlPr mapId="9" xpath="/character/StandardEquipment/StandardEqCost7" xmlDataType="string"/>
    </xmlCellPr>
  </singleXmlCell>
  <singleXmlCell id="9537" r="BG26" connectionId="9">
    <xmlCellPr id="1" uniqueName="StandardEqCost8">
      <xmlPr mapId="9" xpath="/character/StandardEquipment/StandardEqCost8" xmlDataType="string"/>
    </xmlCellPr>
  </singleXmlCell>
  <singleXmlCell id="9538" r="BG27" connectionId="9">
    <xmlCellPr id="1" uniqueName="StandardEqCost9">
      <xmlPr mapId="9" xpath="/character/StandardEquipment/StandardEqCost9" xmlDataType="string"/>
    </xmlCellPr>
  </singleXmlCell>
  <singleXmlCell id="9539" r="BG28" connectionId="9">
    <xmlCellPr id="1" uniqueName="StandardEqCost10">
      <xmlPr mapId="9" xpath="/character/StandardEquipment/StandardEqCost10" xmlDataType="string"/>
    </xmlCellPr>
  </singleXmlCell>
</singleXmlCells>
</file>

<file path=xl/tables/tableSingleCells9.xml><?xml version="1.0" encoding="utf-8"?>
<singleXmlCells xmlns="http://schemas.openxmlformats.org/spreadsheetml/2006/main">
  <singleXmlCell id="9540" r="C6" connectionId="9">
    <xmlCellPr id="1" uniqueName="Complication1">
      <xmlPr mapId="9" xpath="/character/Details/Complication1" xmlDataType="string"/>
    </xmlCellPr>
  </singleXmlCell>
  <singleXmlCell id="9541" r="C7" connectionId="9">
    <xmlCellPr id="1" uniqueName="Complication2">
      <xmlPr mapId="9" xpath="/character/Details/Complication2" xmlDataType="string"/>
    </xmlCellPr>
  </singleXmlCell>
  <singleXmlCell id="9542" r="C8" connectionId="9">
    <xmlCellPr id="1" uniqueName="Complication3">
      <xmlPr mapId="9" xpath="/character/Details/Complication3" xmlDataType="string"/>
    </xmlCellPr>
  </singleXmlCell>
  <singleXmlCell id="9543" r="C9" connectionId="9">
    <xmlCellPr id="1" uniqueName="Complication4">
      <xmlPr mapId="9" xpath="/character/Details/Complication4" xmlDataType="string"/>
    </xmlCellPr>
  </singleXmlCell>
  <singleXmlCell id="9544" r="C10" connectionId="9">
    <xmlCellPr id="1" uniqueName="Complication5">
      <xmlPr mapId="9" xpath="/character/Details/Complication5" xmlDataType="string"/>
    </xmlCellPr>
  </singleXmlCell>
  <singleXmlCell id="9545" r="C11" connectionId="9">
    <xmlCellPr id="1" uniqueName="Complication6">
      <xmlPr mapId="9" xpath="/character/Details/Complication6" xmlDataType="string"/>
    </xmlCellPr>
  </singleXmlCell>
  <singleXmlCell id="9546" r="C17" connectionId="9">
    <xmlCellPr id="1" uniqueName="DesignNotes">
      <xmlPr mapId="9" xpath="/character/Details/DesignNotes" xmlDataType="string"/>
    </xmlCellPr>
  </singleXmlCell>
</singleXmlCells>
</file>

<file path=xl/tables/tableSingleCells10.xml><?xml version="1.0" encoding="utf-8"?>
<singleXmlCells xmlns="http://schemas.openxmlformats.org/spreadsheetml/2006/main">
  <singleXmlCell id="9547" r="C8" connectionId="9">
    <xmlCellPr id="1" uniqueName="OffAbName1">
      <xmlPr mapId="9" xpath="/character/Calculations/OffensiveAbility1/OffAbName1" xmlDataType="string"/>
    </xmlCellPr>
  </singleXmlCell>
  <singleXmlCell id="9548" r="N8" connectionId="9">
    <xmlCellPr id="1" uniqueName="OffAbRange1">
      <xmlPr mapId="9" xpath="/character/Calculations/OffensiveAbility1/OffAbRange1" xmlDataType="string"/>
    </xmlCellPr>
  </singleXmlCell>
  <singleXmlCell id="9549" r="T8" connectionId="9">
    <xmlCellPr id="1" uniqueName="OffAbPower1">
      <xmlPr mapId="9" xpath="/character/Calculations/OffensiveAbility1/OffAbPower1" xmlDataType="string"/>
    </xmlCellPr>
  </singleXmlCell>
  <singleXmlCell id="9550" r="AF8" connectionId="9">
    <xmlCellPr id="1" uniqueName="OffAbSkill1">
      <xmlPr mapId="9" xpath="/character/Calculations/OffensiveAbility1/OffAbSkill1" xmlDataType="string"/>
    </xmlCellPr>
  </singleXmlCell>
  <singleXmlCell id="9551" r="AQ8" connectionId="9">
    <xmlCellPr id="1" uniqueName="OffAbNotes1">
      <xmlPr mapId="9" xpath="/character/Calculations/OffensiveAbility1/OffAbNotes1" xmlDataType="string"/>
    </xmlCellPr>
  </singleXmlCell>
  <singleXmlCell id="9552" r="AY8" connectionId="9">
    <xmlCellPr id="1" uniqueName="OffMisc1">
      <xmlPr mapId="9" xpath="/character/Calculations/OffensiveAbility1/OffMisc1" xmlDataType="string"/>
    </xmlCellPr>
  </singleXmlCell>
  <singleXmlCell id="9553" r="C9" connectionId="9">
    <xmlCellPr id="1" uniqueName="OffAbName2">
      <xmlPr mapId="9" xpath="/character/Calculations/OffensiveAbility2/OffAbName2" xmlDataType="string"/>
    </xmlCellPr>
  </singleXmlCell>
  <singleXmlCell id="9554" r="N9" connectionId="9">
    <xmlCellPr id="1" uniqueName="OffAbRange2">
      <xmlPr mapId="9" xpath="/character/Calculations/OffensiveAbility2/OffAbRange2" xmlDataType="string"/>
    </xmlCellPr>
  </singleXmlCell>
  <singleXmlCell id="9555" r="T9" connectionId="9">
    <xmlCellPr id="1" uniqueName="OffAbPower2">
      <xmlPr mapId="9" xpath="/character/Calculations/OffensiveAbility2/OffAbPower2" xmlDataType="string"/>
    </xmlCellPr>
  </singleXmlCell>
  <singleXmlCell id="9556" r="AF9" connectionId="9">
    <xmlCellPr id="1" uniqueName="OffAbSkill2">
      <xmlPr mapId="9" xpath="/character/Calculations/OffensiveAbility2/OffAbSkill2" xmlDataType="string"/>
    </xmlCellPr>
  </singleXmlCell>
  <singleXmlCell id="9557" r="AQ9" connectionId="9">
    <xmlCellPr id="1" uniqueName="OffAbNotes2">
      <xmlPr mapId="9" xpath="/character/Calculations/OffensiveAbility2/OffAbNotes2" xmlDataType="string"/>
    </xmlCellPr>
  </singleXmlCell>
  <singleXmlCell id="9558" r="AY9" connectionId="9">
    <xmlCellPr id="1" uniqueName="OffMisc2">
      <xmlPr mapId="9" xpath="/character/Calculations/OffensiveAbility2/OffMisc2" xmlDataType="string"/>
    </xmlCellPr>
  </singleXmlCell>
  <singleXmlCell id="9559" r="C10" connectionId="9">
    <xmlCellPr id="1" uniqueName="OffAbName3">
      <xmlPr mapId="9" xpath="/character/Calculations/OffensiveAbility3/OffAbName3" xmlDataType="string"/>
    </xmlCellPr>
  </singleXmlCell>
  <singleXmlCell id="9560" r="N10" connectionId="9">
    <xmlCellPr id="1" uniqueName="OffAbRange3">
      <xmlPr mapId="9" xpath="/character/Calculations/OffensiveAbility3/OffAbRange3" xmlDataType="string"/>
    </xmlCellPr>
  </singleXmlCell>
  <singleXmlCell id="9561" r="T10" connectionId="9">
    <xmlCellPr id="1" uniqueName="OffAbPower3">
      <xmlPr mapId="9" xpath="/character/Calculations/OffensiveAbility3/OffAbPower3" xmlDataType="string"/>
    </xmlCellPr>
  </singleXmlCell>
  <singleXmlCell id="9562" r="AF10" connectionId="9">
    <xmlCellPr id="1" uniqueName="OffAbSkill3">
      <xmlPr mapId="9" xpath="/character/Calculations/OffensiveAbility3/OffAbSkill3" xmlDataType="string"/>
    </xmlCellPr>
  </singleXmlCell>
  <singleXmlCell id="9563" r="AQ10" connectionId="9">
    <xmlCellPr id="1" uniqueName="OffAbNotes3">
      <xmlPr mapId="9" xpath="/character/Calculations/OffensiveAbility3/OffAbNotes3" xmlDataType="string"/>
    </xmlCellPr>
  </singleXmlCell>
  <singleXmlCell id="9564" r="AY10" connectionId="9">
    <xmlCellPr id="1" uniqueName="OffMisc3">
      <xmlPr mapId="9" xpath="/character/Calculations/OffensiveAbility3/OffMisc3" xmlDataType="string"/>
    </xmlCellPr>
  </singleXmlCell>
  <singleXmlCell id="9565" r="C11" connectionId="9">
    <xmlCellPr id="1" uniqueName="OffAbName4">
      <xmlPr mapId="9" xpath="/character/Calculations/OffensiveAbility4/OffAbName4" xmlDataType="string"/>
    </xmlCellPr>
  </singleXmlCell>
  <singleXmlCell id="9566" r="N11" connectionId="9">
    <xmlCellPr id="1" uniqueName="OffAbRange4">
      <xmlPr mapId="9" xpath="/character/Calculations/OffensiveAbility4/OffAbRange4" xmlDataType="string"/>
    </xmlCellPr>
  </singleXmlCell>
  <singleXmlCell id="9567" r="T11" connectionId="9">
    <xmlCellPr id="1" uniqueName="OffAbPower4">
      <xmlPr mapId="9" xpath="/character/Calculations/OffensiveAbility4/OffAbPower4" xmlDataType="string"/>
    </xmlCellPr>
  </singleXmlCell>
  <singleXmlCell id="9568" r="AF11" connectionId="9">
    <xmlCellPr id="1" uniqueName="OffAbSkill4">
      <xmlPr mapId="9" xpath="/character/Calculations/OffensiveAbility4/OffAbSkill4" xmlDataType="string"/>
    </xmlCellPr>
  </singleXmlCell>
  <singleXmlCell id="9569" r="AQ11" connectionId="9">
    <xmlCellPr id="1" uniqueName="OffAbNotes4">
      <xmlPr mapId="9" xpath="/character/Calculations/OffensiveAbility4/OffAbNotes4" xmlDataType="string"/>
    </xmlCellPr>
  </singleXmlCell>
  <singleXmlCell id="9570" r="AY11" connectionId="9">
    <xmlCellPr id="1" uniqueName="OffMisc4">
      <xmlPr mapId="9" xpath="/character/Calculations/OffensiveAbility4/OffMisc4" xmlDataType="string"/>
    </xmlCellPr>
  </singleXmlCell>
  <singleXmlCell id="9571" r="C12" connectionId="9">
    <xmlCellPr id="1" uniqueName="OffAbName5">
      <xmlPr mapId="9" xpath="/character/Calculations/OffensiveAbility5/OffAbName5" xmlDataType="string"/>
    </xmlCellPr>
  </singleXmlCell>
  <singleXmlCell id="9572" r="N12" connectionId="9">
    <xmlCellPr id="1" uniqueName="OffAbRange5">
      <xmlPr mapId="9" xpath="/character/Calculations/OffensiveAbility5/OffAbRange5" xmlDataType="string"/>
    </xmlCellPr>
  </singleXmlCell>
  <singleXmlCell id="9573" r="T12" connectionId="9">
    <xmlCellPr id="1" uniqueName="OffAbPower5">
      <xmlPr mapId="9" xpath="/character/Calculations/OffensiveAbility5/OffAbPower5" xmlDataType="string"/>
    </xmlCellPr>
  </singleXmlCell>
  <singleXmlCell id="9574" r="AF12" connectionId="9">
    <xmlCellPr id="1" uniqueName="OffAbSkill5">
      <xmlPr mapId="9" xpath="/character/Calculations/OffensiveAbility5/OffAbSkill5" xmlDataType="string"/>
    </xmlCellPr>
  </singleXmlCell>
  <singleXmlCell id="9575" r="AQ12" connectionId="9">
    <xmlCellPr id="1" uniqueName="OffAbNotes5">
      <xmlPr mapId="9" xpath="/character/Calculations/OffensiveAbility5/OffAbNotes5" xmlDataType="string"/>
    </xmlCellPr>
  </singleXmlCell>
  <singleXmlCell id="9576" r="AY12" connectionId="9">
    <xmlCellPr id="1" uniqueName="OffMisc5">
      <xmlPr mapId="9" xpath="/character/Calculations/OffensiveAbility5/OffMisc5" xmlDataType="string"/>
    </xmlCellPr>
  </singleXmlCell>
  <singleXmlCell id="9577" r="C13" connectionId="9">
    <xmlCellPr id="1" uniqueName="OffAbName6">
      <xmlPr mapId="9" xpath="/character/Calculations/OffensiveAbility6/OffAbName6" xmlDataType="string"/>
    </xmlCellPr>
  </singleXmlCell>
  <singleXmlCell id="9578" r="N13" connectionId="9">
    <xmlCellPr id="1" uniqueName="OffAbRange6">
      <xmlPr mapId="9" xpath="/character/Calculations/OffensiveAbility6/OffAbRange6" xmlDataType="string"/>
    </xmlCellPr>
  </singleXmlCell>
  <singleXmlCell id="9579" r="T13" connectionId="9">
    <xmlCellPr id="1" uniqueName="OffAbPower6">
      <xmlPr mapId="9" xpath="/character/Calculations/OffensiveAbility6/OffAbPower6" xmlDataType="string"/>
    </xmlCellPr>
  </singleXmlCell>
  <singleXmlCell id="9580" r="AF13" connectionId="9">
    <xmlCellPr id="1" uniqueName="OffAbSkill6">
      <xmlPr mapId="9" xpath="/character/Calculations/OffensiveAbility6/OffAbSkill6" xmlDataType="string"/>
    </xmlCellPr>
  </singleXmlCell>
  <singleXmlCell id="9581" r="AQ13" connectionId="9">
    <xmlCellPr id="1" uniqueName="OffAbNotes6">
      <xmlPr mapId="9" xpath="/character/Calculations/OffensiveAbility6/OffAbNotes6" xmlDataType="string"/>
    </xmlCellPr>
  </singleXmlCell>
  <singleXmlCell id="9582" r="AY13" connectionId="9">
    <xmlCellPr id="1" uniqueName="OffMisc6">
      <xmlPr mapId="9" xpath="/character/Calculations/OffensiveAbility6/OffMisc6"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SingleCells" Target="../tables/tableSingleCell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SingleCells" Target="../tables/tableSingleCell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SingleCells" Target="../tables/tableSingleCell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SingleCells" Target="../tables/tableSingleCells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SingleCells" Target="../tables/tableSingleCells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SingleCells" Target="../tables/tableSingleCells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SingleCells" Target="../tables/tableSingleCell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SingleCells" Target="../tables/tableSingleCells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tableSingleCells" Target="../tables/tableSingleCells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1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50"/>
  <sheetViews>
    <sheetView showGridLines="0" zoomScaleNormal="100" workbookViewId="0">
      <selection activeCell="C29" sqref="C29:R50"/>
    </sheetView>
  </sheetViews>
  <sheetFormatPr defaultColWidth="2.6640625" defaultRowHeight="13.5" customHeight="1"/>
  <cols>
    <col min="1" max="16384" width="2.6640625" style="1"/>
  </cols>
  <sheetData>
    <row r="1" spans="1:256" ht="13.5" customHeight="1" thickBot="1">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c r="IC1" s="162"/>
      <c r="ID1" s="162"/>
      <c r="IE1" s="162"/>
      <c r="IF1" s="162"/>
      <c r="IG1" s="162"/>
      <c r="IH1" s="162"/>
      <c r="II1" s="162"/>
      <c r="IJ1" s="162"/>
      <c r="IK1" s="162"/>
      <c r="IL1" s="162"/>
      <c r="IM1" s="162"/>
      <c r="IN1" s="162"/>
      <c r="IO1" s="162"/>
      <c r="IP1" s="162"/>
      <c r="IQ1" s="162"/>
      <c r="IR1" s="162"/>
      <c r="IS1" s="162"/>
      <c r="IT1" s="162"/>
      <c r="IU1" s="162"/>
      <c r="IV1" s="162"/>
    </row>
    <row r="2" spans="1:256" ht="13.5" customHeight="1">
      <c r="B2" s="3"/>
      <c r="C2" s="4"/>
      <c r="D2" s="4"/>
      <c r="E2" s="4"/>
      <c r="F2" s="4"/>
      <c r="G2" s="4"/>
      <c r="H2" s="4"/>
      <c r="I2" s="4"/>
      <c r="J2" s="4"/>
      <c r="K2" s="4"/>
      <c r="L2" s="4"/>
      <c r="M2" s="4"/>
      <c r="N2" s="4"/>
      <c r="O2" s="4"/>
      <c r="P2" s="4"/>
      <c r="Q2" s="4"/>
      <c r="R2" s="4"/>
      <c r="S2" s="5"/>
      <c r="U2" s="3"/>
      <c r="V2" s="4"/>
      <c r="W2" s="4"/>
      <c r="X2" s="4"/>
      <c r="Y2" s="4"/>
      <c r="Z2" s="4"/>
      <c r="AA2" s="4"/>
      <c r="AB2" s="4"/>
      <c r="AC2" s="4"/>
      <c r="AD2" s="4"/>
      <c r="AE2" s="4"/>
      <c r="AF2" s="4"/>
      <c r="AG2" s="4"/>
      <c r="AH2" s="4"/>
      <c r="AI2" s="4"/>
      <c r="AJ2" s="4"/>
      <c r="AK2" s="4"/>
      <c r="AL2" s="4"/>
      <c r="AM2" s="4"/>
      <c r="AN2" s="4"/>
      <c r="AO2" s="4"/>
      <c r="AP2" s="4"/>
      <c r="AQ2" s="4"/>
      <c r="AR2" s="4"/>
      <c r="AS2" s="4"/>
      <c r="AT2" s="4"/>
      <c r="AU2" s="5"/>
      <c r="AW2" s="3"/>
      <c r="AX2" s="4"/>
      <c r="AY2" s="4"/>
      <c r="AZ2" s="4"/>
      <c r="BA2" s="4"/>
      <c r="BB2" s="4"/>
      <c r="BC2" s="4"/>
      <c r="BD2" s="4"/>
      <c r="BE2" s="4"/>
      <c r="BF2" s="4"/>
      <c r="BG2" s="4"/>
      <c r="BH2" s="4"/>
      <c r="BI2" s="4"/>
      <c r="BJ2" s="4"/>
      <c r="BK2" s="4"/>
      <c r="BL2" s="4"/>
      <c r="BM2" s="4"/>
      <c r="BN2" s="4"/>
      <c r="BO2" s="4"/>
      <c r="BP2" s="4"/>
      <c r="BQ2" s="4"/>
      <c r="BR2" s="4"/>
      <c r="BS2" s="4"/>
      <c r="BT2" s="4"/>
      <c r="BU2" s="4"/>
      <c r="BV2" s="4"/>
      <c r="BW2" s="5"/>
    </row>
    <row r="3" spans="1:256" ht="13.5" customHeight="1">
      <c r="B3" s="6"/>
      <c r="C3" s="224" t="s">
        <v>0</v>
      </c>
      <c r="D3" s="224"/>
      <c r="E3" s="224"/>
      <c r="F3" s="224"/>
      <c r="G3" s="224"/>
      <c r="H3" s="224"/>
      <c r="I3" s="224"/>
      <c r="J3" s="224"/>
      <c r="K3" s="224"/>
      <c r="L3" s="224"/>
      <c r="M3" s="224"/>
      <c r="N3" s="224"/>
      <c r="O3" s="224"/>
      <c r="P3" s="224"/>
      <c r="Q3" s="224"/>
      <c r="R3" s="224"/>
      <c r="S3" s="7"/>
      <c r="U3" s="6"/>
      <c r="V3" s="226" t="s">
        <v>2</v>
      </c>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7"/>
      <c r="AW3" s="6"/>
      <c r="AX3" s="226" t="s">
        <v>5</v>
      </c>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7"/>
    </row>
    <row r="4" spans="1:256" ht="13.5" customHeight="1">
      <c r="B4" s="6"/>
      <c r="C4" s="225"/>
      <c r="D4" s="225"/>
      <c r="E4" s="225"/>
      <c r="F4" s="225"/>
      <c r="G4" s="225"/>
      <c r="H4" s="225"/>
      <c r="I4" s="225"/>
      <c r="J4" s="225"/>
      <c r="K4" s="225"/>
      <c r="L4" s="225"/>
      <c r="M4" s="225"/>
      <c r="N4" s="225"/>
      <c r="O4" s="225"/>
      <c r="P4" s="225"/>
      <c r="Q4" s="225"/>
      <c r="R4" s="225"/>
      <c r="S4" s="7"/>
      <c r="U4" s="6"/>
      <c r="V4" s="227"/>
      <c r="W4" s="227"/>
      <c r="X4" s="227"/>
      <c r="Y4" s="227"/>
      <c r="Z4" s="227"/>
      <c r="AA4" s="227"/>
      <c r="AB4" s="227"/>
      <c r="AC4" s="227"/>
      <c r="AD4" s="227"/>
      <c r="AE4" s="227"/>
      <c r="AF4" s="227"/>
      <c r="AG4" s="227"/>
      <c r="AH4" s="227"/>
      <c r="AI4" s="227"/>
      <c r="AJ4" s="227"/>
      <c r="AK4" s="227"/>
      <c r="AL4" s="227"/>
      <c r="AM4" s="227"/>
      <c r="AN4" s="227"/>
      <c r="AO4" s="227"/>
      <c r="AP4" s="227"/>
      <c r="AQ4" s="227"/>
      <c r="AR4" s="227"/>
      <c r="AS4" s="227"/>
      <c r="AT4" s="227"/>
      <c r="AU4" s="7"/>
      <c r="AW4" s="6"/>
      <c r="AX4" s="227"/>
      <c r="AY4" s="227"/>
      <c r="AZ4" s="227"/>
      <c r="BA4" s="227"/>
      <c r="BB4" s="227"/>
      <c r="BC4" s="227"/>
      <c r="BD4" s="227"/>
      <c r="BE4" s="227"/>
      <c r="BF4" s="227"/>
      <c r="BG4" s="227"/>
      <c r="BH4" s="227"/>
      <c r="BI4" s="227"/>
      <c r="BJ4" s="227"/>
      <c r="BK4" s="227"/>
      <c r="BL4" s="227"/>
      <c r="BM4" s="227"/>
      <c r="BN4" s="227"/>
      <c r="BO4" s="227"/>
      <c r="BP4" s="227"/>
      <c r="BQ4" s="227"/>
      <c r="BR4" s="227"/>
      <c r="BS4" s="227"/>
      <c r="BT4" s="227"/>
      <c r="BU4" s="227"/>
      <c r="BV4" s="227"/>
      <c r="BW4" s="7"/>
    </row>
    <row r="5" spans="1:256" ht="13.5" customHeight="1">
      <c r="B5" s="6"/>
      <c r="C5" s="228" t="s">
        <v>1289</v>
      </c>
      <c r="D5" s="228"/>
      <c r="E5" s="228"/>
      <c r="F5" s="228"/>
      <c r="G5" s="228"/>
      <c r="H5" s="228"/>
      <c r="I5" s="228"/>
      <c r="J5" s="228"/>
      <c r="K5" s="228"/>
      <c r="L5" s="228"/>
      <c r="M5" s="228"/>
      <c r="N5" s="228"/>
      <c r="O5" s="228"/>
      <c r="P5" s="228"/>
      <c r="Q5" s="228"/>
      <c r="R5" s="228"/>
      <c r="S5" s="7"/>
      <c r="U5" s="6"/>
      <c r="V5" s="2"/>
      <c r="W5" s="2"/>
      <c r="X5" s="2"/>
      <c r="Y5" s="2"/>
      <c r="Z5" s="2"/>
      <c r="AA5" s="2"/>
      <c r="AB5" s="2"/>
      <c r="AC5" s="2"/>
      <c r="AD5" s="2"/>
      <c r="AE5" s="2"/>
      <c r="AF5" s="2"/>
      <c r="AG5" s="2"/>
      <c r="AH5" s="2"/>
      <c r="AI5" s="2"/>
      <c r="AJ5" s="2"/>
      <c r="AK5" s="2"/>
      <c r="AL5" s="2"/>
      <c r="AM5" s="2"/>
      <c r="AN5" s="2"/>
      <c r="AO5" s="2"/>
      <c r="AP5" s="2"/>
      <c r="AQ5" s="2"/>
      <c r="AR5" s="2"/>
      <c r="AS5" s="2"/>
      <c r="AT5" s="2"/>
      <c r="AU5" s="7"/>
      <c r="AW5" s="6"/>
      <c r="AX5" s="2" t="s">
        <v>119</v>
      </c>
      <c r="AY5" s="2"/>
      <c r="AZ5" s="2"/>
      <c r="BA5" s="2"/>
      <c r="BB5" s="2"/>
      <c r="BC5" s="2"/>
      <c r="BD5" s="2"/>
      <c r="BE5" s="2"/>
      <c r="BF5" s="2"/>
      <c r="BG5" s="2"/>
      <c r="BH5" s="2"/>
      <c r="BI5" s="2"/>
      <c r="BJ5" s="2"/>
      <c r="BK5" s="2"/>
      <c r="BL5" s="2"/>
      <c r="BM5" s="2"/>
      <c r="BN5" s="2"/>
      <c r="BO5" s="2"/>
      <c r="BP5" s="2"/>
      <c r="BQ5" s="2"/>
      <c r="BR5" s="2"/>
      <c r="BS5" s="229" t="s">
        <v>120</v>
      </c>
      <c r="BT5" s="229"/>
      <c r="BU5" s="229"/>
      <c r="BV5" s="229"/>
      <c r="BW5" s="7"/>
    </row>
    <row r="6" spans="1:256" ht="13.5" customHeight="1">
      <c r="B6" s="6"/>
      <c r="C6" s="228" t="s">
        <v>1</v>
      </c>
      <c r="D6" s="228"/>
      <c r="E6" s="228"/>
      <c r="F6" s="228"/>
      <c r="G6" s="228"/>
      <c r="H6" s="228"/>
      <c r="I6" s="228"/>
      <c r="J6" s="228"/>
      <c r="K6" s="228"/>
      <c r="L6" s="228"/>
      <c r="M6" s="228"/>
      <c r="N6" s="228"/>
      <c r="O6" s="228"/>
      <c r="P6" s="228"/>
      <c r="Q6" s="228"/>
      <c r="R6" s="228"/>
      <c r="S6" s="7"/>
      <c r="U6" s="6"/>
      <c r="V6" s="11" t="s">
        <v>3</v>
      </c>
      <c r="W6" s="2"/>
      <c r="X6" s="2"/>
      <c r="Y6" s="2"/>
      <c r="Z6" s="2"/>
      <c r="AA6" s="2"/>
      <c r="AB6" s="2"/>
      <c r="AC6" s="2"/>
      <c r="AD6" s="2"/>
      <c r="AE6" s="2"/>
      <c r="AF6" s="2"/>
      <c r="AG6" s="2"/>
      <c r="AH6" s="2"/>
      <c r="AI6" s="2"/>
      <c r="AJ6" s="2"/>
      <c r="AK6" s="2"/>
      <c r="AL6" s="2"/>
      <c r="AM6" s="2"/>
      <c r="AN6" s="2"/>
      <c r="AO6" s="2"/>
      <c r="AP6" s="2"/>
      <c r="AQ6" s="2"/>
      <c r="AR6" s="2"/>
      <c r="AS6" s="2"/>
      <c r="AT6" s="2"/>
      <c r="AU6" s="7"/>
      <c r="AW6" s="6"/>
      <c r="AX6" s="2" t="s">
        <v>521</v>
      </c>
      <c r="AY6" s="2"/>
      <c r="AZ6" s="2"/>
      <c r="BA6" s="2"/>
      <c r="BB6" s="2"/>
      <c r="BC6" s="2"/>
      <c r="BD6" s="2"/>
      <c r="BE6" s="2"/>
      <c r="BF6" s="2"/>
      <c r="BG6" s="2"/>
      <c r="BH6" s="2"/>
      <c r="BI6" s="2"/>
      <c r="BJ6" s="2"/>
      <c r="BK6" s="2"/>
      <c r="BL6" s="2"/>
      <c r="BM6" s="2"/>
      <c r="BN6" s="2"/>
      <c r="BO6" s="2"/>
      <c r="BP6" s="2"/>
      <c r="BQ6" s="2"/>
      <c r="BR6" s="2"/>
      <c r="BS6" s="230" t="s">
        <v>522</v>
      </c>
      <c r="BT6" s="230"/>
      <c r="BU6" s="230"/>
      <c r="BV6" s="230"/>
      <c r="BW6" s="7"/>
    </row>
    <row r="7" spans="1:256" ht="13.5" customHeight="1" thickBot="1">
      <c r="B7" s="8"/>
      <c r="C7" s="9"/>
      <c r="D7" s="9"/>
      <c r="E7" s="9"/>
      <c r="F7" s="9"/>
      <c r="G7" s="9"/>
      <c r="H7" s="9"/>
      <c r="I7" s="9"/>
      <c r="J7" s="9"/>
      <c r="K7" s="9"/>
      <c r="L7" s="9"/>
      <c r="M7" s="9"/>
      <c r="N7" s="9"/>
      <c r="O7" s="9"/>
      <c r="P7" s="9"/>
      <c r="Q7" s="9"/>
      <c r="R7" s="9"/>
      <c r="S7" s="10"/>
      <c r="U7" s="6"/>
      <c r="V7" s="2" t="s">
        <v>4</v>
      </c>
      <c r="W7" s="2"/>
      <c r="X7" s="2"/>
      <c r="Y7" s="2"/>
      <c r="Z7" s="2"/>
      <c r="AA7" s="2"/>
      <c r="AB7" s="2"/>
      <c r="AC7" s="2"/>
      <c r="AD7" s="2"/>
      <c r="AE7" s="2"/>
      <c r="AF7" s="2"/>
      <c r="AG7" s="2"/>
      <c r="AH7" s="2"/>
      <c r="AI7" s="2"/>
      <c r="AJ7" s="2"/>
      <c r="AK7" s="2"/>
      <c r="AL7" s="2"/>
      <c r="AM7" s="2"/>
      <c r="AN7" s="2"/>
      <c r="AO7" s="2"/>
      <c r="AP7" s="2"/>
      <c r="AQ7" s="2"/>
      <c r="AR7" s="2"/>
      <c r="AS7" s="2"/>
      <c r="AT7" s="2"/>
      <c r="AU7" s="7"/>
      <c r="AW7" s="6"/>
      <c r="AX7" s="2" t="s">
        <v>632</v>
      </c>
      <c r="AY7" s="2"/>
      <c r="AZ7" s="2"/>
      <c r="BA7" s="2"/>
      <c r="BB7" s="2"/>
      <c r="BC7" s="2"/>
      <c r="BD7" s="2"/>
      <c r="BE7" s="2"/>
      <c r="BF7" s="2"/>
      <c r="BG7" s="2"/>
      <c r="BH7" s="2"/>
      <c r="BI7" s="2"/>
      <c r="BJ7" s="2"/>
      <c r="BK7" s="2"/>
      <c r="BL7" s="2"/>
      <c r="BM7" s="2"/>
      <c r="BN7" s="2"/>
      <c r="BO7" s="2"/>
      <c r="BP7" s="2"/>
      <c r="BQ7" s="2"/>
      <c r="BR7" s="2"/>
      <c r="BS7" s="231" t="s">
        <v>917</v>
      </c>
      <c r="BT7" s="231"/>
      <c r="BU7" s="231"/>
      <c r="BV7" s="231"/>
      <c r="BW7" s="7"/>
    </row>
    <row r="8" spans="1:256" ht="13.5" customHeight="1" thickBot="1">
      <c r="U8" s="6"/>
      <c r="V8" s="11"/>
      <c r="W8" s="2"/>
      <c r="X8" s="2"/>
      <c r="Y8" s="2"/>
      <c r="Z8" s="2"/>
      <c r="AA8" s="2"/>
      <c r="AB8" s="2"/>
      <c r="AC8" s="2"/>
      <c r="AD8" s="2"/>
      <c r="AE8" s="2"/>
      <c r="AF8" s="2"/>
      <c r="AG8" s="2"/>
      <c r="AH8" s="2"/>
      <c r="AI8" s="2"/>
      <c r="AJ8" s="2"/>
      <c r="AK8" s="2"/>
      <c r="AL8" s="2"/>
      <c r="AM8" s="2"/>
      <c r="AN8" s="2"/>
      <c r="AO8" s="2"/>
      <c r="AP8" s="2"/>
      <c r="AQ8" s="2"/>
      <c r="AR8" s="2"/>
      <c r="AS8" s="2"/>
      <c r="AT8" s="2"/>
      <c r="AU8" s="7"/>
      <c r="AW8" s="6"/>
      <c r="AX8" s="2" t="s">
        <v>695</v>
      </c>
      <c r="AY8" s="2"/>
      <c r="AZ8" s="2"/>
      <c r="BA8" s="2"/>
      <c r="BB8" s="2"/>
      <c r="BC8" s="2"/>
      <c r="BD8" s="2"/>
      <c r="BE8" s="2"/>
      <c r="BF8" s="2"/>
      <c r="BG8" s="2"/>
      <c r="BH8" s="2"/>
      <c r="BI8" s="2"/>
      <c r="BJ8" s="2"/>
      <c r="BK8" s="2"/>
      <c r="BL8" s="2"/>
      <c r="BM8" s="2"/>
      <c r="BN8" s="2"/>
      <c r="BO8" s="2"/>
      <c r="BP8" s="2"/>
      <c r="BQ8" s="2"/>
      <c r="BR8" s="2"/>
      <c r="BS8" s="232" t="s">
        <v>916</v>
      </c>
      <c r="BT8" s="232"/>
      <c r="BU8" s="232"/>
      <c r="BV8" s="232"/>
      <c r="BW8" s="7"/>
    </row>
    <row r="9" spans="1:256" ht="13.5" customHeight="1">
      <c r="B9" s="3"/>
      <c r="C9" s="4"/>
      <c r="D9" s="4"/>
      <c r="E9" s="4"/>
      <c r="F9" s="4"/>
      <c r="G9" s="4"/>
      <c r="H9" s="4"/>
      <c r="I9" s="4"/>
      <c r="J9" s="4"/>
      <c r="K9" s="4"/>
      <c r="L9" s="4"/>
      <c r="M9" s="4"/>
      <c r="N9" s="4"/>
      <c r="O9" s="4"/>
      <c r="P9" s="4"/>
      <c r="Q9" s="4"/>
      <c r="R9" s="4"/>
      <c r="S9" s="5"/>
      <c r="U9" s="6"/>
      <c r="V9" s="223"/>
      <c r="W9" s="223"/>
      <c r="X9" s="223"/>
      <c r="Y9" s="223"/>
      <c r="Z9" s="223"/>
      <c r="AA9" s="223"/>
      <c r="AB9" s="223"/>
      <c r="AC9" s="223"/>
      <c r="AD9" s="223"/>
      <c r="AE9" s="223"/>
      <c r="AF9" s="223"/>
      <c r="AG9" s="223"/>
      <c r="AH9" s="223"/>
      <c r="AI9" s="223"/>
      <c r="AJ9" s="223"/>
      <c r="AK9" s="223"/>
      <c r="AL9" s="223"/>
      <c r="AM9" s="223"/>
      <c r="AN9" s="223"/>
      <c r="AO9" s="223"/>
      <c r="AP9" s="223"/>
      <c r="AQ9" s="223"/>
      <c r="AR9" s="223"/>
      <c r="AS9" s="223"/>
      <c r="AT9" s="223"/>
      <c r="AU9" s="7"/>
      <c r="AW9" s="6"/>
      <c r="AX9" s="2" t="s">
        <v>747</v>
      </c>
      <c r="AY9" s="2"/>
      <c r="AZ9" s="2"/>
      <c r="BA9" s="2"/>
      <c r="BB9" s="2"/>
      <c r="BC9" s="2"/>
      <c r="BD9" s="2"/>
      <c r="BE9" s="2"/>
      <c r="BF9" s="2"/>
      <c r="BG9" s="2"/>
      <c r="BH9" s="2"/>
      <c r="BI9" s="2"/>
      <c r="BJ9" s="2"/>
      <c r="BK9" s="2"/>
      <c r="BL9" s="2"/>
      <c r="BM9" s="2"/>
      <c r="BN9" s="2"/>
      <c r="BO9" s="2"/>
      <c r="BP9" s="2"/>
      <c r="BQ9" s="2"/>
      <c r="BR9" s="2"/>
      <c r="BS9" s="232" t="s">
        <v>916</v>
      </c>
      <c r="BT9" s="232"/>
      <c r="BU9" s="232"/>
      <c r="BV9" s="232"/>
      <c r="BW9" s="7"/>
    </row>
    <row r="10" spans="1:256" ht="13.5" customHeight="1">
      <c r="B10" s="6"/>
      <c r="C10" s="221"/>
      <c r="D10" s="221"/>
      <c r="E10" s="221"/>
      <c r="F10" s="221"/>
      <c r="G10" s="221"/>
      <c r="H10" s="221"/>
      <c r="I10" s="221"/>
      <c r="J10" s="221"/>
      <c r="K10" s="221"/>
      <c r="L10" s="221"/>
      <c r="M10" s="221"/>
      <c r="N10" s="221"/>
      <c r="O10" s="221"/>
      <c r="P10" s="221"/>
      <c r="Q10" s="221"/>
      <c r="R10" s="221"/>
      <c r="S10" s="7"/>
      <c r="U10" s="6"/>
      <c r="V10" s="223"/>
      <c r="W10" s="223"/>
      <c r="X10" s="223"/>
      <c r="Y10" s="223"/>
      <c r="Z10" s="223"/>
      <c r="AA10" s="223"/>
      <c r="AB10" s="223"/>
      <c r="AC10" s="223"/>
      <c r="AD10" s="223"/>
      <c r="AE10" s="223"/>
      <c r="AF10" s="223"/>
      <c r="AG10" s="223"/>
      <c r="AH10" s="223"/>
      <c r="AI10" s="223"/>
      <c r="AJ10" s="223"/>
      <c r="AK10" s="223"/>
      <c r="AL10" s="223"/>
      <c r="AM10" s="223"/>
      <c r="AN10" s="223"/>
      <c r="AO10" s="223"/>
      <c r="AP10" s="223"/>
      <c r="AQ10" s="223"/>
      <c r="AR10" s="223"/>
      <c r="AS10" s="223"/>
      <c r="AT10" s="223"/>
      <c r="AU10" s="7"/>
      <c r="AW10" s="6"/>
      <c r="AX10" s="2" t="s">
        <v>818</v>
      </c>
      <c r="AY10" s="2"/>
      <c r="AZ10" s="2"/>
      <c r="BA10" s="2"/>
      <c r="BB10" s="2"/>
      <c r="BC10" s="2"/>
      <c r="BD10" s="2"/>
      <c r="BE10" s="2"/>
      <c r="BF10" s="2"/>
      <c r="BG10" s="2"/>
      <c r="BH10" s="2"/>
      <c r="BI10" s="2"/>
      <c r="BJ10" s="2"/>
      <c r="BK10" s="2"/>
      <c r="BL10" s="2"/>
      <c r="BM10" s="2"/>
      <c r="BN10" s="2"/>
      <c r="BO10" s="2"/>
      <c r="BP10" s="2"/>
      <c r="BQ10" s="2"/>
      <c r="BR10" s="2"/>
      <c r="BS10" s="232" t="s">
        <v>916</v>
      </c>
      <c r="BT10" s="232"/>
      <c r="BU10" s="232"/>
      <c r="BV10" s="232"/>
      <c r="BW10" s="7"/>
    </row>
    <row r="11" spans="1:256" ht="13.5" customHeight="1">
      <c r="B11" s="6"/>
      <c r="C11" s="221"/>
      <c r="D11" s="221"/>
      <c r="E11" s="221"/>
      <c r="F11" s="221"/>
      <c r="G11" s="221"/>
      <c r="H11" s="221"/>
      <c r="I11" s="221"/>
      <c r="J11" s="221"/>
      <c r="K11" s="221"/>
      <c r="L11" s="221"/>
      <c r="M11" s="221"/>
      <c r="N11" s="221"/>
      <c r="O11" s="221"/>
      <c r="P11" s="221"/>
      <c r="Q11" s="221"/>
      <c r="R11" s="221"/>
      <c r="S11" s="7"/>
      <c r="U11" s="6"/>
      <c r="V11" s="11"/>
      <c r="W11" s="2"/>
      <c r="X11" s="2"/>
      <c r="Y11" s="2"/>
      <c r="Z11" s="2"/>
      <c r="AA11" s="2"/>
      <c r="AB11" s="2"/>
      <c r="AC11" s="2"/>
      <c r="AD11" s="2"/>
      <c r="AE11" s="2"/>
      <c r="AF11" s="2"/>
      <c r="AG11" s="2"/>
      <c r="AH11" s="2"/>
      <c r="AI11" s="2"/>
      <c r="AJ11" s="2"/>
      <c r="AK11" s="2"/>
      <c r="AL11" s="2"/>
      <c r="AM11" s="2"/>
      <c r="AN11" s="2"/>
      <c r="AO11" s="2"/>
      <c r="AP11" s="2"/>
      <c r="AQ11" s="2"/>
      <c r="AR11" s="2"/>
      <c r="AS11" s="2"/>
      <c r="AT11" s="2"/>
      <c r="AU11" s="7"/>
      <c r="AW11" s="6"/>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7"/>
    </row>
    <row r="12" spans="1:256" ht="13.5" customHeight="1">
      <c r="B12" s="6"/>
      <c r="C12" s="221"/>
      <c r="D12" s="221"/>
      <c r="E12" s="221"/>
      <c r="F12" s="221"/>
      <c r="G12" s="221"/>
      <c r="H12" s="221"/>
      <c r="I12" s="221"/>
      <c r="J12" s="221"/>
      <c r="K12" s="221"/>
      <c r="L12" s="221"/>
      <c r="M12" s="221"/>
      <c r="N12" s="221"/>
      <c r="O12" s="221"/>
      <c r="P12" s="221"/>
      <c r="Q12" s="221"/>
      <c r="R12" s="221"/>
      <c r="S12" s="7"/>
      <c r="U12" s="6"/>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7"/>
      <c r="AW12" s="6"/>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7"/>
    </row>
    <row r="13" spans="1:256" ht="13.5" customHeight="1">
      <c r="B13" s="6"/>
      <c r="C13" s="221"/>
      <c r="D13" s="221"/>
      <c r="E13" s="221"/>
      <c r="F13" s="221"/>
      <c r="G13" s="221"/>
      <c r="H13" s="221"/>
      <c r="I13" s="221"/>
      <c r="J13" s="221"/>
      <c r="K13" s="221"/>
      <c r="L13" s="221"/>
      <c r="M13" s="221"/>
      <c r="N13" s="221"/>
      <c r="O13" s="221"/>
      <c r="P13" s="221"/>
      <c r="Q13" s="221"/>
      <c r="R13" s="221"/>
      <c r="S13" s="7"/>
      <c r="U13" s="6"/>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7"/>
      <c r="AW13" s="6"/>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7"/>
    </row>
    <row r="14" spans="1:256" ht="13.5" customHeight="1">
      <c r="B14" s="6"/>
      <c r="C14" s="221"/>
      <c r="D14" s="221"/>
      <c r="E14" s="221"/>
      <c r="F14" s="221"/>
      <c r="G14" s="221"/>
      <c r="H14" s="221"/>
      <c r="I14" s="221"/>
      <c r="J14" s="221"/>
      <c r="K14" s="221"/>
      <c r="L14" s="221"/>
      <c r="M14" s="221"/>
      <c r="N14" s="221"/>
      <c r="O14" s="221"/>
      <c r="P14" s="221"/>
      <c r="Q14" s="221"/>
      <c r="R14" s="221"/>
      <c r="S14" s="7"/>
      <c r="U14" s="6"/>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7"/>
      <c r="AW14" s="6"/>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7"/>
    </row>
    <row r="15" spans="1:256" ht="13.5" customHeight="1">
      <c r="B15" s="6"/>
      <c r="C15" s="221"/>
      <c r="D15" s="221"/>
      <c r="E15" s="221"/>
      <c r="F15" s="221"/>
      <c r="G15" s="221"/>
      <c r="H15" s="221"/>
      <c r="I15" s="221"/>
      <c r="J15" s="221"/>
      <c r="K15" s="221"/>
      <c r="L15" s="221"/>
      <c r="M15" s="221"/>
      <c r="N15" s="221"/>
      <c r="O15" s="221"/>
      <c r="P15" s="221"/>
      <c r="Q15" s="221"/>
      <c r="R15" s="221"/>
      <c r="S15" s="7"/>
      <c r="U15" s="6"/>
      <c r="V15" s="11"/>
      <c r="W15" s="2"/>
      <c r="X15" s="2"/>
      <c r="Y15" s="2"/>
      <c r="Z15" s="2"/>
      <c r="AA15" s="2"/>
      <c r="AB15" s="2"/>
      <c r="AC15" s="2"/>
      <c r="AD15" s="2"/>
      <c r="AE15" s="2"/>
      <c r="AF15" s="2"/>
      <c r="AG15" s="2"/>
      <c r="AH15" s="2"/>
      <c r="AI15" s="2"/>
      <c r="AJ15" s="2"/>
      <c r="AK15" s="2"/>
      <c r="AL15" s="2"/>
      <c r="AM15" s="2"/>
      <c r="AN15" s="2"/>
      <c r="AO15" s="2"/>
      <c r="AP15" s="2"/>
      <c r="AQ15" s="2"/>
      <c r="AR15" s="2"/>
      <c r="AS15" s="2"/>
      <c r="AT15" s="2"/>
      <c r="AU15" s="7"/>
      <c r="AW15" s="6"/>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7"/>
    </row>
    <row r="16" spans="1:256" ht="13.5" customHeight="1">
      <c r="B16" s="6"/>
      <c r="C16" s="221"/>
      <c r="D16" s="221"/>
      <c r="E16" s="221"/>
      <c r="F16" s="221"/>
      <c r="G16" s="221"/>
      <c r="H16" s="221"/>
      <c r="I16" s="221"/>
      <c r="J16" s="221"/>
      <c r="K16" s="221"/>
      <c r="L16" s="221"/>
      <c r="M16" s="221"/>
      <c r="N16" s="221"/>
      <c r="O16" s="221"/>
      <c r="P16" s="221"/>
      <c r="Q16" s="221"/>
      <c r="R16" s="221"/>
      <c r="S16" s="7"/>
      <c r="U16" s="6"/>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7"/>
      <c r="AW16" s="6"/>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7"/>
    </row>
    <row r="17" spans="2:75" ht="13.5" customHeight="1" thickBot="1">
      <c r="B17" s="8"/>
      <c r="C17" s="9"/>
      <c r="D17" s="9"/>
      <c r="E17" s="9"/>
      <c r="F17" s="9"/>
      <c r="G17" s="9"/>
      <c r="H17" s="9"/>
      <c r="I17" s="9"/>
      <c r="J17" s="9"/>
      <c r="K17" s="9"/>
      <c r="L17" s="9"/>
      <c r="M17" s="9"/>
      <c r="N17" s="9"/>
      <c r="O17" s="9"/>
      <c r="P17" s="9"/>
      <c r="Q17" s="9"/>
      <c r="R17" s="9"/>
      <c r="S17" s="10"/>
      <c r="U17" s="6"/>
      <c r="V17" s="2" t="s">
        <v>780</v>
      </c>
      <c r="W17" s="2"/>
      <c r="X17" s="2"/>
      <c r="Y17" s="2"/>
      <c r="Z17" s="2"/>
      <c r="AA17" s="2"/>
      <c r="AB17" s="2"/>
      <c r="AC17" s="2"/>
      <c r="AD17" s="2"/>
      <c r="AE17" s="2"/>
      <c r="AF17" s="2"/>
      <c r="AG17" s="2"/>
      <c r="AH17" s="2"/>
      <c r="AI17" s="2"/>
      <c r="AJ17" s="2"/>
      <c r="AK17" s="2"/>
      <c r="AL17" s="2"/>
      <c r="AM17" s="2"/>
      <c r="AN17" s="2"/>
      <c r="AO17" s="2"/>
      <c r="AP17" s="2"/>
      <c r="AQ17" s="2"/>
      <c r="AR17" s="2"/>
      <c r="AS17" s="2"/>
      <c r="AT17" s="2"/>
      <c r="AU17" s="7"/>
      <c r="AW17" s="8"/>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10"/>
    </row>
    <row r="18" spans="2:75" ht="13.5" customHeight="1" thickBot="1">
      <c r="U18" s="6"/>
      <c r="V18" s="2" t="s">
        <v>783</v>
      </c>
      <c r="W18" s="2"/>
      <c r="X18" s="2"/>
      <c r="Y18" s="2"/>
      <c r="Z18" s="2"/>
      <c r="AA18" s="2"/>
      <c r="AB18" s="2"/>
      <c r="AC18" s="2"/>
      <c r="AD18" s="2"/>
      <c r="AE18" s="2"/>
      <c r="AF18" s="2"/>
      <c r="AG18" s="2"/>
      <c r="AH18" s="2"/>
      <c r="AI18" s="2"/>
      <c r="AJ18" s="2"/>
      <c r="AK18" s="2"/>
      <c r="AL18" s="2"/>
      <c r="AM18" s="2"/>
      <c r="AN18" s="2"/>
      <c r="AO18" s="2"/>
      <c r="AP18" s="2"/>
      <c r="AQ18" s="2"/>
      <c r="AR18" s="2"/>
      <c r="AS18" s="2"/>
      <c r="AT18" s="2"/>
      <c r="AU18" s="7"/>
    </row>
    <row r="19" spans="2:75" ht="13.5" customHeight="1">
      <c r="B19" s="3"/>
      <c r="C19" s="4"/>
      <c r="D19" s="4"/>
      <c r="E19" s="4"/>
      <c r="F19" s="4"/>
      <c r="G19" s="4"/>
      <c r="H19" s="4"/>
      <c r="I19" s="4"/>
      <c r="J19" s="4"/>
      <c r="K19" s="4"/>
      <c r="L19" s="4"/>
      <c r="M19" s="4"/>
      <c r="N19" s="4"/>
      <c r="O19" s="4"/>
      <c r="P19" s="4"/>
      <c r="Q19" s="4"/>
      <c r="R19" s="4"/>
      <c r="S19" s="5"/>
      <c r="U19" s="6"/>
      <c r="V19" s="11" t="s">
        <v>784</v>
      </c>
      <c r="W19" s="2"/>
      <c r="X19" s="2"/>
      <c r="Y19" s="2"/>
      <c r="Z19" s="2"/>
      <c r="AA19" s="2"/>
      <c r="AB19" s="2"/>
      <c r="AC19" s="2"/>
      <c r="AD19" s="2"/>
      <c r="AE19" s="2"/>
      <c r="AF19" s="2"/>
      <c r="AG19" s="2"/>
      <c r="AH19" s="2"/>
      <c r="AI19" s="2"/>
      <c r="AJ19" s="2"/>
      <c r="AK19" s="2"/>
      <c r="AL19" s="2"/>
      <c r="AM19" s="2"/>
      <c r="AN19" s="2"/>
      <c r="AO19" s="2"/>
      <c r="AP19" s="2"/>
      <c r="AQ19" s="2"/>
      <c r="AR19" s="2"/>
      <c r="AS19" s="2"/>
      <c r="AT19" s="2"/>
      <c r="AU19" s="7"/>
      <c r="AW19" s="3"/>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5"/>
    </row>
    <row r="20" spans="2:75" ht="13.5" customHeight="1">
      <c r="B20" s="6"/>
      <c r="C20" s="224" t="s">
        <v>6</v>
      </c>
      <c r="D20" s="224"/>
      <c r="E20" s="224"/>
      <c r="F20" s="224"/>
      <c r="G20" s="224"/>
      <c r="H20" s="224"/>
      <c r="I20" s="224"/>
      <c r="J20" s="224"/>
      <c r="K20" s="224"/>
      <c r="L20" s="224"/>
      <c r="M20" s="224"/>
      <c r="N20" s="224"/>
      <c r="O20" s="224"/>
      <c r="P20" s="224"/>
      <c r="Q20" s="224"/>
      <c r="R20" s="224"/>
      <c r="S20" s="7"/>
      <c r="U20" s="6"/>
      <c r="V20" s="2" t="s">
        <v>785</v>
      </c>
      <c r="W20" s="2"/>
      <c r="X20" s="2"/>
      <c r="Y20" s="2"/>
      <c r="Z20" s="2"/>
      <c r="AA20" s="2"/>
      <c r="AB20" s="2"/>
      <c r="AC20" s="2"/>
      <c r="AD20" s="2"/>
      <c r="AE20" s="2"/>
      <c r="AF20" s="2"/>
      <c r="AG20" s="2"/>
      <c r="AH20" s="2"/>
      <c r="AI20" s="2"/>
      <c r="AJ20" s="2"/>
      <c r="AK20" s="2"/>
      <c r="AL20" s="2"/>
      <c r="AM20" s="2"/>
      <c r="AN20" s="2"/>
      <c r="AO20" s="2"/>
      <c r="AP20" s="2"/>
      <c r="AQ20" s="2"/>
      <c r="AR20" s="2"/>
      <c r="AS20" s="2"/>
      <c r="AT20" s="2"/>
      <c r="AU20" s="7"/>
      <c r="AW20" s="6"/>
      <c r="AX20" s="226" t="s">
        <v>890</v>
      </c>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7"/>
    </row>
    <row r="21" spans="2:75" ht="13.5" customHeight="1">
      <c r="B21" s="6"/>
      <c r="C21" s="225"/>
      <c r="D21" s="225"/>
      <c r="E21" s="225"/>
      <c r="F21" s="225"/>
      <c r="G21" s="225"/>
      <c r="H21" s="225"/>
      <c r="I21" s="225"/>
      <c r="J21" s="225"/>
      <c r="K21" s="225"/>
      <c r="L21" s="225"/>
      <c r="M21" s="225"/>
      <c r="N21" s="225"/>
      <c r="O21" s="225"/>
      <c r="P21" s="225"/>
      <c r="Q21" s="225"/>
      <c r="R21" s="225"/>
      <c r="S21" s="7"/>
      <c r="U21" s="6"/>
      <c r="V21" s="2" t="s">
        <v>786</v>
      </c>
      <c r="W21" s="2"/>
      <c r="X21" s="2"/>
      <c r="Y21" s="2"/>
      <c r="Z21" s="2"/>
      <c r="AA21" s="2"/>
      <c r="AB21" s="2"/>
      <c r="AC21" s="2"/>
      <c r="AD21" s="2"/>
      <c r="AE21" s="2"/>
      <c r="AF21" s="2"/>
      <c r="AG21" s="2"/>
      <c r="AH21" s="2"/>
      <c r="AI21" s="2"/>
      <c r="AJ21" s="2"/>
      <c r="AK21" s="2"/>
      <c r="AL21" s="2"/>
      <c r="AM21" s="2"/>
      <c r="AN21" s="2"/>
      <c r="AO21" s="2"/>
      <c r="AP21" s="2"/>
      <c r="AQ21" s="2"/>
      <c r="AR21" s="2"/>
      <c r="AS21" s="2"/>
      <c r="AT21" s="2"/>
      <c r="AU21" s="7"/>
      <c r="AW21" s="6"/>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7"/>
    </row>
    <row r="22" spans="2:75" ht="13.5" customHeight="1">
      <c r="B22" s="6"/>
      <c r="C22" s="228" t="s">
        <v>7</v>
      </c>
      <c r="D22" s="228"/>
      <c r="E22" s="228"/>
      <c r="F22" s="228"/>
      <c r="G22" s="228"/>
      <c r="H22" s="228"/>
      <c r="I22" s="228"/>
      <c r="J22" s="228"/>
      <c r="K22" s="228"/>
      <c r="L22" s="228"/>
      <c r="M22" s="228"/>
      <c r="N22" s="228"/>
      <c r="O22" s="228"/>
      <c r="P22" s="228"/>
      <c r="Q22" s="228"/>
      <c r="R22" s="228"/>
      <c r="S22" s="7"/>
      <c r="U22" s="6"/>
      <c r="V22" s="11" t="s">
        <v>808</v>
      </c>
      <c r="W22" s="2"/>
      <c r="X22" s="2"/>
      <c r="Y22" s="2"/>
      <c r="Z22" s="2"/>
      <c r="AA22" s="2"/>
      <c r="AB22" s="2"/>
      <c r="AC22" s="2"/>
      <c r="AD22" s="2"/>
      <c r="AE22" s="2"/>
      <c r="AF22" s="2"/>
      <c r="AG22" s="2"/>
      <c r="AH22" s="2"/>
      <c r="AI22" s="2"/>
      <c r="AJ22" s="2"/>
      <c r="AK22" s="2"/>
      <c r="AL22" s="2"/>
      <c r="AM22" s="2"/>
      <c r="AN22" s="2"/>
      <c r="AO22" s="2"/>
      <c r="AP22" s="2"/>
      <c r="AQ22" s="2"/>
      <c r="AR22" s="2"/>
      <c r="AS22" s="2"/>
      <c r="AT22" s="2"/>
      <c r="AU22" s="7"/>
      <c r="AW22" s="6"/>
      <c r="AX22" s="2" t="s">
        <v>891</v>
      </c>
      <c r="AY22" s="2"/>
      <c r="AZ22" s="2"/>
      <c r="BA22" s="2"/>
      <c r="BB22" s="2"/>
      <c r="BC22" s="2"/>
      <c r="BD22" s="2"/>
      <c r="BE22" s="2"/>
      <c r="BF22" s="2"/>
      <c r="BG22" s="2"/>
      <c r="BH22" s="2"/>
      <c r="BI22" s="2"/>
      <c r="BJ22" s="2"/>
      <c r="BK22" s="2"/>
      <c r="BL22" s="2"/>
      <c r="BM22" s="2"/>
      <c r="BN22" s="2"/>
      <c r="BO22" s="2"/>
      <c r="BP22" s="2"/>
      <c r="BQ22" s="2"/>
      <c r="BR22" s="2"/>
      <c r="BS22" s="2"/>
      <c r="BT22" s="2"/>
      <c r="BU22" s="2"/>
      <c r="BV22" s="2"/>
      <c r="BW22" s="7"/>
    </row>
    <row r="23" spans="2:75" ht="13.5" customHeight="1">
      <c r="B23" s="6"/>
      <c r="C23" s="228" t="s">
        <v>8</v>
      </c>
      <c r="D23" s="228"/>
      <c r="E23" s="228"/>
      <c r="F23" s="228"/>
      <c r="G23" s="228"/>
      <c r="H23" s="228"/>
      <c r="I23" s="228"/>
      <c r="J23" s="228"/>
      <c r="K23" s="228"/>
      <c r="L23" s="228"/>
      <c r="M23" s="228"/>
      <c r="N23" s="228"/>
      <c r="O23" s="228"/>
      <c r="P23" s="228"/>
      <c r="Q23" s="228"/>
      <c r="R23" s="228"/>
      <c r="S23" s="7"/>
      <c r="U23" s="6"/>
      <c r="V23" s="2" t="s">
        <v>809</v>
      </c>
      <c r="W23" s="2"/>
      <c r="X23" s="2"/>
      <c r="Y23" s="2"/>
      <c r="Z23" s="2"/>
      <c r="AA23" s="2"/>
      <c r="AB23" s="2"/>
      <c r="AC23" s="2"/>
      <c r="AD23" s="2"/>
      <c r="AE23" s="2"/>
      <c r="AF23" s="2"/>
      <c r="AG23" s="2"/>
      <c r="AH23" s="2"/>
      <c r="AI23" s="2"/>
      <c r="AJ23" s="2"/>
      <c r="AK23" s="2"/>
      <c r="AL23" s="2"/>
      <c r="AM23" s="2"/>
      <c r="AN23" s="2"/>
      <c r="AO23" s="2"/>
      <c r="AP23" s="2"/>
      <c r="AQ23" s="2"/>
      <c r="AR23" s="2"/>
      <c r="AS23" s="2"/>
      <c r="AT23" s="2"/>
      <c r="AU23" s="7"/>
      <c r="AW23" s="6"/>
      <c r="AX23" s="2" t="s">
        <v>892</v>
      </c>
      <c r="AY23" s="2"/>
      <c r="AZ23" s="2"/>
      <c r="BA23" s="2"/>
      <c r="BB23" s="2"/>
      <c r="BC23" s="2"/>
      <c r="BD23" s="2"/>
      <c r="BE23" s="2"/>
      <c r="BF23" s="2"/>
      <c r="BG23" s="2"/>
      <c r="BH23" s="2"/>
      <c r="BI23" s="2"/>
      <c r="BJ23" s="2"/>
      <c r="BK23" s="2"/>
      <c r="BL23" s="2"/>
      <c r="BM23" s="2"/>
      <c r="BN23" s="2"/>
      <c r="BO23" s="2"/>
      <c r="BP23" s="2"/>
      <c r="BQ23" s="2"/>
      <c r="BR23" s="2"/>
      <c r="BS23" s="2"/>
      <c r="BT23" s="2"/>
      <c r="BU23" s="2"/>
      <c r="BV23" s="2"/>
      <c r="BW23" s="7"/>
    </row>
    <row r="24" spans="2:75" ht="13.5" customHeight="1" thickBot="1">
      <c r="B24" s="8"/>
      <c r="C24" s="9"/>
      <c r="D24" s="9"/>
      <c r="E24" s="9"/>
      <c r="F24" s="9"/>
      <c r="G24" s="9"/>
      <c r="H24" s="9"/>
      <c r="I24" s="9"/>
      <c r="J24" s="9"/>
      <c r="K24" s="9"/>
      <c r="L24" s="9"/>
      <c r="M24" s="9"/>
      <c r="N24" s="9"/>
      <c r="O24" s="9"/>
      <c r="P24" s="9"/>
      <c r="Q24" s="9"/>
      <c r="R24" s="9"/>
      <c r="S24" s="10"/>
      <c r="U24" s="6"/>
      <c r="V24" s="2" t="s">
        <v>811</v>
      </c>
      <c r="W24" s="2"/>
      <c r="X24" s="2"/>
      <c r="Y24" s="2"/>
      <c r="Z24" s="2"/>
      <c r="AA24" s="2"/>
      <c r="AB24" s="2"/>
      <c r="AC24" s="2"/>
      <c r="AD24" s="2"/>
      <c r="AE24" s="2"/>
      <c r="AF24" s="2"/>
      <c r="AG24" s="2"/>
      <c r="AH24" s="2"/>
      <c r="AI24" s="2"/>
      <c r="AJ24" s="2"/>
      <c r="AK24" s="2"/>
      <c r="AL24" s="2"/>
      <c r="AM24" s="2"/>
      <c r="AN24" s="2"/>
      <c r="AO24" s="2"/>
      <c r="AP24" s="2"/>
      <c r="AQ24" s="2"/>
      <c r="AR24" s="2"/>
      <c r="AS24" s="2"/>
      <c r="AT24" s="2"/>
      <c r="AU24" s="7"/>
      <c r="AW24" s="6"/>
      <c r="AX24" s="2" t="s">
        <v>893</v>
      </c>
      <c r="AY24" s="2"/>
      <c r="AZ24" s="2"/>
      <c r="BA24" s="2"/>
      <c r="BB24" s="2"/>
      <c r="BC24" s="2"/>
      <c r="BD24" s="2"/>
      <c r="BE24" s="2"/>
      <c r="BF24" s="2"/>
      <c r="BG24" s="2"/>
      <c r="BH24" s="2"/>
      <c r="BI24" s="2"/>
      <c r="BJ24" s="2"/>
      <c r="BK24" s="2"/>
      <c r="BL24" s="2"/>
      <c r="BM24" s="2"/>
      <c r="BN24" s="2"/>
      <c r="BO24" s="2"/>
      <c r="BP24" s="2"/>
      <c r="BQ24" s="2"/>
      <c r="BR24" s="2"/>
      <c r="BS24" s="2"/>
      <c r="BT24" s="2"/>
      <c r="BU24" s="2"/>
      <c r="BV24" s="2"/>
      <c r="BW24" s="7"/>
    </row>
    <row r="25" spans="2:75" ht="13.5" customHeight="1" thickBot="1">
      <c r="U25" s="6"/>
      <c r="V25" s="11" t="s">
        <v>814</v>
      </c>
      <c r="W25" s="2"/>
      <c r="X25" s="2"/>
      <c r="Y25" s="2"/>
      <c r="Z25" s="2"/>
      <c r="AA25" s="2"/>
      <c r="AB25" s="2"/>
      <c r="AC25" s="2"/>
      <c r="AD25" s="2"/>
      <c r="AE25" s="2"/>
      <c r="AF25" s="2"/>
      <c r="AG25" s="2"/>
      <c r="AH25" s="2"/>
      <c r="AI25" s="2"/>
      <c r="AJ25" s="2"/>
      <c r="AK25" s="2"/>
      <c r="AL25" s="2"/>
      <c r="AM25" s="2"/>
      <c r="AN25" s="2"/>
      <c r="AO25" s="2"/>
      <c r="AP25" s="2"/>
      <c r="AQ25" s="2"/>
      <c r="AR25" s="2"/>
      <c r="AS25" s="2"/>
      <c r="AT25" s="2"/>
      <c r="AU25" s="7"/>
      <c r="AW25" s="6"/>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7"/>
    </row>
    <row r="26" spans="2:75" ht="13.5" customHeight="1">
      <c r="B26" s="3"/>
      <c r="C26" s="4"/>
      <c r="D26" s="4"/>
      <c r="E26" s="4"/>
      <c r="F26" s="4"/>
      <c r="G26" s="4"/>
      <c r="H26" s="4"/>
      <c r="I26" s="4"/>
      <c r="J26" s="4"/>
      <c r="K26" s="4"/>
      <c r="L26" s="4"/>
      <c r="M26" s="4"/>
      <c r="N26" s="4"/>
      <c r="O26" s="4"/>
      <c r="P26" s="4"/>
      <c r="Q26" s="4"/>
      <c r="R26" s="4"/>
      <c r="S26" s="5"/>
      <c r="U26" s="6"/>
      <c r="V26" s="2" t="s">
        <v>815</v>
      </c>
      <c r="W26" s="2"/>
      <c r="X26" s="2"/>
      <c r="Y26" s="2"/>
      <c r="Z26" s="2"/>
      <c r="AA26" s="2"/>
      <c r="AB26" s="2"/>
      <c r="AC26" s="2"/>
      <c r="AD26" s="2"/>
      <c r="AE26" s="2"/>
      <c r="AF26" s="2"/>
      <c r="AG26" s="2"/>
      <c r="AH26" s="2"/>
      <c r="AI26" s="2"/>
      <c r="AJ26" s="2"/>
      <c r="AK26" s="2"/>
      <c r="AL26" s="2"/>
      <c r="AM26" s="2"/>
      <c r="AN26" s="2"/>
      <c r="AO26" s="2"/>
      <c r="AP26" s="2"/>
      <c r="AQ26" s="2"/>
      <c r="AR26" s="2"/>
      <c r="AS26" s="2"/>
      <c r="AT26" s="2"/>
      <c r="AU26" s="7"/>
      <c r="AW26" s="6"/>
      <c r="AX26" s="2" t="s">
        <v>894</v>
      </c>
      <c r="AY26" s="2"/>
      <c r="AZ26" s="2"/>
      <c r="BA26" s="2"/>
      <c r="BB26" s="2"/>
      <c r="BC26" s="2"/>
      <c r="BD26" s="2"/>
      <c r="BE26" s="2"/>
      <c r="BF26" s="2"/>
      <c r="BG26" s="2"/>
      <c r="BH26" s="2"/>
      <c r="BI26" s="2"/>
      <c r="BJ26" s="2"/>
      <c r="BK26" s="2"/>
      <c r="BL26" s="2"/>
      <c r="BM26" s="2"/>
      <c r="BN26" s="2"/>
      <c r="BO26" s="2"/>
      <c r="BP26" s="2"/>
      <c r="BQ26" s="2"/>
      <c r="BR26" s="2"/>
      <c r="BS26" s="2"/>
      <c r="BT26" s="2"/>
      <c r="BU26" s="2"/>
      <c r="BV26" s="2"/>
      <c r="BW26" s="7"/>
    </row>
    <row r="27" spans="2:75" ht="13.5" customHeight="1">
      <c r="B27" s="6"/>
      <c r="C27" s="224" t="s">
        <v>118</v>
      </c>
      <c r="D27" s="224"/>
      <c r="E27" s="224"/>
      <c r="F27" s="224"/>
      <c r="G27" s="224"/>
      <c r="H27" s="224"/>
      <c r="I27" s="224"/>
      <c r="J27" s="224"/>
      <c r="K27" s="224"/>
      <c r="L27" s="224"/>
      <c r="M27" s="224"/>
      <c r="N27" s="224"/>
      <c r="O27" s="224"/>
      <c r="P27" s="224"/>
      <c r="Q27" s="224"/>
      <c r="R27" s="224"/>
      <c r="S27" s="7"/>
      <c r="U27" s="6"/>
      <c r="V27" s="11" t="s">
        <v>816</v>
      </c>
      <c r="W27" s="2"/>
      <c r="X27" s="2"/>
      <c r="Y27" s="2"/>
      <c r="Z27" s="2"/>
      <c r="AA27" s="2"/>
      <c r="AB27" s="2"/>
      <c r="AC27" s="2"/>
      <c r="AD27" s="2"/>
      <c r="AE27" s="2"/>
      <c r="AF27" s="2"/>
      <c r="AG27" s="2"/>
      <c r="AH27" s="2"/>
      <c r="AI27" s="2"/>
      <c r="AJ27" s="2"/>
      <c r="AK27" s="2"/>
      <c r="AL27" s="2"/>
      <c r="AM27" s="2"/>
      <c r="AN27" s="2"/>
      <c r="AO27" s="2"/>
      <c r="AP27" s="2"/>
      <c r="AQ27" s="2"/>
      <c r="AR27" s="2"/>
      <c r="AS27" s="2"/>
      <c r="AT27" s="2"/>
      <c r="AU27" s="7"/>
      <c r="AW27" s="6"/>
      <c r="AX27" s="2" t="s">
        <v>895</v>
      </c>
      <c r="AY27" s="2"/>
      <c r="AZ27" s="2"/>
      <c r="BA27" s="2"/>
      <c r="BB27" s="2"/>
      <c r="BC27" s="2"/>
      <c r="BD27" s="2"/>
      <c r="BE27" s="2"/>
      <c r="BF27" s="2"/>
      <c r="BG27" s="2"/>
      <c r="BH27" s="2"/>
      <c r="BI27" s="2"/>
      <c r="BJ27" s="2"/>
      <c r="BK27" s="2"/>
      <c r="BL27" s="2"/>
      <c r="BM27" s="2"/>
      <c r="BN27" s="2"/>
      <c r="BO27" s="2"/>
      <c r="BP27" s="2"/>
      <c r="BQ27" s="2"/>
      <c r="BR27" s="2"/>
      <c r="BS27" s="2"/>
      <c r="BT27" s="2"/>
      <c r="BU27" s="2"/>
      <c r="BV27" s="2"/>
      <c r="BW27" s="7"/>
    </row>
    <row r="28" spans="2:75" ht="13.5" customHeight="1">
      <c r="B28" s="6"/>
      <c r="C28" s="225"/>
      <c r="D28" s="225"/>
      <c r="E28" s="225"/>
      <c r="F28" s="225"/>
      <c r="G28" s="225"/>
      <c r="H28" s="225"/>
      <c r="I28" s="225"/>
      <c r="J28" s="225"/>
      <c r="K28" s="225"/>
      <c r="L28" s="225"/>
      <c r="M28" s="225"/>
      <c r="N28" s="225"/>
      <c r="O28" s="225"/>
      <c r="P28" s="225"/>
      <c r="Q28" s="225"/>
      <c r="R28" s="225"/>
      <c r="S28" s="7"/>
      <c r="U28" s="6"/>
      <c r="V28" s="2" t="s">
        <v>817</v>
      </c>
      <c r="W28" s="2"/>
      <c r="X28" s="2"/>
      <c r="Y28" s="2"/>
      <c r="Z28" s="2"/>
      <c r="AA28" s="2"/>
      <c r="AB28" s="2"/>
      <c r="AC28" s="2"/>
      <c r="AD28" s="2"/>
      <c r="AE28" s="2"/>
      <c r="AF28" s="2"/>
      <c r="AG28" s="2"/>
      <c r="AH28" s="2"/>
      <c r="AI28" s="2"/>
      <c r="AJ28" s="2"/>
      <c r="AK28" s="2"/>
      <c r="AL28" s="2"/>
      <c r="AM28" s="2"/>
      <c r="AN28" s="2"/>
      <c r="AO28" s="2"/>
      <c r="AP28" s="2"/>
      <c r="AQ28" s="2"/>
      <c r="AR28" s="2"/>
      <c r="AS28" s="2"/>
      <c r="AT28" s="2"/>
      <c r="AU28" s="7"/>
      <c r="AW28" s="6"/>
      <c r="AX28" s="2" t="s">
        <v>896</v>
      </c>
      <c r="AY28" s="2"/>
      <c r="AZ28" s="2"/>
      <c r="BA28" s="2"/>
      <c r="BB28" s="2"/>
      <c r="BC28" s="2"/>
      <c r="BD28" s="2"/>
      <c r="BE28" s="2"/>
      <c r="BF28" s="2"/>
      <c r="BG28" s="2"/>
      <c r="BH28" s="2"/>
      <c r="BI28" s="2"/>
      <c r="BJ28" s="2"/>
      <c r="BK28" s="2"/>
      <c r="BL28" s="2"/>
      <c r="BM28" s="2"/>
      <c r="BN28" s="2"/>
      <c r="BO28" s="2"/>
      <c r="BP28" s="2"/>
      <c r="BQ28" s="2"/>
      <c r="BR28" s="2"/>
      <c r="BS28" s="2"/>
      <c r="BT28" s="2"/>
      <c r="BU28" s="2"/>
      <c r="BV28" s="2"/>
      <c r="BW28" s="7"/>
    </row>
    <row r="29" spans="2:75" ht="13.5" customHeight="1">
      <c r="B29" s="6"/>
      <c r="C29" s="222" t="s">
        <v>1288</v>
      </c>
      <c r="D29" s="222"/>
      <c r="E29" s="222"/>
      <c r="F29" s="222"/>
      <c r="G29" s="222"/>
      <c r="H29" s="222"/>
      <c r="I29" s="222"/>
      <c r="J29" s="222"/>
      <c r="K29" s="222"/>
      <c r="L29" s="222"/>
      <c r="M29" s="222"/>
      <c r="N29" s="222"/>
      <c r="O29" s="222"/>
      <c r="P29" s="222"/>
      <c r="Q29" s="222"/>
      <c r="R29" s="222"/>
      <c r="S29" s="7"/>
      <c r="U29" s="6"/>
      <c r="V29" s="11" t="s">
        <v>819</v>
      </c>
      <c r="W29" s="2"/>
      <c r="X29" s="2"/>
      <c r="Y29" s="2"/>
      <c r="Z29" s="2"/>
      <c r="AA29" s="2"/>
      <c r="AB29" s="2"/>
      <c r="AC29" s="2"/>
      <c r="AD29" s="2"/>
      <c r="AE29" s="2"/>
      <c r="AF29" s="2"/>
      <c r="AG29" s="2"/>
      <c r="AH29" s="2"/>
      <c r="AI29" s="2"/>
      <c r="AJ29" s="2"/>
      <c r="AK29" s="2"/>
      <c r="AL29" s="2"/>
      <c r="AM29" s="2"/>
      <c r="AN29" s="2"/>
      <c r="AO29" s="2"/>
      <c r="AP29" s="2"/>
      <c r="AQ29" s="2"/>
      <c r="AR29" s="2"/>
      <c r="AS29" s="2"/>
      <c r="AT29" s="2"/>
      <c r="AU29" s="7"/>
      <c r="AW29" s="6"/>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7"/>
    </row>
    <row r="30" spans="2:75" ht="13.5" customHeight="1">
      <c r="B30" s="6"/>
      <c r="C30" s="223"/>
      <c r="D30" s="223"/>
      <c r="E30" s="223"/>
      <c r="F30" s="223"/>
      <c r="G30" s="223"/>
      <c r="H30" s="223"/>
      <c r="I30" s="223"/>
      <c r="J30" s="223"/>
      <c r="K30" s="223"/>
      <c r="L30" s="223"/>
      <c r="M30" s="223"/>
      <c r="N30" s="223"/>
      <c r="O30" s="223"/>
      <c r="P30" s="223"/>
      <c r="Q30" s="223"/>
      <c r="R30" s="223"/>
      <c r="S30" s="7"/>
      <c r="U30" s="6"/>
      <c r="V30" s="2" t="s">
        <v>820</v>
      </c>
      <c r="W30" s="2"/>
      <c r="X30" s="2"/>
      <c r="Y30" s="2"/>
      <c r="Z30" s="2"/>
      <c r="AA30" s="2"/>
      <c r="AB30" s="2"/>
      <c r="AC30" s="2"/>
      <c r="AD30" s="2"/>
      <c r="AE30" s="2"/>
      <c r="AF30" s="2"/>
      <c r="AG30" s="2"/>
      <c r="AH30" s="2"/>
      <c r="AI30" s="2"/>
      <c r="AJ30" s="2"/>
      <c r="AK30" s="2"/>
      <c r="AL30" s="2"/>
      <c r="AM30" s="2"/>
      <c r="AN30" s="2"/>
      <c r="AO30" s="2"/>
      <c r="AP30" s="2"/>
      <c r="AQ30" s="2"/>
      <c r="AR30" s="2"/>
      <c r="AS30" s="2"/>
      <c r="AT30" s="2"/>
      <c r="AU30" s="7"/>
      <c r="AW30" s="6"/>
      <c r="AX30" s="2" t="s">
        <v>913</v>
      </c>
      <c r="AY30" s="2"/>
      <c r="AZ30" s="2"/>
      <c r="BA30" s="2"/>
      <c r="BB30" s="2"/>
      <c r="BC30" s="2"/>
      <c r="BD30" s="2"/>
      <c r="BE30" s="2"/>
      <c r="BF30" s="2"/>
      <c r="BG30" s="2"/>
      <c r="BH30" s="2"/>
      <c r="BI30" s="2"/>
      <c r="BJ30" s="2"/>
      <c r="BK30" s="2"/>
      <c r="BL30" s="2"/>
      <c r="BM30" s="2"/>
      <c r="BN30" s="2"/>
      <c r="BO30" s="2"/>
      <c r="BP30" s="2"/>
      <c r="BQ30" s="2"/>
      <c r="BR30" s="2"/>
      <c r="BS30" s="2"/>
      <c r="BT30" s="2"/>
      <c r="BU30" s="2"/>
      <c r="BV30" s="2"/>
      <c r="BW30" s="7"/>
    </row>
    <row r="31" spans="2:75" ht="13.5" customHeight="1">
      <c r="B31" s="6"/>
      <c r="C31" s="223"/>
      <c r="D31" s="223"/>
      <c r="E31" s="223"/>
      <c r="F31" s="223"/>
      <c r="G31" s="223"/>
      <c r="H31" s="223"/>
      <c r="I31" s="223"/>
      <c r="J31" s="223"/>
      <c r="K31" s="223"/>
      <c r="L31" s="223"/>
      <c r="M31" s="223"/>
      <c r="N31" s="223"/>
      <c r="O31" s="223"/>
      <c r="P31" s="223"/>
      <c r="Q31" s="223"/>
      <c r="R31" s="223"/>
      <c r="S31" s="7"/>
      <c r="U31" s="6"/>
      <c r="V31" s="2" t="s">
        <v>821</v>
      </c>
      <c r="W31" s="2"/>
      <c r="X31" s="2"/>
      <c r="Y31" s="2"/>
      <c r="Z31" s="2"/>
      <c r="AA31" s="2"/>
      <c r="AB31" s="2"/>
      <c r="AC31" s="2"/>
      <c r="AD31" s="2"/>
      <c r="AE31" s="2"/>
      <c r="AF31" s="2"/>
      <c r="AG31" s="2"/>
      <c r="AH31" s="2"/>
      <c r="AI31" s="2"/>
      <c r="AJ31" s="2"/>
      <c r="AK31" s="2"/>
      <c r="AL31" s="2"/>
      <c r="AM31" s="2"/>
      <c r="AN31" s="2"/>
      <c r="AO31" s="2"/>
      <c r="AP31" s="2"/>
      <c r="AQ31" s="2"/>
      <c r="AR31" s="2"/>
      <c r="AS31" s="2"/>
      <c r="AT31" s="2"/>
      <c r="AU31" s="7"/>
      <c r="AW31" s="6"/>
      <c r="AX31" s="2" t="s">
        <v>914</v>
      </c>
      <c r="AY31" s="2"/>
      <c r="AZ31" s="2"/>
      <c r="BA31" s="2"/>
      <c r="BB31" s="2"/>
      <c r="BC31" s="2"/>
      <c r="BD31" s="2"/>
      <c r="BE31" s="2"/>
      <c r="BF31" s="2"/>
      <c r="BG31" s="2"/>
      <c r="BH31" s="2"/>
      <c r="BI31" s="2"/>
      <c r="BJ31" s="2"/>
      <c r="BK31" s="2"/>
      <c r="BL31" s="2"/>
      <c r="BM31" s="2"/>
      <c r="BN31" s="2"/>
      <c r="BO31" s="2"/>
      <c r="BP31" s="2"/>
      <c r="BQ31" s="2"/>
      <c r="BR31" s="2"/>
      <c r="BS31" s="2"/>
      <c r="BT31" s="2"/>
      <c r="BU31" s="2"/>
      <c r="BV31" s="2"/>
      <c r="BW31" s="7"/>
    </row>
    <row r="32" spans="2:75" ht="13.5" customHeight="1">
      <c r="B32" s="6"/>
      <c r="C32" s="223"/>
      <c r="D32" s="223"/>
      <c r="E32" s="223"/>
      <c r="F32" s="223"/>
      <c r="G32" s="223"/>
      <c r="H32" s="223"/>
      <c r="I32" s="223"/>
      <c r="J32" s="223"/>
      <c r="K32" s="223"/>
      <c r="L32" s="223"/>
      <c r="M32" s="223"/>
      <c r="N32" s="223"/>
      <c r="O32" s="223"/>
      <c r="P32" s="223"/>
      <c r="Q32" s="223"/>
      <c r="R32" s="223"/>
      <c r="S32" s="7"/>
      <c r="U32" s="6"/>
      <c r="V32" s="2" t="s">
        <v>822</v>
      </c>
      <c r="W32" s="2"/>
      <c r="X32" s="2"/>
      <c r="Y32" s="2"/>
      <c r="Z32" s="2"/>
      <c r="AA32" s="2"/>
      <c r="AB32" s="2"/>
      <c r="AC32" s="2"/>
      <c r="AD32" s="2"/>
      <c r="AE32" s="2"/>
      <c r="AF32" s="2"/>
      <c r="AG32" s="2"/>
      <c r="AH32" s="2"/>
      <c r="AI32" s="2"/>
      <c r="AJ32" s="2"/>
      <c r="AK32" s="2"/>
      <c r="AL32" s="2"/>
      <c r="AM32" s="2"/>
      <c r="AN32" s="2"/>
      <c r="AO32" s="2"/>
      <c r="AP32" s="2"/>
      <c r="AQ32" s="2"/>
      <c r="AR32" s="2"/>
      <c r="AS32" s="2"/>
      <c r="AT32" s="2"/>
      <c r="AU32" s="7"/>
      <c r="AW32" s="6"/>
      <c r="AX32" s="2" t="s">
        <v>915</v>
      </c>
      <c r="AY32" s="2"/>
      <c r="AZ32" s="2"/>
      <c r="BA32" s="2"/>
      <c r="BB32" s="2"/>
      <c r="BC32" s="2"/>
      <c r="BD32" s="2"/>
      <c r="BE32" s="2"/>
      <c r="BF32" s="2"/>
      <c r="BG32" s="2"/>
      <c r="BH32" s="2"/>
      <c r="BI32" s="2"/>
      <c r="BJ32" s="2"/>
      <c r="BK32" s="2"/>
      <c r="BL32" s="2"/>
      <c r="BM32" s="2"/>
      <c r="BN32" s="2"/>
      <c r="BO32" s="2"/>
      <c r="BP32" s="2"/>
      <c r="BQ32" s="2"/>
      <c r="BR32" s="2"/>
      <c r="BS32" s="2"/>
      <c r="BT32" s="2"/>
      <c r="BU32" s="2"/>
      <c r="BV32" s="2"/>
      <c r="BW32" s="7"/>
    </row>
    <row r="33" spans="2:75" ht="13.5" customHeight="1" thickBot="1">
      <c r="B33" s="6"/>
      <c r="C33" s="223"/>
      <c r="D33" s="223"/>
      <c r="E33" s="223"/>
      <c r="F33" s="223"/>
      <c r="G33" s="223"/>
      <c r="H33" s="223"/>
      <c r="I33" s="223"/>
      <c r="J33" s="223"/>
      <c r="K33" s="223"/>
      <c r="L33" s="223"/>
      <c r="M33" s="223"/>
      <c r="N33" s="223"/>
      <c r="O33" s="223"/>
      <c r="P33" s="223"/>
      <c r="Q33" s="223"/>
      <c r="R33" s="223"/>
      <c r="S33" s="7"/>
      <c r="U33" s="6"/>
      <c r="V33" s="11" t="s">
        <v>825</v>
      </c>
      <c r="W33" s="2"/>
      <c r="X33" s="2"/>
      <c r="Y33" s="2"/>
      <c r="Z33" s="2"/>
      <c r="AA33" s="2"/>
      <c r="AB33" s="2"/>
      <c r="AC33" s="2"/>
      <c r="AD33" s="2"/>
      <c r="AE33" s="2"/>
      <c r="AF33" s="2"/>
      <c r="AG33" s="2"/>
      <c r="AH33" s="2"/>
      <c r="AI33" s="2"/>
      <c r="AJ33" s="2"/>
      <c r="AK33" s="2"/>
      <c r="AL33" s="2"/>
      <c r="AM33" s="2"/>
      <c r="AN33" s="2"/>
      <c r="AO33" s="2"/>
      <c r="AP33" s="2"/>
      <c r="AQ33" s="2"/>
      <c r="AR33" s="2"/>
      <c r="AS33" s="2"/>
      <c r="AT33" s="2"/>
      <c r="AU33" s="7"/>
      <c r="AW33" s="8"/>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10"/>
    </row>
    <row r="34" spans="2:75" ht="13.5" customHeight="1">
      <c r="B34" s="6"/>
      <c r="C34" s="223"/>
      <c r="D34" s="223"/>
      <c r="E34" s="223"/>
      <c r="F34" s="223"/>
      <c r="G34" s="223"/>
      <c r="H34" s="223"/>
      <c r="I34" s="223"/>
      <c r="J34" s="223"/>
      <c r="K34" s="223"/>
      <c r="L34" s="223"/>
      <c r="M34" s="223"/>
      <c r="N34" s="223"/>
      <c r="O34" s="223"/>
      <c r="P34" s="223"/>
      <c r="Q34" s="223"/>
      <c r="R34" s="223"/>
      <c r="S34" s="7"/>
      <c r="U34" s="6"/>
      <c r="V34" s="2" t="s">
        <v>826</v>
      </c>
      <c r="W34" s="2"/>
      <c r="X34" s="2"/>
      <c r="Y34" s="2"/>
      <c r="Z34" s="2"/>
      <c r="AA34" s="2"/>
      <c r="AB34" s="2"/>
      <c r="AC34" s="2"/>
      <c r="AD34" s="2"/>
      <c r="AE34" s="2"/>
      <c r="AF34" s="2"/>
      <c r="AG34" s="2"/>
      <c r="AH34" s="2"/>
      <c r="AI34" s="2"/>
      <c r="AJ34" s="2"/>
      <c r="AK34" s="2"/>
      <c r="AL34" s="2"/>
      <c r="AM34" s="2"/>
      <c r="AN34" s="2"/>
      <c r="AO34" s="2"/>
      <c r="AP34" s="2"/>
      <c r="AQ34" s="2"/>
      <c r="AR34" s="2"/>
      <c r="AS34" s="2"/>
      <c r="AT34" s="2"/>
      <c r="AU34" s="7"/>
    </row>
    <row r="35" spans="2:75" ht="13.5" customHeight="1">
      <c r="B35" s="6"/>
      <c r="C35" s="223"/>
      <c r="D35" s="223"/>
      <c r="E35" s="223"/>
      <c r="F35" s="223"/>
      <c r="G35" s="223"/>
      <c r="H35" s="223"/>
      <c r="I35" s="223"/>
      <c r="J35" s="223"/>
      <c r="K35" s="223"/>
      <c r="L35" s="223"/>
      <c r="M35" s="223"/>
      <c r="N35" s="223"/>
      <c r="O35" s="223"/>
      <c r="P35" s="223"/>
      <c r="Q35" s="223"/>
      <c r="R35" s="223"/>
      <c r="S35" s="7"/>
      <c r="U35" s="6"/>
      <c r="V35" s="11" t="s">
        <v>841</v>
      </c>
      <c r="W35" s="2"/>
      <c r="X35" s="2"/>
      <c r="Y35" s="2"/>
      <c r="Z35" s="2"/>
      <c r="AA35" s="2"/>
      <c r="AB35" s="2"/>
      <c r="AC35" s="2"/>
      <c r="AD35" s="2"/>
      <c r="AE35" s="2"/>
      <c r="AF35" s="2"/>
      <c r="AG35" s="2"/>
      <c r="AH35" s="2"/>
      <c r="AI35" s="2"/>
      <c r="AJ35" s="2"/>
      <c r="AK35" s="2"/>
      <c r="AL35" s="2"/>
      <c r="AM35" s="2"/>
      <c r="AN35" s="2"/>
      <c r="AO35" s="2"/>
      <c r="AP35" s="2"/>
      <c r="AQ35" s="2"/>
      <c r="AR35" s="2"/>
      <c r="AS35" s="2"/>
      <c r="AT35" s="2"/>
      <c r="AU35" s="7"/>
    </row>
    <row r="36" spans="2:75" ht="13.5" customHeight="1">
      <c r="B36" s="6"/>
      <c r="C36" s="223"/>
      <c r="D36" s="223"/>
      <c r="E36" s="223"/>
      <c r="F36" s="223"/>
      <c r="G36" s="223"/>
      <c r="H36" s="223"/>
      <c r="I36" s="223"/>
      <c r="J36" s="223"/>
      <c r="K36" s="223"/>
      <c r="L36" s="223"/>
      <c r="M36" s="223"/>
      <c r="N36" s="223"/>
      <c r="O36" s="223"/>
      <c r="P36" s="223"/>
      <c r="Q36" s="223"/>
      <c r="R36" s="223"/>
      <c r="S36" s="7"/>
      <c r="U36" s="6"/>
      <c r="V36" s="2" t="s">
        <v>842</v>
      </c>
      <c r="W36" s="2"/>
      <c r="X36" s="2"/>
      <c r="Y36" s="2"/>
      <c r="Z36" s="2"/>
      <c r="AA36" s="2"/>
      <c r="AB36" s="2"/>
      <c r="AC36" s="2"/>
      <c r="AD36" s="2"/>
      <c r="AE36" s="2"/>
      <c r="AF36" s="2"/>
      <c r="AG36" s="2"/>
      <c r="AH36" s="2"/>
      <c r="AI36" s="2"/>
      <c r="AJ36" s="2"/>
      <c r="AK36" s="2"/>
      <c r="AL36" s="2"/>
      <c r="AM36" s="2"/>
      <c r="AN36" s="2"/>
      <c r="AO36" s="2"/>
      <c r="AP36" s="2"/>
      <c r="AQ36" s="2"/>
      <c r="AR36" s="2"/>
      <c r="AS36" s="2"/>
      <c r="AT36" s="2"/>
      <c r="AU36" s="7"/>
    </row>
    <row r="37" spans="2:75" ht="13.5" customHeight="1">
      <c r="B37" s="6"/>
      <c r="C37" s="223"/>
      <c r="D37" s="223"/>
      <c r="E37" s="223"/>
      <c r="F37" s="223"/>
      <c r="G37" s="223"/>
      <c r="H37" s="223"/>
      <c r="I37" s="223"/>
      <c r="J37" s="223"/>
      <c r="K37" s="223"/>
      <c r="L37" s="223"/>
      <c r="M37" s="223"/>
      <c r="N37" s="223"/>
      <c r="O37" s="223"/>
      <c r="P37" s="223"/>
      <c r="Q37" s="223"/>
      <c r="R37" s="223"/>
      <c r="S37" s="7"/>
      <c r="U37" s="6"/>
      <c r="V37" s="2" t="s">
        <v>843</v>
      </c>
      <c r="W37" s="2"/>
      <c r="X37" s="2"/>
      <c r="Y37" s="2"/>
      <c r="Z37" s="2"/>
      <c r="AA37" s="2"/>
      <c r="AB37" s="2"/>
      <c r="AC37" s="2"/>
      <c r="AD37" s="2"/>
      <c r="AE37" s="2"/>
      <c r="AF37" s="2"/>
      <c r="AG37" s="2"/>
      <c r="AH37" s="2"/>
      <c r="AI37" s="2"/>
      <c r="AJ37" s="2"/>
      <c r="AK37" s="2"/>
      <c r="AL37" s="2"/>
      <c r="AM37" s="2"/>
      <c r="AN37" s="2"/>
      <c r="AO37" s="2"/>
      <c r="AP37" s="2"/>
      <c r="AQ37" s="2"/>
      <c r="AR37" s="2"/>
      <c r="AS37" s="2"/>
      <c r="AT37" s="2"/>
      <c r="AU37" s="7"/>
    </row>
    <row r="38" spans="2:75" ht="13.5" customHeight="1">
      <c r="B38" s="6"/>
      <c r="C38" s="223"/>
      <c r="D38" s="223"/>
      <c r="E38" s="223"/>
      <c r="F38" s="223"/>
      <c r="G38" s="223"/>
      <c r="H38" s="223"/>
      <c r="I38" s="223"/>
      <c r="J38" s="223"/>
      <c r="K38" s="223"/>
      <c r="L38" s="223"/>
      <c r="M38" s="223"/>
      <c r="N38" s="223"/>
      <c r="O38" s="223"/>
      <c r="P38" s="223"/>
      <c r="Q38" s="223"/>
      <c r="R38" s="223"/>
      <c r="S38" s="7"/>
      <c r="U38" s="6"/>
      <c r="V38" s="2" t="s">
        <v>844</v>
      </c>
      <c r="W38" s="2"/>
      <c r="X38" s="2"/>
      <c r="Y38" s="2"/>
      <c r="Z38" s="2"/>
      <c r="AA38" s="2"/>
      <c r="AB38" s="2"/>
      <c r="AC38" s="2"/>
      <c r="AD38" s="2"/>
      <c r="AE38" s="2"/>
      <c r="AF38" s="2"/>
      <c r="AG38" s="2"/>
      <c r="AH38" s="2"/>
      <c r="AI38" s="2"/>
      <c r="AJ38" s="2"/>
      <c r="AK38" s="2"/>
      <c r="AL38" s="2"/>
      <c r="AM38" s="2"/>
      <c r="AN38" s="2"/>
      <c r="AO38" s="2"/>
      <c r="AP38" s="2"/>
      <c r="AQ38" s="2"/>
      <c r="AR38" s="2"/>
      <c r="AS38" s="2"/>
      <c r="AT38" s="2"/>
      <c r="AU38" s="7"/>
    </row>
    <row r="39" spans="2:75" ht="13.5" customHeight="1">
      <c r="B39" s="6"/>
      <c r="C39" s="223"/>
      <c r="D39" s="223"/>
      <c r="E39" s="223"/>
      <c r="F39" s="223"/>
      <c r="G39" s="223"/>
      <c r="H39" s="223"/>
      <c r="I39" s="223"/>
      <c r="J39" s="223"/>
      <c r="K39" s="223"/>
      <c r="L39" s="223"/>
      <c r="M39" s="223"/>
      <c r="N39" s="223"/>
      <c r="O39" s="223"/>
      <c r="P39" s="223"/>
      <c r="Q39" s="223"/>
      <c r="R39" s="223"/>
      <c r="S39" s="7"/>
      <c r="U39" s="6"/>
      <c r="V39" s="2" t="s">
        <v>845</v>
      </c>
      <c r="W39" s="2"/>
      <c r="X39" s="2"/>
      <c r="Y39" s="2"/>
      <c r="Z39" s="2"/>
      <c r="AA39" s="2"/>
      <c r="AB39" s="2"/>
      <c r="AC39" s="2"/>
      <c r="AD39" s="2"/>
      <c r="AE39" s="2"/>
      <c r="AF39" s="2"/>
      <c r="AG39" s="2"/>
      <c r="AH39" s="2"/>
      <c r="AI39" s="2"/>
      <c r="AJ39" s="2"/>
      <c r="AK39" s="2"/>
      <c r="AL39" s="2"/>
      <c r="AM39" s="2"/>
      <c r="AN39" s="2"/>
      <c r="AO39" s="2"/>
      <c r="AP39" s="2"/>
      <c r="AQ39" s="2"/>
      <c r="AR39" s="2"/>
      <c r="AS39" s="2"/>
      <c r="AT39" s="2"/>
      <c r="AU39" s="7"/>
    </row>
    <row r="40" spans="2:75" ht="13.5" customHeight="1">
      <c r="B40" s="6"/>
      <c r="C40" s="223"/>
      <c r="D40" s="223"/>
      <c r="E40" s="223"/>
      <c r="F40" s="223"/>
      <c r="G40" s="223"/>
      <c r="H40" s="223"/>
      <c r="I40" s="223"/>
      <c r="J40" s="223"/>
      <c r="K40" s="223"/>
      <c r="L40" s="223"/>
      <c r="M40" s="223"/>
      <c r="N40" s="223"/>
      <c r="O40" s="223"/>
      <c r="P40" s="223"/>
      <c r="Q40" s="223"/>
      <c r="R40" s="223"/>
      <c r="S40" s="7"/>
      <c r="U40" s="6"/>
      <c r="V40" s="11" t="s">
        <v>846</v>
      </c>
      <c r="W40" s="2"/>
      <c r="X40" s="2"/>
      <c r="Y40" s="2"/>
      <c r="Z40" s="2"/>
      <c r="AA40" s="2"/>
      <c r="AB40" s="2"/>
      <c r="AC40" s="2"/>
      <c r="AD40" s="2"/>
      <c r="AE40" s="2"/>
      <c r="AF40" s="2"/>
      <c r="AG40" s="2"/>
      <c r="AH40" s="2"/>
      <c r="AI40" s="2"/>
      <c r="AJ40" s="2"/>
      <c r="AK40" s="2"/>
      <c r="AL40" s="2"/>
      <c r="AM40" s="2"/>
      <c r="AN40" s="2"/>
      <c r="AO40" s="2"/>
      <c r="AP40" s="2"/>
      <c r="AQ40" s="2"/>
      <c r="AR40" s="2"/>
      <c r="AS40" s="2"/>
      <c r="AT40" s="2"/>
      <c r="AU40" s="7"/>
    </row>
    <row r="41" spans="2:75" ht="13.5" customHeight="1">
      <c r="B41" s="6"/>
      <c r="C41" s="223"/>
      <c r="D41" s="223"/>
      <c r="E41" s="223"/>
      <c r="F41" s="223"/>
      <c r="G41" s="223"/>
      <c r="H41" s="223"/>
      <c r="I41" s="223"/>
      <c r="J41" s="223"/>
      <c r="K41" s="223"/>
      <c r="L41" s="223"/>
      <c r="M41" s="223"/>
      <c r="N41" s="223"/>
      <c r="O41" s="223"/>
      <c r="P41" s="223"/>
      <c r="Q41" s="223"/>
      <c r="R41" s="223"/>
      <c r="S41" s="7"/>
      <c r="U41" s="6"/>
      <c r="V41" s="2" t="s">
        <v>847</v>
      </c>
      <c r="W41" s="2"/>
      <c r="X41" s="2"/>
      <c r="Y41" s="2"/>
      <c r="Z41" s="2"/>
      <c r="AA41" s="2"/>
      <c r="AB41" s="2"/>
      <c r="AC41" s="2"/>
      <c r="AD41" s="2"/>
      <c r="AE41" s="2"/>
      <c r="AF41" s="2"/>
      <c r="AG41" s="2"/>
      <c r="AH41" s="2"/>
      <c r="AI41" s="2"/>
      <c r="AJ41" s="2"/>
      <c r="AK41" s="2"/>
      <c r="AL41" s="2"/>
      <c r="AM41" s="2"/>
      <c r="AN41" s="2"/>
      <c r="AO41" s="2"/>
      <c r="AP41" s="2"/>
      <c r="AQ41" s="2"/>
      <c r="AR41" s="2"/>
      <c r="AS41" s="2"/>
      <c r="AT41" s="2"/>
      <c r="AU41" s="7"/>
    </row>
    <row r="42" spans="2:75" ht="13.5" customHeight="1">
      <c r="B42" s="6"/>
      <c r="C42" s="223"/>
      <c r="D42" s="223"/>
      <c r="E42" s="223"/>
      <c r="F42" s="223"/>
      <c r="G42" s="223"/>
      <c r="H42" s="223"/>
      <c r="I42" s="223"/>
      <c r="J42" s="223"/>
      <c r="K42" s="223"/>
      <c r="L42" s="223"/>
      <c r="M42" s="223"/>
      <c r="N42" s="223"/>
      <c r="O42" s="223"/>
      <c r="P42" s="223"/>
      <c r="Q42" s="223"/>
      <c r="R42" s="223"/>
      <c r="S42" s="7"/>
      <c r="U42" s="6"/>
      <c r="V42" s="2" t="s">
        <v>848</v>
      </c>
      <c r="W42" s="2"/>
      <c r="X42" s="2"/>
      <c r="Y42" s="2"/>
      <c r="Z42" s="2"/>
      <c r="AA42" s="2"/>
      <c r="AB42" s="2"/>
      <c r="AC42" s="2"/>
      <c r="AD42" s="2"/>
      <c r="AE42" s="2"/>
      <c r="AF42" s="2"/>
      <c r="AG42" s="2"/>
      <c r="AH42" s="2"/>
      <c r="AI42" s="2"/>
      <c r="AJ42" s="2"/>
      <c r="AK42" s="2"/>
      <c r="AL42" s="2"/>
      <c r="AM42" s="2"/>
      <c r="AN42" s="2"/>
      <c r="AO42" s="2"/>
      <c r="AP42" s="2"/>
      <c r="AQ42" s="2"/>
      <c r="AR42" s="2"/>
      <c r="AS42" s="2"/>
      <c r="AT42" s="2"/>
      <c r="AU42" s="7"/>
    </row>
    <row r="43" spans="2:75" ht="13.5" customHeight="1">
      <c r="B43" s="6"/>
      <c r="C43" s="223"/>
      <c r="D43" s="223"/>
      <c r="E43" s="223"/>
      <c r="F43" s="223"/>
      <c r="G43" s="223"/>
      <c r="H43" s="223"/>
      <c r="I43" s="223"/>
      <c r="J43" s="223"/>
      <c r="K43" s="223"/>
      <c r="L43" s="223"/>
      <c r="M43" s="223"/>
      <c r="N43" s="223"/>
      <c r="O43" s="223"/>
      <c r="P43" s="223"/>
      <c r="Q43" s="223"/>
      <c r="R43" s="223"/>
      <c r="S43" s="7"/>
      <c r="U43" s="6"/>
      <c r="V43" s="2" t="s">
        <v>855</v>
      </c>
      <c r="W43" s="2"/>
      <c r="X43" s="2"/>
      <c r="Y43" s="2"/>
      <c r="Z43" s="2"/>
      <c r="AA43" s="2"/>
      <c r="AB43" s="2"/>
      <c r="AC43" s="2"/>
      <c r="AD43" s="2"/>
      <c r="AE43" s="2"/>
      <c r="AF43" s="2"/>
      <c r="AG43" s="2"/>
      <c r="AH43" s="2"/>
      <c r="AI43" s="2"/>
      <c r="AJ43" s="2"/>
      <c r="AK43" s="2"/>
      <c r="AL43" s="2"/>
      <c r="AM43" s="2"/>
      <c r="AN43" s="2"/>
      <c r="AO43" s="2"/>
      <c r="AP43" s="2"/>
      <c r="AQ43" s="2"/>
      <c r="AR43" s="2"/>
      <c r="AS43" s="2"/>
      <c r="AT43" s="2"/>
      <c r="AU43" s="7"/>
    </row>
    <row r="44" spans="2:75" ht="13.5" customHeight="1">
      <c r="B44" s="6"/>
      <c r="C44" s="223"/>
      <c r="D44" s="223"/>
      <c r="E44" s="223"/>
      <c r="F44" s="223"/>
      <c r="G44" s="223"/>
      <c r="H44" s="223"/>
      <c r="I44" s="223"/>
      <c r="J44" s="223"/>
      <c r="K44" s="223"/>
      <c r="L44" s="223"/>
      <c r="M44" s="223"/>
      <c r="N44" s="223"/>
      <c r="O44" s="223"/>
      <c r="P44" s="223"/>
      <c r="Q44" s="223"/>
      <c r="R44" s="223"/>
      <c r="S44" s="7"/>
      <c r="U44" s="6"/>
      <c r="V44" s="2" t="s">
        <v>859</v>
      </c>
      <c r="W44" s="2"/>
      <c r="X44" s="2"/>
      <c r="Y44" s="2"/>
      <c r="Z44" s="2"/>
      <c r="AA44" s="2"/>
      <c r="AB44" s="2"/>
      <c r="AC44" s="2"/>
      <c r="AD44" s="2"/>
      <c r="AE44" s="2"/>
      <c r="AF44" s="2"/>
      <c r="AG44" s="2"/>
      <c r="AH44" s="2"/>
      <c r="AI44" s="2"/>
      <c r="AJ44" s="2"/>
      <c r="AK44" s="2"/>
      <c r="AL44" s="2"/>
      <c r="AM44" s="2"/>
      <c r="AN44" s="2"/>
      <c r="AO44" s="2"/>
      <c r="AP44" s="2"/>
      <c r="AQ44" s="2"/>
      <c r="AR44" s="2"/>
      <c r="AS44" s="2"/>
      <c r="AT44" s="2"/>
      <c r="AU44" s="7"/>
    </row>
    <row r="45" spans="2:75" ht="13.5" customHeight="1">
      <c r="B45" s="6"/>
      <c r="C45" s="223"/>
      <c r="D45" s="223"/>
      <c r="E45" s="223"/>
      <c r="F45" s="223"/>
      <c r="G45" s="223"/>
      <c r="H45" s="223"/>
      <c r="I45" s="223"/>
      <c r="J45" s="223"/>
      <c r="K45" s="223"/>
      <c r="L45" s="223"/>
      <c r="M45" s="223"/>
      <c r="N45" s="223"/>
      <c r="O45" s="223"/>
      <c r="P45" s="223"/>
      <c r="Q45" s="223"/>
      <c r="R45" s="223"/>
      <c r="S45" s="7"/>
      <c r="U45" s="6"/>
      <c r="V45" s="2" t="s">
        <v>860</v>
      </c>
      <c r="W45" s="2"/>
      <c r="X45" s="2"/>
      <c r="Y45" s="2"/>
      <c r="Z45" s="2"/>
      <c r="AA45" s="2"/>
      <c r="AB45" s="2"/>
      <c r="AC45" s="2"/>
      <c r="AD45" s="2"/>
      <c r="AE45" s="2"/>
      <c r="AF45" s="2"/>
      <c r="AG45" s="2"/>
      <c r="AH45" s="2"/>
      <c r="AI45" s="2"/>
      <c r="AJ45" s="2"/>
      <c r="AK45" s="2"/>
      <c r="AL45" s="2"/>
      <c r="AM45" s="2"/>
      <c r="AN45" s="2"/>
      <c r="AO45" s="2"/>
      <c r="AP45" s="2"/>
      <c r="AQ45" s="2"/>
      <c r="AR45" s="2"/>
      <c r="AS45" s="2"/>
      <c r="AT45" s="2"/>
      <c r="AU45" s="7"/>
    </row>
    <row r="46" spans="2:75" ht="13.5" customHeight="1">
      <c r="B46" s="6"/>
      <c r="C46" s="223"/>
      <c r="D46" s="223"/>
      <c r="E46" s="223"/>
      <c r="F46" s="223"/>
      <c r="G46" s="223"/>
      <c r="H46" s="223"/>
      <c r="I46" s="223"/>
      <c r="J46" s="223"/>
      <c r="K46" s="223"/>
      <c r="L46" s="223"/>
      <c r="M46" s="223"/>
      <c r="N46" s="223"/>
      <c r="O46" s="223"/>
      <c r="P46" s="223"/>
      <c r="Q46" s="223"/>
      <c r="R46" s="223"/>
      <c r="S46" s="7"/>
      <c r="U46" s="6"/>
      <c r="V46" s="11" t="s">
        <v>870</v>
      </c>
      <c r="W46" s="2"/>
      <c r="X46" s="2"/>
      <c r="Y46" s="2"/>
      <c r="Z46" s="2"/>
      <c r="AA46" s="2"/>
      <c r="AB46" s="2"/>
      <c r="AC46" s="2"/>
      <c r="AD46" s="2"/>
      <c r="AE46" s="2"/>
      <c r="AF46" s="2"/>
      <c r="AG46" s="2"/>
      <c r="AH46" s="2"/>
      <c r="AI46" s="2"/>
      <c r="AJ46" s="2"/>
      <c r="AK46" s="2"/>
      <c r="AL46" s="2"/>
      <c r="AM46" s="2"/>
      <c r="AN46" s="2"/>
      <c r="AO46" s="2"/>
      <c r="AP46" s="2"/>
      <c r="AQ46" s="2"/>
      <c r="AR46" s="2"/>
      <c r="AS46" s="2"/>
      <c r="AT46" s="2"/>
      <c r="AU46" s="7"/>
    </row>
    <row r="47" spans="2:75" ht="13.5" customHeight="1">
      <c r="B47" s="6"/>
      <c r="C47" s="223"/>
      <c r="D47" s="223"/>
      <c r="E47" s="223"/>
      <c r="F47" s="223"/>
      <c r="G47" s="223"/>
      <c r="H47" s="223"/>
      <c r="I47" s="223"/>
      <c r="J47" s="223"/>
      <c r="K47" s="223"/>
      <c r="L47" s="223"/>
      <c r="M47" s="223"/>
      <c r="N47" s="223"/>
      <c r="O47" s="223"/>
      <c r="P47" s="223"/>
      <c r="Q47" s="223"/>
      <c r="R47" s="223"/>
      <c r="S47" s="7"/>
      <c r="U47" s="6"/>
      <c r="V47" s="2" t="s">
        <v>871</v>
      </c>
      <c r="W47" s="2"/>
      <c r="X47" s="2"/>
      <c r="Y47" s="2"/>
      <c r="Z47" s="2"/>
      <c r="AA47" s="2"/>
      <c r="AB47" s="2"/>
      <c r="AC47" s="2"/>
      <c r="AD47" s="2"/>
      <c r="AE47" s="2"/>
      <c r="AF47" s="2"/>
      <c r="AG47" s="2"/>
      <c r="AH47" s="2"/>
      <c r="AI47" s="2"/>
      <c r="AJ47" s="2"/>
      <c r="AK47" s="2"/>
      <c r="AL47" s="2"/>
      <c r="AM47" s="2"/>
      <c r="AN47" s="2"/>
      <c r="AO47" s="2"/>
      <c r="AP47" s="2"/>
      <c r="AQ47" s="2"/>
      <c r="AR47" s="2"/>
      <c r="AS47" s="2"/>
      <c r="AT47" s="2"/>
      <c r="AU47" s="7"/>
    </row>
    <row r="48" spans="2:75" ht="13.5" customHeight="1">
      <c r="B48" s="6"/>
      <c r="C48" s="223"/>
      <c r="D48" s="223"/>
      <c r="E48" s="223"/>
      <c r="F48" s="223"/>
      <c r="G48" s="223"/>
      <c r="H48" s="223"/>
      <c r="I48" s="223"/>
      <c r="J48" s="223"/>
      <c r="K48" s="223"/>
      <c r="L48" s="223"/>
      <c r="M48" s="223"/>
      <c r="N48" s="223"/>
      <c r="O48" s="223"/>
      <c r="P48" s="223"/>
      <c r="Q48" s="223"/>
      <c r="R48" s="223"/>
      <c r="S48" s="7"/>
      <c r="U48" s="6"/>
      <c r="V48" s="11" t="s">
        <v>874</v>
      </c>
      <c r="W48" s="2"/>
      <c r="X48" s="2"/>
      <c r="Y48" s="2"/>
      <c r="Z48" s="2"/>
      <c r="AA48" s="2"/>
      <c r="AB48" s="2"/>
      <c r="AC48" s="2"/>
      <c r="AD48" s="2"/>
      <c r="AE48" s="2"/>
      <c r="AF48" s="2"/>
      <c r="AG48" s="2"/>
      <c r="AH48" s="2"/>
      <c r="AI48" s="2"/>
      <c r="AJ48" s="2"/>
      <c r="AK48" s="2"/>
      <c r="AL48" s="2"/>
      <c r="AM48" s="2"/>
      <c r="AN48" s="2"/>
      <c r="AO48" s="2"/>
      <c r="AP48" s="2"/>
      <c r="AQ48" s="2"/>
      <c r="AR48" s="2"/>
      <c r="AS48" s="2"/>
      <c r="AT48" s="2"/>
      <c r="AU48" s="7"/>
    </row>
    <row r="49" spans="2:47" ht="13.5" customHeight="1">
      <c r="B49" s="6"/>
      <c r="C49" s="223"/>
      <c r="D49" s="223"/>
      <c r="E49" s="223"/>
      <c r="F49" s="223"/>
      <c r="G49" s="223"/>
      <c r="H49" s="223"/>
      <c r="I49" s="223"/>
      <c r="J49" s="223"/>
      <c r="K49" s="223"/>
      <c r="L49" s="223"/>
      <c r="M49" s="223"/>
      <c r="N49" s="223"/>
      <c r="O49" s="223"/>
      <c r="P49" s="223"/>
      <c r="Q49" s="223"/>
      <c r="R49" s="223"/>
      <c r="S49" s="7"/>
      <c r="U49" s="6"/>
      <c r="V49" s="2" t="s">
        <v>875</v>
      </c>
      <c r="W49" s="2"/>
      <c r="X49" s="2"/>
      <c r="Y49" s="2"/>
      <c r="Z49" s="2"/>
      <c r="AA49" s="2"/>
      <c r="AB49" s="2"/>
      <c r="AC49" s="2"/>
      <c r="AD49" s="2"/>
      <c r="AE49" s="2"/>
      <c r="AF49" s="2"/>
      <c r="AG49" s="2"/>
      <c r="AH49" s="2"/>
      <c r="AI49" s="2"/>
      <c r="AJ49" s="2"/>
      <c r="AK49" s="2"/>
      <c r="AL49" s="2"/>
      <c r="AM49" s="2"/>
      <c r="AN49" s="2"/>
      <c r="AO49" s="2"/>
      <c r="AP49" s="2"/>
      <c r="AQ49" s="2"/>
      <c r="AR49" s="2"/>
      <c r="AS49" s="2"/>
      <c r="AT49" s="2"/>
      <c r="AU49" s="7"/>
    </row>
    <row r="50" spans="2:47" ht="13.5" customHeight="1">
      <c r="B50" s="6"/>
      <c r="C50" s="223"/>
      <c r="D50" s="223"/>
      <c r="E50" s="223"/>
      <c r="F50" s="223"/>
      <c r="G50" s="223"/>
      <c r="H50" s="223"/>
      <c r="I50" s="223"/>
      <c r="J50" s="223"/>
      <c r="K50" s="223"/>
      <c r="L50" s="223"/>
      <c r="M50" s="223"/>
      <c r="N50" s="223"/>
      <c r="O50" s="223"/>
      <c r="P50" s="223"/>
      <c r="Q50" s="223"/>
      <c r="R50" s="223"/>
      <c r="S50" s="7"/>
      <c r="U50" s="6"/>
      <c r="V50" s="2" t="s">
        <v>876</v>
      </c>
      <c r="W50" s="2"/>
      <c r="X50" s="2"/>
      <c r="Y50" s="2"/>
      <c r="Z50" s="2"/>
      <c r="AA50" s="2"/>
      <c r="AB50" s="2"/>
      <c r="AC50" s="2"/>
      <c r="AD50" s="2"/>
      <c r="AE50" s="2"/>
      <c r="AF50" s="2"/>
      <c r="AG50" s="2"/>
      <c r="AH50" s="2"/>
      <c r="AI50" s="2"/>
      <c r="AJ50" s="2"/>
      <c r="AK50" s="2"/>
      <c r="AL50" s="2"/>
      <c r="AM50" s="2"/>
      <c r="AN50" s="2"/>
      <c r="AO50" s="2"/>
      <c r="AP50" s="2"/>
      <c r="AQ50" s="2"/>
      <c r="AR50" s="2"/>
      <c r="AS50" s="2"/>
      <c r="AT50" s="2"/>
      <c r="AU50" s="7"/>
    </row>
    <row r="51" spans="2:47" ht="13.5" customHeight="1" thickBot="1">
      <c r="B51" s="8"/>
      <c r="C51" s="9"/>
      <c r="D51" s="9"/>
      <c r="E51" s="9"/>
      <c r="F51" s="9"/>
      <c r="G51" s="9"/>
      <c r="H51" s="9"/>
      <c r="I51" s="9"/>
      <c r="J51" s="9"/>
      <c r="K51" s="9"/>
      <c r="L51" s="9"/>
      <c r="M51" s="9"/>
      <c r="N51" s="9"/>
      <c r="O51" s="9"/>
      <c r="P51" s="9"/>
      <c r="Q51" s="9"/>
      <c r="R51" s="9"/>
      <c r="S51" s="10"/>
      <c r="U51" s="6"/>
      <c r="V51" s="2" t="s">
        <v>877</v>
      </c>
      <c r="W51" s="2"/>
      <c r="X51" s="2"/>
      <c r="Y51" s="2"/>
      <c r="Z51" s="2"/>
      <c r="AA51" s="2"/>
      <c r="AB51" s="2"/>
      <c r="AC51" s="2"/>
      <c r="AD51" s="2"/>
      <c r="AE51" s="2"/>
      <c r="AF51" s="2"/>
      <c r="AG51" s="2"/>
      <c r="AH51" s="2"/>
      <c r="AI51" s="2"/>
      <c r="AJ51" s="2"/>
      <c r="AK51" s="2"/>
      <c r="AL51" s="2"/>
      <c r="AM51" s="2"/>
      <c r="AN51" s="2"/>
      <c r="AO51" s="2"/>
      <c r="AP51" s="2"/>
      <c r="AQ51" s="2"/>
      <c r="AR51" s="2"/>
      <c r="AS51" s="2"/>
      <c r="AT51" s="2"/>
      <c r="AU51" s="7"/>
    </row>
    <row r="52" spans="2:47" ht="13.5" customHeight="1">
      <c r="U52" s="6"/>
      <c r="V52" s="11" t="s">
        <v>879</v>
      </c>
      <c r="W52" s="2"/>
      <c r="X52" s="2"/>
      <c r="Y52" s="2"/>
      <c r="Z52" s="2"/>
      <c r="AA52" s="2"/>
      <c r="AB52" s="2"/>
      <c r="AC52" s="2"/>
      <c r="AD52" s="2"/>
      <c r="AE52" s="2"/>
      <c r="AF52" s="2"/>
      <c r="AG52" s="2"/>
      <c r="AH52" s="2"/>
      <c r="AI52" s="2"/>
      <c r="AJ52" s="2"/>
      <c r="AK52" s="2"/>
      <c r="AL52" s="2"/>
      <c r="AM52" s="2"/>
      <c r="AN52" s="2"/>
      <c r="AO52" s="2"/>
      <c r="AP52" s="2"/>
      <c r="AQ52" s="2"/>
      <c r="AR52" s="2"/>
      <c r="AS52" s="2"/>
      <c r="AT52" s="2"/>
      <c r="AU52" s="7"/>
    </row>
    <row r="53" spans="2:47" ht="13.5" customHeight="1">
      <c r="U53" s="6"/>
      <c r="V53" s="2" t="s">
        <v>880</v>
      </c>
      <c r="W53" s="2"/>
      <c r="X53" s="2"/>
      <c r="Y53" s="2"/>
      <c r="Z53" s="2"/>
      <c r="AA53" s="2"/>
      <c r="AB53" s="2"/>
      <c r="AC53" s="2"/>
      <c r="AD53" s="2"/>
      <c r="AE53" s="2"/>
      <c r="AF53" s="2"/>
      <c r="AG53" s="2"/>
      <c r="AH53" s="2"/>
      <c r="AI53" s="2"/>
      <c r="AJ53" s="2"/>
      <c r="AK53" s="2"/>
      <c r="AL53" s="2"/>
      <c r="AM53" s="2"/>
      <c r="AN53" s="2"/>
      <c r="AO53" s="2"/>
      <c r="AP53" s="2"/>
      <c r="AQ53" s="2"/>
      <c r="AR53" s="2"/>
      <c r="AS53" s="2"/>
      <c r="AT53" s="2"/>
      <c r="AU53" s="7"/>
    </row>
    <row r="54" spans="2:47" ht="13.5" customHeight="1">
      <c r="U54" s="6"/>
      <c r="V54" s="2" t="s">
        <v>881</v>
      </c>
      <c r="W54" s="2"/>
      <c r="X54" s="2"/>
      <c r="Y54" s="2"/>
      <c r="Z54" s="2"/>
      <c r="AA54" s="2"/>
      <c r="AB54" s="2"/>
      <c r="AC54" s="2"/>
      <c r="AD54" s="2"/>
      <c r="AE54" s="2"/>
      <c r="AF54" s="2"/>
      <c r="AG54" s="2"/>
      <c r="AH54" s="2"/>
      <c r="AI54" s="2"/>
      <c r="AJ54" s="2"/>
      <c r="AK54" s="2"/>
      <c r="AL54" s="2"/>
      <c r="AM54" s="2"/>
      <c r="AN54" s="2"/>
      <c r="AO54" s="2"/>
      <c r="AP54" s="2"/>
      <c r="AQ54" s="2"/>
      <c r="AR54" s="2"/>
      <c r="AS54" s="2"/>
      <c r="AT54" s="2"/>
      <c r="AU54" s="7"/>
    </row>
    <row r="55" spans="2:47" ht="13.5" customHeight="1">
      <c r="U55" s="6"/>
      <c r="V55" s="2" t="s">
        <v>882</v>
      </c>
      <c r="W55" s="2"/>
      <c r="X55" s="2"/>
      <c r="Y55" s="2"/>
      <c r="Z55" s="2"/>
      <c r="AA55" s="2"/>
      <c r="AB55" s="2"/>
      <c r="AC55" s="2"/>
      <c r="AD55" s="2"/>
      <c r="AE55" s="2"/>
      <c r="AF55" s="2"/>
      <c r="AG55" s="2"/>
      <c r="AH55" s="2"/>
      <c r="AI55" s="2"/>
      <c r="AJ55" s="2"/>
      <c r="AK55" s="2"/>
      <c r="AL55" s="2"/>
      <c r="AM55" s="2"/>
      <c r="AN55" s="2"/>
      <c r="AO55" s="2"/>
      <c r="AP55" s="2"/>
      <c r="AQ55" s="2"/>
      <c r="AR55" s="2"/>
      <c r="AS55" s="2"/>
      <c r="AT55" s="2"/>
      <c r="AU55" s="7"/>
    </row>
    <row r="56" spans="2:47" ht="13.5" customHeight="1">
      <c r="U56" s="6"/>
      <c r="V56" s="2" t="s">
        <v>883</v>
      </c>
      <c r="W56" s="2"/>
      <c r="X56" s="2"/>
      <c r="Y56" s="2"/>
      <c r="Z56" s="2"/>
      <c r="AA56" s="2"/>
      <c r="AB56" s="2"/>
      <c r="AC56" s="2"/>
      <c r="AD56" s="2"/>
      <c r="AE56" s="2"/>
      <c r="AF56" s="2"/>
      <c r="AG56" s="2"/>
      <c r="AH56" s="2"/>
      <c r="AI56" s="2"/>
      <c r="AJ56" s="2"/>
      <c r="AK56" s="2"/>
      <c r="AL56" s="2"/>
      <c r="AM56" s="2"/>
      <c r="AN56" s="2"/>
      <c r="AO56" s="2"/>
      <c r="AP56" s="2"/>
      <c r="AQ56" s="2"/>
      <c r="AR56" s="2"/>
      <c r="AS56" s="2"/>
      <c r="AT56" s="2"/>
      <c r="AU56" s="7"/>
    </row>
    <row r="57" spans="2:47" ht="13.5" customHeight="1">
      <c r="U57" s="6"/>
      <c r="V57" s="2" t="s">
        <v>885</v>
      </c>
      <c r="W57" s="2"/>
      <c r="X57" s="2"/>
      <c r="Y57" s="2"/>
      <c r="Z57" s="2"/>
      <c r="AA57" s="2"/>
      <c r="AB57" s="2"/>
      <c r="AC57" s="2"/>
      <c r="AD57" s="2"/>
      <c r="AE57" s="2"/>
      <c r="AF57" s="2"/>
      <c r="AG57" s="2"/>
      <c r="AH57" s="2"/>
      <c r="AI57" s="2"/>
      <c r="AJ57" s="2"/>
      <c r="AK57" s="2"/>
      <c r="AL57" s="2"/>
      <c r="AM57" s="2"/>
      <c r="AN57" s="2"/>
      <c r="AO57" s="2"/>
      <c r="AP57" s="2"/>
      <c r="AQ57" s="2"/>
      <c r="AR57" s="2"/>
      <c r="AS57" s="2"/>
      <c r="AT57" s="2"/>
      <c r="AU57" s="7"/>
    </row>
    <row r="58" spans="2:47" ht="13.5" customHeight="1">
      <c r="U58" s="6"/>
      <c r="V58" s="2" t="s">
        <v>886</v>
      </c>
      <c r="W58" s="2"/>
      <c r="X58" s="2"/>
      <c r="Y58" s="2"/>
      <c r="Z58" s="2"/>
      <c r="AA58" s="2"/>
      <c r="AB58" s="2"/>
      <c r="AC58" s="2"/>
      <c r="AD58" s="2"/>
      <c r="AE58" s="2"/>
      <c r="AF58" s="2"/>
      <c r="AG58" s="2"/>
      <c r="AH58" s="2"/>
      <c r="AI58" s="2"/>
      <c r="AJ58" s="2"/>
      <c r="AK58" s="2"/>
      <c r="AL58" s="2"/>
      <c r="AM58" s="2"/>
      <c r="AN58" s="2"/>
      <c r="AO58" s="2"/>
      <c r="AP58" s="2"/>
      <c r="AQ58" s="2"/>
      <c r="AR58" s="2"/>
      <c r="AS58" s="2"/>
      <c r="AT58" s="2"/>
      <c r="AU58" s="7"/>
    </row>
    <row r="59" spans="2:47" ht="13.5" customHeight="1">
      <c r="U59" s="6"/>
      <c r="V59" s="2" t="s">
        <v>887</v>
      </c>
      <c r="W59" s="2"/>
      <c r="X59" s="2"/>
      <c r="Y59" s="2"/>
      <c r="Z59" s="2"/>
      <c r="AA59" s="2"/>
      <c r="AB59" s="2"/>
      <c r="AC59" s="2"/>
      <c r="AD59" s="2"/>
      <c r="AE59" s="2"/>
      <c r="AF59" s="2"/>
      <c r="AG59" s="2"/>
      <c r="AH59" s="2"/>
      <c r="AI59" s="2"/>
      <c r="AJ59" s="2"/>
      <c r="AK59" s="2"/>
      <c r="AL59" s="2"/>
      <c r="AM59" s="2"/>
      <c r="AN59" s="2"/>
      <c r="AO59" s="2"/>
      <c r="AP59" s="2"/>
      <c r="AQ59" s="2"/>
      <c r="AR59" s="2"/>
      <c r="AS59" s="2"/>
      <c r="AT59" s="2"/>
      <c r="AU59" s="7"/>
    </row>
    <row r="60" spans="2:47" ht="13.5" customHeight="1">
      <c r="U60" s="6"/>
      <c r="V60" s="2" t="s">
        <v>884</v>
      </c>
      <c r="W60" s="2"/>
      <c r="X60" s="2"/>
      <c r="Y60" s="2"/>
      <c r="Z60" s="2"/>
      <c r="AA60" s="2"/>
      <c r="AB60" s="2"/>
      <c r="AC60" s="2"/>
      <c r="AD60" s="2"/>
      <c r="AE60" s="2"/>
      <c r="AF60" s="2"/>
      <c r="AG60" s="2"/>
      <c r="AH60" s="2"/>
      <c r="AI60" s="2"/>
      <c r="AJ60" s="2"/>
      <c r="AK60" s="2"/>
      <c r="AL60" s="2"/>
      <c r="AM60" s="2"/>
      <c r="AN60" s="2"/>
      <c r="AO60" s="2"/>
      <c r="AP60" s="2"/>
      <c r="AQ60" s="2"/>
      <c r="AR60" s="2"/>
      <c r="AS60" s="2"/>
      <c r="AT60" s="2"/>
      <c r="AU60" s="7"/>
    </row>
    <row r="61" spans="2:47" ht="13.5" customHeight="1">
      <c r="U61" s="6"/>
      <c r="V61" s="11" t="s">
        <v>888</v>
      </c>
      <c r="W61" s="2"/>
      <c r="X61" s="2"/>
      <c r="Y61" s="2"/>
      <c r="Z61" s="2"/>
      <c r="AA61" s="2"/>
      <c r="AB61" s="2"/>
      <c r="AC61" s="2"/>
      <c r="AD61" s="2"/>
      <c r="AE61" s="2"/>
      <c r="AF61" s="2"/>
      <c r="AG61" s="2"/>
      <c r="AH61" s="2"/>
      <c r="AI61" s="2"/>
      <c r="AJ61" s="2"/>
      <c r="AK61" s="2"/>
      <c r="AL61" s="2"/>
      <c r="AM61" s="2"/>
      <c r="AN61" s="2"/>
      <c r="AO61" s="2"/>
      <c r="AP61" s="2"/>
      <c r="AQ61" s="2"/>
      <c r="AR61" s="2"/>
      <c r="AS61" s="2"/>
      <c r="AT61" s="2"/>
      <c r="AU61" s="7"/>
    </row>
    <row r="62" spans="2:47" ht="13.5" customHeight="1">
      <c r="U62" s="6"/>
      <c r="V62" s="2" t="s">
        <v>889</v>
      </c>
      <c r="W62" s="2"/>
      <c r="X62" s="2"/>
      <c r="Y62" s="2"/>
      <c r="Z62" s="2"/>
      <c r="AA62" s="2"/>
      <c r="AB62" s="2"/>
      <c r="AC62" s="2"/>
      <c r="AD62" s="2"/>
      <c r="AE62" s="2"/>
      <c r="AF62" s="2"/>
      <c r="AG62" s="2"/>
      <c r="AH62" s="2"/>
      <c r="AI62" s="2"/>
      <c r="AJ62" s="2"/>
      <c r="AK62" s="2"/>
      <c r="AL62" s="2"/>
      <c r="AM62" s="2"/>
      <c r="AN62" s="2"/>
      <c r="AO62" s="2"/>
      <c r="AP62" s="2"/>
      <c r="AQ62" s="2"/>
      <c r="AR62" s="2"/>
      <c r="AS62" s="2"/>
      <c r="AT62" s="2"/>
      <c r="AU62" s="7"/>
    </row>
    <row r="63" spans="2:47" ht="13.5" customHeight="1">
      <c r="U63" s="6"/>
      <c r="V63" s="2" t="s">
        <v>900</v>
      </c>
      <c r="W63" s="2"/>
      <c r="X63" s="2"/>
      <c r="Y63" s="2"/>
      <c r="Z63" s="2"/>
      <c r="AA63" s="2"/>
      <c r="AB63" s="2"/>
      <c r="AC63" s="2"/>
      <c r="AD63" s="2"/>
      <c r="AE63" s="2"/>
      <c r="AF63" s="2"/>
      <c r="AG63" s="2"/>
      <c r="AH63" s="2"/>
      <c r="AI63" s="2"/>
      <c r="AJ63" s="2"/>
      <c r="AK63" s="2"/>
      <c r="AL63" s="2"/>
      <c r="AM63" s="2"/>
      <c r="AN63" s="2"/>
      <c r="AO63" s="2"/>
      <c r="AP63" s="2"/>
      <c r="AQ63" s="2"/>
      <c r="AR63" s="2"/>
      <c r="AS63" s="2"/>
      <c r="AT63" s="2"/>
      <c r="AU63" s="7"/>
    </row>
    <row r="64" spans="2:47" ht="13.5" customHeight="1">
      <c r="U64" s="6"/>
      <c r="V64" s="11" t="s">
        <v>902</v>
      </c>
      <c r="W64" s="2"/>
      <c r="X64" s="2"/>
      <c r="Y64" s="2"/>
      <c r="Z64" s="2"/>
      <c r="AA64" s="2"/>
      <c r="AB64" s="2"/>
      <c r="AC64" s="2"/>
      <c r="AD64" s="2"/>
      <c r="AE64" s="2"/>
      <c r="AF64" s="2"/>
      <c r="AG64" s="2"/>
      <c r="AH64" s="2"/>
      <c r="AI64" s="2"/>
      <c r="AJ64" s="2"/>
      <c r="AK64" s="2"/>
      <c r="AL64" s="2"/>
      <c r="AM64" s="2"/>
      <c r="AN64" s="2"/>
      <c r="AO64" s="2"/>
      <c r="AP64" s="2"/>
      <c r="AQ64" s="2"/>
      <c r="AR64" s="2"/>
      <c r="AS64" s="2"/>
      <c r="AT64" s="2"/>
      <c r="AU64" s="7"/>
    </row>
    <row r="65" spans="21:47" ht="13.5" customHeight="1">
      <c r="U65" s="6"/>
      <c r="V65" s="2" t="s">
        <v>903</v>
      </c>
      <c r="W65" s="2"/>
      <c r="X65" s="2"/>
      <c r="Y65" s="2"/>
      <c r="Z65" s="2"/>
      <c r="AA65" s="2"/>
      <c r="AB65" s="2"/>
      <c r="AC65" s="2"/>
      <c r="AD65" s="2"/>
      <c r="AE65" s="2"/>
      <c r="AF65" s="2"/>
      <c r="AG65" s="2"/>
      <c r="AH65" s="2"/>
      <c r="AI65" s="2"/>
      <c r="AJ65" s="2"/>
      <c r="AK65" s="2"/>
      <c r="AL65" s="2"/>
      <c r="AM65" s="2"/>
      <c r="AN65" s="2"/>
      <c r="AO65" s="2"/>
      <c r="AP65" s="2"/>
      <c r="AQ65" s="2"/>
      <c r="AR65" s="2"/>
      <c r="AS65" s="2"/>
      <c r="AT65" s="2"/>
      <c r="AU65" s="7"/>
    </row>
    <row r="66" spans="21:47" ht="13.5" customHeight="1">
      <c r="U66" s="6"/>
      <c r="V66" s="11" t="s">
        <v>904</v>
      </c>
      <c r="W66" s="2"/>
      <c r="X66" s="2"/>
      <c r="Y66" s="2"/>
      <c r="Z66" s="2"/>
      <c r="AA66" s="2"/>
      <c r="AB66" s="2"/>
      <c r="AC66" s="2"/>
      <c r="AD66" s="2"/>
      <c r="AE66" s="2"/>
      <c r="AF66" s="2"/>
      <c r="AG66" s="2"/>
      <c r="AH66" s="2"/>
      <c r="AI66" s="2"/>
      <c r="AJ66" s="2"/>
      <c r="AK66" s="2"/>
      <c r="AL66" s="2"/>
      <c r="AM66" s="2"/>
      <c r="AN66" s="2"/>
      <c r="AO66" s="2"/>
      <c r="AP66" s="2"/>
      <c r="AQ66" s="2"/>
      <c r="AR66" s="2"/>
      <c r="AS66" s="2"/>
      <c r="AT66" s="2"/>
      <c r="AU66" s="7"/>
    </row>
    <row r="67" spans="21:47" ht="13.5" customHeight="1">
      <c r="U67" s="6"/>
      <c r="V67" s="2" t="s">
        <v>905</v>
      </c>
      <c r="W67" s="2"/>
      <c r="X67" s="2"/>
      <c r="Y67" s="2"/>
      <c r="Z67" s="2"/>
      <c r="AA67" s="2"/>
      <c r="AB67" s="2"/>
      <c r="AC67" s="2"/>
      <c r="AD67" s="2"/>
      <c r="AE67" s="2"/>
      <c r="AF67" s="2"/>
      <c r="AG67" s="2"/>
      <c r="AH67" s="2"/>
      <c r="AI67" s="2"/>
      <c r="AJ67" s="2"/>
      <c r="AK67" s="2"/>
      <c r="AL67" s="2"/>
      <c r="AM67" s="2"/>
      <c r="AN67" s="2"/>
      <c r="AO67" s="2"/>
      <c r="AP67" s="2"/>
      <c r="AQ67" s="2"/>
      <c r="AR67" s="2"/>
      <c r="AS67" s="2"/>
      <c r="AT67" s="2"/>
      <c r="AU67" s="7"/>
    </row>
    <row r="68" spans="21:47" ht="13.5" customHeight="1">
      <c r="U68" s="6"/>
      <c r="V68" s="2" t="s">
        <v>906</v>
      </c>
      <c r="W68" s="2"/>
      <c r="X68" s="2"/>
      <c r="Y68" s="2"/>
      <c r="Z68" s="2"/>
      <c r="AA68" s="2"/>
      <c r="AB68" s="2"/>
      <c r="AC68" s="2"/>
      <c r="AD68" s="2"/>
      <c r="AE68" s="2"/>
      <c r="AF68" s="2"/>
      <c r="AG68" s="2"/>
      <c r="AH68" s="2"/>
      <c r="AI68" s="2"/>
      <c r="AJ68" s="2"/>
      <c r="AK68" s="2"/>
      <c r="AL68" s="2"/>
      <c r="AM68" s="2"/>
      <c r="AN68" s="2"/>
      <c r="AO68" s="2"/>
      <c r="AP68" s="2"/>
      <c r="AQ68" s="2"/>
      <c r="AR68" s="2"/>
      <c r="AS68" s="2"/>
      <c r="AT68" s="2"/>
      <c r="AU68" s="7"/>
    </row>
    <row r="69" spans="21:47" ht="13.5" customHeight="1">
      <c r="U69" s="6"/>
      <c r="V69" s="2" t="s">
        <v>907</v>
      </c>
      <c r="W69" s="2"/>
      <c r="X69" s="2"/>
      <c r="Y69" s="2"/>
      <c r="Z69" s="2"/>
      <c r="AA69" s="2"/>
      <c r="AB69" s="2"/>
      <c r="AC69" s="2"/>
      <c r="AD69" s="2"/>
      <c r="AE69" s="2"/>
      <c r="AF69" s="2"/>
      <c r="AG69" s="2"/>
      <c r="AH69" s="2"/>
      <c r="AI69" s="2"/>
      <c r="AJ69" s="2"/>
      <c r="AK69" s="2"/>
      <c r="AL69" s="2"/>
      <c r="AM69" s="2"/>
      <c r="AN69" s="2"/>
      <c r="AO69" s="2"/>
      <c r="AP69" s="2"/>
      <c r="AQ69" s="2"/>
      <c r="AR69" s="2"/>
      <c r="AS69" s="2"/>
      <c r="AT69" s="2"/>
      <c r="AU69" s="7"/>
    </row>
    <row r="70" spans="21:47" ht="13.5" customHeight="1">
      <c r="U70" s="6"/>
      <c r="V70" s="2" t="s">
        <v>908</v>
      </c>
      <c r="W70" s="2"/>
      <c r="X70" s="2"/>
      <c r="Y70" s="2"/>
      <c r="Z70" s="2"/>
      <c r="AA70" s="2"/>
      <c r="AB70" s="2"/>
      <c r="AC70" s="2"/>
      <c r="AD70" s="2"/>
      <c r="AE70" s="2"/>
      <c r="AF70" s="2"/>
      <c r="AG70" s="2"/>
      <c r="AH70" s="2"/>
      <c r="AI70" s="2"/>
      <c r="AJ70" s="2"/>
      <c r="AK70" s="2"/>
      <c r="AL70" s="2"/>
      <c r="AM70" s="2"/>
      <c r="AN70" s="2"/>
      <c r="AO70" s="2"/>
      <c r="AP70" s="2"/>
      <c r="AQ70" s="2"/>
      <c r="AR70" s="2"/>
      <c r="AS70" s="2"/>
      <c r="AT70" s="2"/>
      <c r="AU70" s="7"/>
    </row>
    <row r="71" spans="21:47" ht="13.5" customHeight="1">
      <c r="U71" s="6"/>
      <c r="V71" s="2" t="s">
        <v>909</v>
      </c>
      <c r="W71" s="2"/>
      <c r="X71" s="2"/>
      <c r="Y71" s="2"/>
      <c r="Z71" s="2"/>
      <c r="AA71" s="2"/>
      <c r="AB71" s="2"/>
      <c r="AC71" s="2"/>
      <c r="AD71" s="2"/>
      <c r="AE71" s="2"/>
      <c r="AF71" s="2"/>
      <c r="AG71" s="2"/>
      <c r="AH71" s="2"/>
      <c r="AI71" s="2"/>
      <c r="AJ71" s="2"/>
      <c r="AK71" s="2"/>
      <c r="AL71" s="2"/>
      <c r="AM71" s="2"/>
      <c r="AN71" s="2"/>
      <c r="AO71" s="2"/>
      <c r="AP71" s="2"/>
      <c r="AQ71" s="2"/>
      <c r="AR71" s="2"/>
      <c r="AS71" s="2"/>
      <c r="AT71" s="2"/>
      <c r="AU71" s="7"/>
    </row>
    <row r="72" spans="21:47" ht="13.5" customHeight="1">
      <c r="U72" s="6"/>
      <c r="V72" s="2" t="s">
        <v>910</v>
      </c>
      <c r="W72" s="2"/>
      <c r="X72" s="2"/>
      <c r="Y72" s="2"/>
      <c r="Z72" s="2"/>
      <c r="AA72" s="2"/>
      <c r="AB72" s="2"/>
      <c r="AC72" s="2"/>
      <c r="AD72" s="2"/>
      <c r="AE72" s="2"/>
      <c r="AF72" s="2"/>
      <c r="AG72" s="2"/>
      <c r="AH72" s="2"/>
      <c r="AI72" s="2"/>
      <c r="AJ72" s="2"/>
      <c r="AK72" s="2"/>
      <c r="AL72" s="2"/>
      <c r="AM72" s="2"/>
      <c r="AN72" s="2"/>
      <c r="AO72" s="2"/>
      <c r="AP72" s="2"/>
      <c r="AQ72" s="2"/>
      <c r="AR72" s="2"/>
      <c r="AS72" s="2"/>
      <c r="AT72" s="2"/>
      <c r="AU72" s="7"/>
    </row>
    <row r="73" spans="21:47" ht="13.5" customHeight="1">
      <c r="U73" s="6"/>
      <c r="V73" s="2" t="s">
        <v>912</v>
      </c>
      <c r="W73" s="2"/>
      <c r="X73" s="2"/>
      <c r="Y73" s="2"/>
      <c r="Z73" s="2"/>
      <c r="AA73" s="2"/>
      <c r="AB73" s="2"/>
      <c r="AC73" s="2"/>
      <c r="AD73" s="2"/>
      <c r="AE73" s="2"/>
      <c r="AF73" s="2"/>
      <c r="AG73" s="2"/>
      <c r="AH73" s="2"/>
      <c r="AI73" s="2"/>
      <c r="AJ73" s="2"/>
      <c r="AK73" s="2"/>
      <c r="AL73" s="2"/>
      <c r="AM73" s="2"/>
      <c r="AN73" s="2"/>
      <c r="AO73" s="2"/>
      <c r="AP73" s="2"/>
      <c r="AQ73" s="2"/>
      <c r="AR73" s="2"/>
      <c r="AS73" s="2"/>
      <c r="AT73" s="2"/>
      <c r="AU73" s="7"/>
    </row>
    <row r="74" spans="21:47" ht="13.5" customHeight="1">
      <c r="U74" s="6"/>
      <c r="V74" s="11" t="s">
        <v>918</v>
      </c>
      <c r="W74" s="2"/>
      <c r="X74" s="2"/>
      <c r="Y74" s="2"/>
      <c r="Z74" s="2"/>
      <c r="AA74" s="2"/>
      <c r="AB74" s="2"/>
      <c r="AC74" s="2"/>
      <c r="AD74" s="2"/>
      <c r="AE74" s="2"/>
      <c r="AF74" s="2"/>
      <c r="AG74" s="2"/>
      <c r="AH74" s="2"/>
      <c r="AI74" s="2"/>
      <c r="AJ74" s="2"/>
      <c r="AK74" s="2"/>
      <c r="AL74" s="2"/>
      <c r="AM74" s="2"/>
      <c r="AN74" s="2"/>
      <c r="AO74" s="2"/>
      <c r="AP74" s="2"/>
      <c r="AQ74" s="2"/>
      <c r="AR74" s="2"/>
      <c r="AS74" s="2"/>
      <c r="AT74" s="2"/>
      <c r="AU74" s="7"/>
    </row>
    <row r="75" spans="21:47" ht="13.5" customHeight="1">
      <c r="U75" s="6"/>
      <c r="V75" s="2" t="s">
        <v>919</v>
      </c>
      <c r="W75" s="2"/>
      <c r="X75" s="2"/>
      <c r="Y75" s="2"/>
      <c r="Z75" s="2"/>
      <c r="AA75" s="2"/>
      <c r="AB75" s="2"/>
      <c r="AC75" s="2"/>
      <c r="AD75" s="2"/>
      <c r="AE75" s="2"/>
      <c r="AF75" s="2"/>
      <c r="AG75" s="2"/>
      <c r="AH75" s="2"/>
      <c r="AI75" s="2"/>
      <c r="AJ75" s="2"/>
      <c r="AK75" s="2"/>
      <c r="AL75" s="2"/>
      <c r="AM75" s="2"/>
      <c r="AN75" s="2"/>
      <c r="AO75" s="2"/>
      <c r="AP75" s="2"/>
      <c r="AQ75" s="2"/>
      <c r="AR75" s="2"/>
      <c r="AS75" s="2"/>
      <c r="AT75" s="2"/>
      <c r="AU75" s="7"/>
    </row>
    <row r="76" spans="21:47" ht="13.5" customHeight="1">
      <c r="U76" s="6"/>
      <c r="V76" s="11" t="s">
        <v>924</v>
      </c>
      <c r="W76" s="2"/>
      <c r="X76" s="2"/>
      <c r="Y76" s="2"/>
      <c r="Z76" s="2"/>
      <c r="AA76" s="2"/>
      <c r="AB76" s="2"/>
      <c r="AC76" s="2"/>
      <c r="AD76" s="2"/>
      <c r="AE76" s="2"/>
      <c r="AF76" s="2"/>
      <c r="AG76" s="2"/>
      <c r="AH76" s="2"/>
      <c r="AI76" s="2"/>
      <c r="AJ76" s="2"/>
      <c r="AK76" s="2"/>
      <c r="AL76" s="2"/>
      <c r="AM76" s="2"/>
      <c r="AN76" s="2"/>
      <c r="AO76" s="2"/>
      <c r="AP76" s="2"/>
      <c r="AQ76" s="2"/>
      <c r="AR76" s="2"/>
      <c r="AS76" s="2"/>
      <c r="AT76" s="2"/>
      <c r="AU76" s="7"/>
    </row>
    <row r="77" spans="21:47" ht="13.5" customHeight="1">
      <c r="U77" s="6"/>
      <c r="V77" s="2" t="s">
        <v>925</v>
      </c>
      <c r="W77" s="2"/>
      <c r="X77" s="2"/>
      <c r="Y77" s="2"/>
      <c r="Z77" s="2"/>
      <c r="AA77" s="2"/>
      <c r="AB77" s="2"/>
      <c r="AC77" s="2"/>
      <c r="AD77" s="2"/>
      <c r="AE77" s="2"/>
      <c r="AF77" s="2"/>
      <c r="AG77" s="2"/>
      <c r="AH77" s="2"/>
      <c r="AI77" s="2"/>
      <c r="AJ77" s="2"/>
      <c r="AK77" s="2"/>
      <c r="AL77" s="2"/>
      <c r="AM77" s="2"/>
      <c r="AN77" s="2"/>
      <c r="AO77" s="2"/>
      <c r="AP77" s="2"/>
      <c r="AQ77" s="2"/>
      <c r="AR77" s="2"/>
      <c r="AS77" s="2"/>
      <c r="AT77" s="2"/>
      <c r="AU77" s="7"/>
    </row>
    <row r="78" spans="21:47" ht="13.5" customHeight="1">
      <c r="U78" s="6"/>
      <c r="V78" s="2" t="s">
        <v>926</v>
      </c>
      <c r="W78" s="2"/>
      <c r="X78" s="2"/>
      <c r="Y78" s="2"/>
      <c r="Z78" s="2"/>
      <c r="AA78" s="2"/>
      <c r="AB78" s="2"/>
      <c r="AC78" s="2"/>
      <c r="AD78" s="2"/>
      <c r="AE78" s="2"/>
      <c r="AF78" s="2"/>
      <c r="AG78" s="2"/>
      <c r="AH78" s="2"/>
      <c r="AI78" s="2"/>
      <c r="AJ78" s="2"/>
      <c r="AK78" s="2"/>
      <c r="AL78" s="2"/>
      <c r="AM78" s="2"/>
      <c r="AN78" s="2"/>
      <c r="AO78" s="2"/>
      <c r="AP78" s="2"/>
      <c r="AQ78" s="2"/>
      <c r="AR78" s="2"/>
      <c r="AS78" s="2"/>
      <c r="AT78" s="2"/>
      <c r="AU78" s="7"/>
    </row>
    <row r="79" spans="21:47" ht="13.5" customHeight="1">
      <c r="U79" s="6"/>
      <c r="V79" s="2" t="s">
        <v>927</v>
      </c>
      <c r="W79" s="2"/>
      <c r="X79" s="2"/>
      <c r="Y79" s="2"/>
      <c r="Z79" s="2"/>
      <c r="AA79" s="2"/>
      <c r="AB79" s="2"/>
      <c r="AC79" s="2"/>
      <c r="AD79" s="2"/>
      <c r="AE79" s="2"/>
      <c r="AF79" s="2"/>
      <c r="AG79" s="2"/>
      <c r="AH79" s="2"/>
      <c r="AI79" s="2"/>
      <c r="AJ79" s="2"/>
      <c r="AK79" s="2"/>
      <c r="AL79" s="2"/>
      <c r="AM79" s="2"/>
      <c r="AN79" s="2"/>
      <c r="AO79" s="2"/>
      <c r="AP79" s="2"/>
      <c r="AQ79" s="2"/>
      <c r="AR79" s="2"/>
      <c r="AS79" s="2"/>
      <c r="AT79" s="2"/>
      <c r="AU79" s="7"/>
    </row>
    <row r="80" spans="21:47" ht="13.5" customHeight="1">
      <c r="U80" s="6"/>
      <c r="V80" s="2" t="s">
        <v>928</v>
      </c>
      <c r="W80" s="2"/>
      <c r="X80" s="2"/>
      <c r="Y80" s="2"/>
      <c r="Z80" s="2"/>
      <c r="AA80" s="2"/>
      <c r="AB80" s="2"/>
      <c r="AC80" s="2"/>
      <c r="AD80" s="2"/>
      <c r="AE80" s="2"/>
      <c r="AF80" s="2"/>
      <c r="AG80" s="2"/>
      <c r="AH80" s="2"/>
      <c r="AI80" s="2"/>
      <c r="AJ80" s="2"/>
      <c r="AK80" s="2"/>
      <c r="AL80" s="2"/>
      <c r="AM80" s="2"/>
      <c r="AN80" s="2"/>
      <c r="AO80" s="2"/>
      <c r="AP80" s="2"/>
      <c r="AQ80" s="2"/>
      <c r="AR80" s="2"/>
      <c r="AS80" s="2"/>
      <c r="AT80" s="2"/>
      <c r="AU80" s="7"/>
    </row>
    <row r="81" spans="21:47" ht="13.5" customHeight="1">
      <c r="U81" s="6"/>
      <c r="V81" s="2" t="s">
        <v>929</v>
      </c>
      <c r="W81" s="2"/>
      <c r="X81" s="2"/>
      <c r="Y81" s="2"/>
      <c r="Z81" s="2"/>
      <c r="AA81" s="2"/>
      <c r="AB81" s="2"/>
      <c r="AC81" s="2"/>
      <c r="AD81" s="2"/>
      <c r="AE81" s="2"/>
      <c r="AF81" s="2"/>
      <c r="AG81" s="2"/>
      <c r="AH81" s="2"/>
      <c r="AI81" s="2"/>
      <c r="AJ81" s="2"/>
      <c r="AK81" s="2"/>
      <c r="AL81" s="2"/>
      <c r="AM81" s="2"/>
      <c r="AN81" s="2"/>
      <c r="AO81" s="2"/>
      <c r="AP81" s="2"/>
      <c r="AQ81" s="2"/>
      <c r="AR81" s="2"/>
      <c r="AS81" s="2"/>
      <c r="AT81" s="2"/>
      <c r="AU81" s="7"/>
    </row>
    <row r="82" spans="21:47" ht="13.5" customHeight="1">
      <c r="U82" s="6"/>
      <c r="V82" s="2" t="s">
        <v>1235</v>
      </c>
      <c r="W82" s="2"/>
      <c r="X82" s="2"/>
      <c r="Y82" s="2"/>
      <c r="Z82" s="2"/>
      <c r="AA82" s="2"/>
      <c r="AB82" s="2"/>
      <c r="AC82" s="2"/>
      <c r="AD82" s="2"/>
      <c r="AE82" s="2"/>
      <c r="AF82" s="2"/>
      <c r="AG82" s="2"/>
      <c r="AH82" s="2"/>
      <c r="AI82" s="2"/>
      <c r="AJ82" s="2"/>
      <c r="AK82" s="2"/>
      <c r="AL82" s="2"/>
      <c r="AM82" s="2"/>
      <c r="AN82" s="2"/>
      <c r="AO82" s="2"/>
      <c r="AP82" s="2"/>
      <c r="AQ82" s="2"/>
      <c r="AR82" s="2"/>
      <c r="AS82" s="2"/>
      <c r="AT82" s="2"/>
      <c r="AU82" s="7"/>
    </row>
    <row r="83" spans="21:47" ht="13.5" customHeight="1">
      <c r="U83" s="6"/>
      <c r="V83" s="11" t="s">
        <v>1236</v>
      </c>
      <c r="W83" s="2"/>
      <c r="X83" s="2"/>
      <c r="Y83" s="2"/>
      <c r="Z83" s="2"/>
      <c r="AA83" s="2"/>
      <c r="AB83" s="2"/>
      <c r="AC83" s="2"/>
      <c r="AD83" s="2"/>
      <c r="AE83" s="2"/>
      <c r="AF83" s="2"/>
      <c r="AG83" s="2"/>
      <c r="AH83" s="2"/>
      <c r="AI83" s="2"/>
      <c r="AJ83" s="2"/>
      <c r="AK83" s="2"/>
      <c r="AL83" s="2"/>
      <c r="AM83" s="2"/>
      <c r="AN83" s="2"/>
      <c r="AO83" s="2"/>
      <c r="AP83" s="2"/>
      <c r="AQ83" s="2"/>
      <c r="AR83" s="2"/>
      <c r="AS83" s="2"/>
      <c r="AT83" s="2"/>
      <c r="AU83" s="7"/>
    </row>
    <row r="84" spans="21:47" ht="13.5" customHeight="1">
      <c r="U84" s="6"/>
      <c r="V84" s="2" t="s">
        <v>1237</v>
      </c>
      <c r="W84" s="2"/>
      <c r="X84" s="2"/>
      <c r="Y84" s="2"/>
      <c r="Z84" s="2"/>
      <c r="AA84" s="2"/>
      <c r="AB84" s="2"/>
      <c r="AC84" s="2"/>
      <c r="AD84" s="2"/>
      <c r="AE84" s="2"/>
      <c r="AF84" s="2"/>
      <c r="AG84" s="2"/>
      <c r="AH84" s="2"/>
      <c r="AI84" s="2"/>
      <c r="AJ84" s="2"/>
      <c r="AK84" s="2"/>
      <c r="AL84" s="2"/>
      <c r="AM84" s="2"/>
      <c r="AN84" s="2"/>
      <c r="AO84" s="2"/>
      <c r="AP84" s="2"/>
      <c r="AQ84" s="2"/>
      <c r="AR84" s="2"/>
      <c r="AS84" s="2"/>
      <c r="AT84" s="2"/>
      <c r="AU84" s="7"/>
    </row>
    <row r="85" spans="21:47" ht="13.5" customHeight="1">
      <c r="U85" s="6"/>
      <c r="V85" s="2" t="s">
        <v>1238</v>
      </c>
      <c r="W85" s="2"/>
      <c r="X85" s="2"/>
      <c r="Y85" s="2"/>
      <c r="Z85" s="2"/>
      <c r="AA85" s="2"/>
      <c r="AB85" s="2"/>
      <c r="AC85" s="2"/>
      <c r="AD85" s="2"/>
      <c r="AE85" s="2"/>
      <c r="AF85" s="2"/>
      <c r="AG85" s="2"/>
      <c r="AH85" s="2"/>
      <c r="AI85" s="2"/>
      <c r="AJ85" s="2"/>
      <c r="AK85" s="2"/>
      <c r="AL85" s="2"/>
      <c r="AM85" s="2"/>
      <c r="AN85" s="2"/>
      <c r="AO85" s="2"/>
      <c r="AP85" s="2"/>
      <c r="AQ85" s="2"/>
      <c r="AR85" s="2"/>
      <c r="AS85" s="2"/>
      <c r="AT85" s="2"/>
      <c r="AU85" s="7"/>
    </row>
    <row r="86" spans="21:47" ht="13.5" customHeight="1">
      <c r="U86" s="6"/>
      <c r="V86" s="11" t="s">
        <v>1242</v>
      </c>
      <c r="W86" s="2"/>
      <c r="X86" s="2"/>
      <c r="Y86" s="2"/>
      <c r="Z86" s="2"/>
      <c r="AA86" s="2"/>
      <c r="AB86" s="2"/>
      <c r="AC86" s="2"/>
      <c r="AD86" s="2"/>
      <c r="AE86" s="2"/>
      <c r="AF86" s="2"/>
      <c r="AG86" s="2"/>
      <c r="AH86" s="2"/>
      <c r="AI86" s="2"/>
      <c r="AJ86" s="2"/>
      <c r="AK86" s="2"/>
      <c r="AL86" s="2"/>
      <c r="AM86" s="2"/>
      <c r="AN86" s="2"/>
      <c r="AO86" s="2"/>
      <c r="AP86" s="2"/>
      <c r="AQ86" s="2"/>
      <c r="AR86" s="2"/>
      <c r="AS86" s="2"/>
      <c r="AT86" s="2"/>
      <c r="AU86" s="7"/>
    </row>
    <row r="87" spans="21:47" ht="13.5" customHeight="1">
      <c r="U87" s="6"/>
      <c r="V87" s="2" t="s">
        <v>1243</v>
      </c>
      <c r="W87" s="2"/>
      <c r="X87" s="2"/>
      <c r="Y87" s="2"/>
      <c r="Z87" s="2"/>
      <c r="AA87" s="2"/>
      <c r="AB87" s="2"/>
      <c r="AC87" s="2"/>
      <c r="AD87" s="2"/>
      <c r="AE87" s="2"/>
      <c r="AF87" s="2"/>
      <c r="AG87" s="2"/>
      <c r="AH87" s="2"/>
      <c r="AI87" s="2"/>
      <c r="AJ87" s="2"/>
      <c r="AK87" s="2"/>
      <c r="AL87" s="2"/>
      <c r="AM87" s="2"/>
      <c r="AN87" s="2"/>
      <c r="AO87" s="2"/>
      <c r="AP87" s="2"/>
      <c r="AQ87" s="2"/>
      <c r="AR87" s="2"/>
      <c r="AS87" s="2"/>
      <c r="AT87" s="2"/>
      <c r="AU87" s="7"/>
    </row>
    <row r="88" spans="21:47" ht="13.5" customHeight="1">
      <c r="U88" s="6"/>
      <c r="V88" s="11" t="s">
        <v>1244</v>
      </c>
      <c r="W88" s="2"/>
      <c r="X88" s="2"/>
      <c r="Y88" s="2"/>
      <c r="Z88" s="2"/>
      <c r="AA88" s="2"/>
      <c r="AB88" s="2"/>
      <c r="AC88" s="2"/>
      <c r="AD88" s="2"/>
      <c r="AE88" s="2"/>
      <c r="AF88" s="2"/>
      <c r="AG88" s="2"/>
      <c r="AH88" s="2"/>
      <c r="AI88" s="2"/>
      <c r="AJ88" s="2"/>
      <c r="AK88" s="2"/>
      <c r="AL88" s="2"/>
      <c r="AM88" s="2"/>
      <c r="AN88" s="2"/>
      <c r="AO88" s="2"/>
      <c r="AP88" s="2"/>
      <c r="AQ88" s="2"/>
      <c r="AR88" s="2"/>
      <c r="AS88" s="2"/>
      <c r="AT88" s="2"/>
      <c r="AU88" s="7"/>
    </row>
    <row r="89" spans="21:47" ht="13.5" customHeight="1">
      <c r="U89" s="6"/>
      <c r="V89" s="2" t="s">
        <v>1245</v>
      </c>
      <c r="W89" s="2"/>
      <c r="X89" s="2"/>
      <c r="Y89" s="2"/>
      <c r="Z89" s="2"/>
      <c r="AA89" s="2"/>
      <c r="AB89" s="2"/>
      <c r="AC89" s="2"/>
      <c r="AD89" s="2"/>
      <c r="AE89" s="2"/>
      <c r="AF89" s="2"/>
      <c r="AG89" s="2"/>
      <c r="AH89" s="2"/>
      <c r="AI89" s="2"/>
      <c r="AJ89" s="2"/>
      <c r="AK89" s="2"/>
      <c r="AL89" s="2"/>
      <c r="AM89" s="2"/>
      <c r="AN89" s="2"/>
      <c r="AO89" s="2"/>
      <c r="AP89" s="2"/>
      <c r="AQ89" s="2"/>
      <c r="AR89" s="2"/>
      <c r="AS89" s="2"/>
      <c r="AT89" s="2"/>
      <c r="AU89" s="7"/>
    </row>
    <row r="90" spans="21:47" ht="13.5" customHeight="1">
      <c r="U90" s="6"/>
      <c r="V90" s="11" t="s">
        <v>1248</v>
      </c>
      <c r="W90" s="2"/>
      <c r="X90" s="2"/>
      <c r="Y90" s="2"/>
      <c r="Z90" s="2"/>
      <c r="AA90" s="2"/>
      <c r="AB90" s="2"/>
      <c r="AC90" s="2"/>
      <c r="AD90" s="2"/>
      <c r="AE90" s="2"/>
      <c r="AF90" s="2"/>
      <c r="AG90" s="2"/>
      <c r="AH90" s="2"/>
      <c r="AI90" s="2"/>
      <c r="AJ90" s="2"/>
      <c r="AK90" s="2"/>
      <c r="AL90" s="2"/>
      <c r="AM90" s="2"/>
      <c r="AN90" s="2"/>
      <c r="AO90" s="2"/>
      <c r="AP90" s="2"/>
      <c r="AQ90" s="2"/>
      <c r="AR90" s="2"/>
      <c r="AS90" s="2"/>
      <c r="AT90" s="2"/>
      <c r="AU90" s="7"/>
    </row>
    <row r="91" spans="21:47" ht="13.5" customHeight="1">
      <c r="U91" s="6"/>
      <c r="V91" s="2" t="s">
        <v>1249</v>
      </c>
      <c r="W91" s="2"/>
      <c r="X91" s="2"/>
      <c r="Y91" s="2"/>
      <c r="Z91" s="2"/>
      <c r="AA91" s="2"/>
      <c r="AB91" s="2"/>
      <c r="AC91" s="2"/>
      <c r="AD91" s="2"/>
      <c r="AE91" s="2"/>
      <c r="AF91" s="2"/>
      <c r="AG91" s="2"/>
      <c r="AH91" s="2"/>
      <c r="AI91" s="2"/>
      <c r="AJ91" s="2"/>
      <c r="AK91" s="2"/>
      <c r="AL91" s="2"/>
      <c r="AM91" s="2"/>
      <c r="AN91" s="2"/>
      <c r="AO91" s="2"/>
      <c r="AP91" s="2"/>
      <c r="AQ91" s="2"/>
      <c r="AR91" s="2"/>
      <c r="AS91" s="2"/>
      <c r="AT91" s="2"/>
      <c r="AU91" s="7"/>
    </row>
    <row r="92" spans="21:47" ht="13.5" customHeight="1">
      <c r="U92" s="6"/>
      <c r="V92" s="2" t="s">
        <v>1250</v>
      </c>
      <c r="W92" s="2"/>
      <c r="X92" s="2"/>
      <c r="Y92" s="2"/>
      <c r="Z92" s="2"/>
      <c r="AA92" s="2"/>
      <c r="AB92" s="2"/>
      <c r="AC92" s="2"/>
      <c r="AD92" s="2"/>
      <c r="AE92" s="2"/>
      <c r="AF92" s="2"/>
      <c r="AG92" s="2"/>
      <c r="AH92" s="2"/>
      <c r="AI92" s="2"/>
      <c r="AJ92" s="2"/>
      <c r="AK92" s="2"/>
      <c r="AL92" s="2"/>
      <c r="AM92" s="2"/>
      <c r="AN92" s="2"/>
      <c r="AO92" s="2"/>
      <c r="AP92" s="2"/>
      <c r="AQ92" s="2"/>
      <c r="AR92" s="2"/>
      <c r="AS92" s="2"/>
      <c r="AT92" s="2"/>
      <c r="AU92" s="7"/>
    </row>
    <row r="93" spans="21:47" ht="13.5" customHeight="1">
      <c r="U93" s="6"/>
      <c r="V93" s="2" t="s">
        <v>1251</v>
      </c>
      <c r="W93" s="2"/>
      <c r="X93" s="2"/>
      <c r="Y93" s="2"/>
      <c r="Z93" s="2"/>
      <c r="AA93" s="2"/>
      <c r="AB93" s="2"/>
      <c r="AC93" s="2"/>
      <c r="AD93" s="2"/>
      <c r="AE93" s="2"/>
      <c r="AF93" s="2"/>
      <c r="AG93" s="2"/>
      <c r="AH93" s="2"/>
      <c r="AI93" s="2"/>
      <c r="AJ93" s="2"/>
      <c r="AK93" s="2"/>
      <c r="AL93" s="2"/>
      <c r="AM93" s="2"/>
      <c r="AN93" s="2"/>
      <c r="AO93" s="2"/>
      <c r="AP93" s="2"/>
      <c r="AQ93" s="2"/>
      <c r="AR93" s="2"/>
      <c r="AS93" s="2"/>
      <c r="AT93" s="2"/>
      <c r="AU93" s="7"/>
    </row>
    <row r="94" spans="21:47" ht="13.5" customHeight="1">
      <c r="U94" s="6"/>
      <c r="V94" s="2" t="s">
        <v>1253</v>
      </c>
      <c r="W94" s="2"/>
      <c r="X94" s="2"/>
      <c r="Y94" s="2"/>
      <c r="Z94" s="2"/>
      <c r="AA94" s="2"/>
      <c r="AB94" s="2"/>
      <c r="AC94" s="2"/>
      <c r="AD94" s="2"/>
      <c r="AE94" s="2"/>
      <c r="AF94" s="2"/>
      <c r="AG94" s="2"/>
      <c r="AH94" s="2"/>
      <c r="AI94" s="2"/>
      <c r="AJ94" s="2"/>
      <c r="AK94" s="2"/>
      <c r="AL94" s="2"/>
      <c r="AM94" s="2"/>
      <c r="AN94" s="2"/>
      <c r="AO94" s="2"/>
      <c r="AP94" s="2"/>
      <c r="AQ94" s="2"/>
      <c r="AR94" s="2"/>
      <c r="AS94" s="2"/>
      <c r="AT94" s="2"/>
      <c r="AU94" s="7"/>
    </row>
    <row r="95" spans="21:47" ht="13.5" customHeight="1">
      <c r="U95" s="6"/>
      <c r="V95" s="2" t="s">
        <v>1254</v>
      </c>
      <c r="W95" s="2"/>
      <c r="X95" s="2"/>
      <c r="Y95" s="2"/>
      <c r="Z95" s="2"/>
      <c r="AA95" s="2"/>
      <c r="AB95" s="2"/>
      <c r="AC95" s="2"/>
      <c r="AD95" s="2"/>
      <c r="AE95" s="2"/>
      <c r="AF95" s="2"/>
      <c r="AG95" s="2"/>
      <c r="AH95" s="2"/>
      <c r="AI95" s="2"/>
      <c r="AJ95" s="2"/>
      <c r="AK95" s="2"/>
      <c r="AL95" s="2"/>
      <c r="AM95" s="2"/>
      <c r="AN95" s="2"/>
      <c r="AO95" s="2"/>
      <c r="AP95" s="2"/>
      <c r="AQ95" s="2"/>
      <c r="AR95" s="2"/>
      <c r="AS95" s="2"/>
      <c r="AT95" s="2"/>
      <c r="AU95" s="7"/>
    </row>
    <row r="96" spans="21:47" ht="13.5" customHeight="1">
      <c r="U96" s="6"/>
      <c r="V96" s="11" t="s">
        <v>1255</v>
      </c>
      <c r="W96" s="2"/>
      <c r="X96" s="2"/>
      <c r="Y96" s="2"/>
      <c r="Z96" s="2"/>
      <c r="AA96" s="2"/>
      <c r="AB96" s="2"/>
      <c r="AC96" s="2"/>
      <c r="AD96" s="2"/>
      <c r="AE96" s="2"/>
      <c r="AF96" s="2"/>
      <c r="AG96" s="2"/>
      <c r="AH96" s="2"/>
      <c r="AI96" s="2"/>
      <c r="AJ96" s="2"/>
      <c r="AK96" s="2"/>
      <c r="AL96" s="2"/>
      <c r="AM96" s="2"/>
      <c r="AN96" s="2"/>
      <c r="AO96" s="2"/>
      <c r="AP96" s="2"/>
      <c r="AQ96" s="2"/>
      <c r="AR96" s="2"/>
      <c r="AS96" s="2"/>
      <c r="AT96" s="2"/>
      <c r="AU96" s="7"/>
    </row>
    <row r="97" spans="21:47" ht="13.5" customHeight="1">
      <c r="U97" s="6"/>
      <c r="V97" s="2" t="s">
        <v>1256</v>
      </c>
      <c r="W97" s="2"/>
      <c r="X97" s="2"/>
      <c r="Y97" s="2"/>
      <c r="Z97" s="2"/>
      <c r="AA97" s="2"/>
      <c r="AB97" s="2"/>
      <c r="AC97" s="2"/>
      <c r="AD97" s="2"/>
      <c r="AE97" s="2"/>
      <c r="AF97" s="2"/>
      <c r="AG97" s="2"/>
      <c r="AH97" s="2"/>
      <c r="AI97" s="2"/>
      <c r="AJ97" s="2"/>
      <c r="AK97" s="2"/>
      <c r="AL97" s="2"/>
      <c r="AM97" s="2"/>
      <c r="AN97" s="2"/>
      <c r="AO97" s="2"/>
      <c r="AP97" s="2"/>
      <c r="AQ97" s="2"/>
      <c r="AR97" s="2"/>
      <c r="AS97" s="2"/>
      <c r="AT97" s="2"/>
      <c r="AU97" s="7"/>
    </row>
    <row r="98" spans="21:47" ht="13.5" customHeight="1">
      <c r="U98" s="6"/>
      <c r="V98" s="2" t="s">
        <v>1258</v>
      </c>
      <c r="W98" s="2"/>
      <c r="X98" s="2"/>
      <c r="Y98" s="2"/>
      <c r="Z98" s="2"/>
      <c r="AA98" s="2"/>
      <c r="AB98" s="2"/>
      <c r="AC98" s="2"/>
      <c r="AD98" s="2"/>
      <c r="AE98" s="2"/>
      <c r="AF98" s="2"/>
      <c r="AG98" s="2"/>
      <c r="AH98" s="2"/>
      <c r="AI98" s="2"/>
      <c r="AJ98" s="2"/>
      <c r="AK98" s="2"/>
      <c r="AL98" s="2"/>
      <c r="AM98" s="2"/>
      <c r="AN98" s="2"/>
      <c r="AO98" s="2"/>
      <c r="AP98" s="2"/>
      <c r="AQ98" s="2"/>
      <c r="AR98" s="2"/>
      <c r="AS98" s="2"/>
      <c r="AT98" s="2"/>
      <c r="AU98" s="7"/>
    </row>
    <row r="99" spans="21:47" ht="13.5" customHeight="1">
      <c r="U99" s="6"/>
      <c r="V99" s="11" t="s">
        <v>1275</v>
      </c>
      <c r="W99" s="2"/>
      <c r="X99" s="2"/>
      <c r="Y99" s="2"/>
      <c r="Z99" s="2"/>
      <c r="AA99" s="2"/>
      <c r="AB99" s="2"/>
      <c r="AC99" s="2"/>
      <c r="AD99" s="2"/>
      <c r="AE99" s="2"/>
      <c r="AF99" s="2"/>
      <c r="AG99" s="2"/>
      <c r="AH99" s="2"/>
      <c r="AI99" s="2"/>
      <c r="AJ99" s="2"/>
      <c r="AK99" s="2"/>
      <c r="AL99" s="2"/>
      <c r="AM99" s="2"/>
      <c r="AN99" s="2"/>
      <c r="AO99" s="2"/>
      <c r="AP99" s="2"/>
      <c r="AQ99" s="2"/>
      <c r="AR99" s="2"/>
      <c r="AS99" s="2"/>
      <c r="AT99" s="2"/>
      <c r="AU99" s="7"/>
    </row>
    <row r="100" spans="21:47" ht="13.5" customHeight="1">
      <c r="U100" s="6"/>
      <c r="V100" s="2" t="s">
        <v>1276</v>
      </c>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7"/>
    </row>
    <row r="101" spans="21:47" ht="13.5" customHeight="1">
      <c r="U101" s="6"/>
      <c r="V101" s="2" t="s">
        <v>1277</v>
      </c>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7"/>
    </row>
    <row r="102" spans="21:47" ht="13.5" customHeight="1">
      <c r="U102" s="6"/>
      <c r="V102" s="2" t="s">
        <v>1278</v>
      </c>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7"/>
    </row>
    <row r="103" spans="21:47" ht="13.5" customHeight="1">
      <c r="U103" s="6"/>
      <c r="V103" s="11" t="s">
        <v>1283</v>
      </c>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7"/>
    </row>
    <row r="104" spans="21:47" ht="13.5" customHeight="1">
      <c r="U104" s="6"/>
      <c r="V104" s="2" t="s">
        <v>1284</v>
      </c>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7"/>
    </row>
    <row r="105" spans="21:47" ht="13.5" customHeight="1">
      <c r="U105" s="6"/>
      <c r="V105" s="11" t="s">
        <v>1286</v>
      </c>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7"/>
    </row>
    <row r="106" spans="21:47" ht="13.5" customHeight="1">
      <c r="U106" s="6"/>
      <c r="V106" s="2" t="s">
        <v>1287</v>
      </c>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7"/>
    </row>
    <row r="107" spans="21:47" ht="13.5" customHeight="1">
      <c r="U107" s="6"/>
      <c r="V107" s="11" t="s">
        <v>1289</v>
      </c>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7"/>
    </row>
    <row r="108" spans="21:47" ht="13.5" customHeight="1">
      <c r="U108" s="6"/>
      <c r="V108" s="2" t="s">
        <v>1290</v>
      </c>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7"/>
    </row>
    <row r="109" spans="21:47" ht="13.5" customHeight="1">
      <c r="U109" s="6"/>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7"/>
    </row>
    <row r="110" spans="21:47" ht="13.5" customHeight="1">
      <c r="U110" s="6"/>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7"/>
    </row>
    <row r="111" spans="21:47" ht="13.5" customHeight="1">
      <c r="U111" s="6"/>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7"/>
    </row>
    <row r="112" spans="21:47" ht="13.5" customHeight="1">
      <c r="U112" s="6"/>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7"/>
    </row>
    <row r="113" spans="21:47" ht="13.5" customHeight="1">
      <c r="U113" s="6"/>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7"/>
    </row>
    <row r="114" spans="21:47" ht="13.5" customHeight="1">
      <c r="U114" s="6"/>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7"/>
    </row>
    <row r="115" spans="21:47" ht="13.5" customHeight="1">
      <c r="U115" s="6"/>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7"/>
    </row>
    <row r="116" spans="21:47" ht="13.5" customHeight="1">
      <c r="U116" s="6"/>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7"/>
    </row>
    <row r="117" spans="21:47" ht="13.5" customHeight="1">
      <c r="U117" s="6"/>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7"/>
    </row>
    <row r="118" spans="21:47" ht="13.5" customHeight="1">
      <c r="U118" s="6"/>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7"/>
    </row>
    <row r="119" spans="21:47" ht="13.5" customHeight="1">
      <c r="U119" s="6"/>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7"/>
    </row>
    <row r="120" spans="21:47" ht="13.5" customHeight="1">
      <c r="U120" s="6"/>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7"/>
    </row>
    <row r="121" spans="21:47" ht="13.5" customHeight="1">
      <c r="U121" s="6"/>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7"/>
    </row>
    <row r="122" spans="21:47" ht="13.5" customHeight="1">
      <c r="U122" s="6"/>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7"/>
    </row>
    <row r="123" spans="21:47" ht="13.5" customHeight="1">
      <c r="U123" s="6"/>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7"/>
    </row>
    <row r="124" spans="21:47" ht="13.5" customHeight="1">
      <c r="U124" s="6"/>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7"/>
    </row>
    <row r="125" spans="21:47" ht="13.5" customHeight="1">
      <c r="U125" s="6"/>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7"/>
    </row>
    <row r="126" spans="21:47" ht="13.5" customHeight="1">
      <c r="U126" s="6"/>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7"/>
    </row>
    <row r="127" spans="21:47" ht="13.5" customHeight="1">
      <c r="U127" s="6"/>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7"/>
    </row>
    <row r="128" spans="21:47" ht="13.5" customHeight="1">
      <c r="U128" s="6"/>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7"/>
    </row>
    <row r="129" spans="21:47" ht="13.5" customHeight="1">
      <c r="U129" s="6"/>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7"/>
    </row>
    <row r="130" spans="21:47" ht="13.5" customHeight="1">
      <c r="U130" s="6"/>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7"/>
    </row>
    <row r="131" spans="21:47" ht="13.5" customHeight="1">
      <c r="U131" s="6"/>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7"/>
    </row>
    <row r="132" spans="21:47" ht="13.5" customHeight="1">
      <c r="U132" s="6"/>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7"/>
    </row>
    <row r="133" spans="21:47" ht="13.5" customHeight="1">
      <c r="U133" s="6"/>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7"/>
    </row>
    <row r="134" spans="21:47" ht="13.5" customHeight="1">
      <c r="U134" s="6"/>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7"/>
    </row>
    <row r="135" spans="21:47" ht="13.5" customHeight="1">
      <c r="U135" s="6"/>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7"/>
    </row>
    <row r="136" spans="21:47" ht="13.5" customHeight="1">
      <c r="U136" s="6"/>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7"/>
    </row>
    <row r="137" spans="21:47" ht="13.5" customHeight="1">
      <c r="U137" s="6"/>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7"/>
    </row>
    <row r="138" spans="21:47" ht="13.5" customHeight="1">
      <c r="U138" s="6"/>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7"/>
    </row>
    <row r="139" spans="21:47" ht="13.5" customHeight="1">
      <c r="U139" s="6"/>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7"/>
    </row>
    <row r="140" spans="21:47" ht="13.5" customHeight="1">
      <c r="U140" s="6"/>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7"/>
    </row>
    <row r="141" spans="21:47" ht="13.5" customHeight="1">
      <c r="U141" s="6"/>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7"/>
    </row>
    <row r="142" spans="21:47" ht="13.5" customHeight="1">
      <c r="U142" s="6"/>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7"/>
    </row>
    <row r="143" spans="21:47" ht="13.5" customHeight="1">
      <c r="U143" s="6"/>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7"/>
    </row>
    <row r="144" spans="21:47" ht="13.5" customHeight="1">
      <c r="U144" s="6"/>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7"/>
    </row>
    <row r="145" spans="21:47" ht="13.5" customHeight="1">
      <c r="U145" s="6"/>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7"/>
    </row>
    <row r="146" spans="21:47" ht="13.5" customHeight="1">
      <c r="U146" s="6"/>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7"/>
    </row>
    <row r="147" spans="21:47" ht="13.5" customHeight="1">
      <c r="U147" s="6"/>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7"/>
    </row>
    <row r="148" spans="21:47" ht="13.5" customHeight="1">
      <c r="U148" s="6"/>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7"/>
    </row>
    <row r="149" spans="21:47" ht="13.5" customHeight="1">
      <c r="U149" s="6"/>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7"/>
    </row>
    <row r="150" spans="21:47" ht="13.5" customHeight="1" thickBot="1">
      <c r="U150" s="8"/>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10"/>
    </row>
  </sheetData>
  <mergeCells count="19">
    <mergeCell ref="BS8:BV8"/>
    <mergeCell ref="BS9:BV9"/>
    <mergeCell ref="BS10:BV10"/>
    <mergeCell ref="C10:R16"/>
    <mergeCell ref="C29:R50"/>
    <mergeCell ref="C27:R28"/>
    <mergeCell ref="V3:AT4"/>
    <mergeCell ref="AX3:BV4"/>
    <mergeCell ref="C20:R21"/>
    <mergeCell ref="C22:R22"/>
    <mergeCell ref="C23:R23"/>
    <mergeCell ref="C3:R4"/>
    <mergeCell ref="C5:R5"/>
    <mergeCell ref="AX20:BV21"/>
    <mergeCell ref="C6:R6"/>
    <mergeCell ref="BS5:BV5"/>
    <mergeCell ref="BS6:BV6"/>
    <mergeCell ref="V9:AT10"/>
    <mergeCell ref="BS7:BV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All">
                <anchor moveWithCells="1" sizeWithCells="1">
                  <from>
                    <xdr:col>49</xdr:col>
                    <xdr:colOff>30480</xdr:colOff>
                    <xdr:row>10</xdr:row>
                    <xdr:rowOff>152400</xdr:rowOff>
                  </from>
                  <to>
                    <xdr:col>57</xdr:col>
                    <xdr:colOff>60960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59999389629810485"/>
  </sheetPr>
  <dimension ref="B1:X42"/>
  <sheetViews>
    <sheetView showGridLines="0" tabSelected="1" zoomScaleNormal="100" workbookViewId="0">
      <selection activeCell="L30" sqref="L30:W30"/>
    </sheetView>
  </sheetViews>
  <sheetFormatPr defaultColWidth="2.6640625" defaultRowHeight="13.5" customHeight="1"/>
  <cols>
    <col min="1" max="16384" width="2.6640625" style="12"/>
  </cols>
  <sheetData>
    <row r="1" spans="2:24" ht="13.5" customHeight="1" thickBot="1"/>
    <row r="2" spans="2:24" ht="13.5" customHeight="1">
      <c r="B2" s="15"/>
      <c r="C2" s="16"/>
      <c r="D2" s="16"/>
      <c r="E2" s="16"/>
      <c r="F2" s="16"/>
      <c r="G2" s="16"/>
      <c r="H2" s="16"/>
      <c r="I2" s="16"/>
      <c r="J2" s="16"/>
      <c r="K2" s="16"/>
      <c r="L2" s="16"/>
      <c r="M2" s="16"/>
      <c r="N2" s="16"/>
      <c r="O2" s="16"/>
      <c r="P2" s="16"/>
      <c r="Q2" s="16"/>
      <c r="R2" s="16"/>
      <c r="S2" s="16"/>
      <c r="T2" s="16"/>
      <c r="U2" s="16"/>
      <c r="V2" s="16"/>
      <c r="W2" s="16"/>
      <c r="X2" s="17"/>
    </row>
    <row r="3" spans="2:24" ht="13.5" customHeight="1">
      <c r="B3" s="18"/>
      <c r="C3" s="224" t="s">
        <v>9</v>
      </c>
      <c r="D3" s="224"/>
      <c r="E3" s="224"/>
      <c r="F3" s="224"/>
      <c r="G3" s="224"/>
      <c r="H3" s="224"/>
      <c r="I3" s="224"/>
      <c r="J3" s="224"/>
      <c r="K3" s="224"/>
      <c r="L3" s="224"/>
      <c r="M3" s="224"/>
      <c r="N3" s="224"/>
      <c r="O3" s="224"/>
      <c r="P3" s="224"/>
      <c r="Q3" s="224"/>
      <c r="R3" s="224"/>
      <c r="S3" s="224"/>
      <c r="T3" s="224"/>
      <c r="U3" s="224"/>
      <c r="V3" s="224"/>
      <c r="W3" s="224"/>
      <c r="X3" s="20"/>
    </row>
    <row r="4" spans="2:24" ht="13.5" customHeight="1">
      <c r="B4" s="18"/>
      <c r="C4" s="225"/>
      <c r="D4" s="225"/>
      <c r="E4" s="225"/>
      <c r="F4" s="225"/>
      <c r="G4" s="225"/>
      <c r="H4" s="225"/>
      <c r="I4" s="225"/>
      <c r="J4" s="225"/>
      <c r="K4" s="225"/>
      <c r="L4" s="225"/>
      <c r="M4" s="225"/>
      <c r="N4" s="225"/>
      <c r="O4" s="225"/>
      <c r="P4" s="225"/>
      <c r="Q4" s="225"/>
      <c r="R4" s="225"/>
      <c r="S4" s="225"/>
      <c r="T4" s="225"/>
      <c r="U4" s="225"/>
      <c r="V4" s="225"/>
      <c r="W4" s="225"/>
      <c r="X4" s="20"/>
    </row>
    <row r="5" spans="2:24" ht="13.5" customHeight="1" thickBot="1">
      <c r="B5" s="18"/>
      <c r="C5" s="19"/>
      <c r="D5" s="19"/>
      <c r="E5" s="19"/>
      <c r="F5" s="19"/>
      <c r="G5" s="19"/>
      <c r="H5" s="19"/>
      <c r="I5" s="19"/>
      <c r="J5" s="19"/>
      <c r="K5" s="19"/>
      <c r="L5" s="19"/>
      <c r="M5" s="19"/>
      <c r="N5" s="19"/>
      <c r="O5" s="19"/>
      <c r="P5" s="19"/>
      <c r="Q5" s="19"/>
      <c r="R5" s="19"/>
      <c r="S5" s="19"/>
      <c r="T5" s="19"/>
      <c r="U5" s="19"/>
      <c r="V5" s="19"/>
      <c r="W5" s="19"/>
      <c r="X5" s="20"/>
    </row>
    <row r="6" spans="2:24" ht="13.5" customHeight="1">
      <c r="B6" s="18"/>
      <c r="C6" s="226" t="s">
        <v>10</v>
      </c>
      <c r="D6" s="226"/>
      <c r="E6" s="226"/>
      <c r="F6" s="226"/>
      <c r="G6" s="226"/>
      <c r="H6" s="226"/>
      <c r="I6" s="226"/>
      <c r="J6" s="226"/>
      <c r="K6" s="226"/>
      <c r="L6" s="226"/>
      <c r="M6" s="226"/>
      <c r="N6" s="226"/>
      <c r="O6" s="226"/>
      <c r="P6" s="226"/>
      <c r="Q6" s="30"/>
      <c r="R6" s="30"/>
      <c r="S6" s="30"/>
      <c r="T6" s="19"/>
      <c r="U6" s="239">
        <v>9</v>
      </c>
      <c r="V6" s="240"/>
      <c r="W6" s="241"/>
      <c r="X6" s="20"/>
    </row>
    <row r="7" spans="2:24" ht="13.5" customHeight="1" thickBot="1">
      <c r="B7" s="18"/>
      <c r="C7" s="226"/>
      <c r="D7" s="226"/>
      <c r="E7" s="226"/>
      <c r="F7" s="226"/>
      <c r="G7" s="226"/>
      <c r="H7" s="226"/>
      <c r="I7" s="226"/>
      <c r="J7" s="226"/>
      <c r="K7" s="226"/>
      <c r="L7" s="226"/>
      <c r="M7" s="226"/>
      <c r="N7" s="226"/>
      <c r="O7" s="226"/>
      <c r="P7" s="226"/>
      <c r="Q7" s="30"/>
      <c r="R7" s="30"/>
      <c r="S7" s="30"/>
      <c r="T7" s="19"/>
      <c r="U7" s="242"/>
      <c r="V7" s="243"/>
      <c r="W7" s="244"/>
      <c r="X7" s="20"/>
    </row>
    <row r="8" spans="2:24" ht="13.5" customHeight="1" thickBot="1">
      <c r="B8" s="18"/>
      <c r="C8" s="19"/>
      <c r="D8" s="19"/>
      <c r="E8" s="19"/>
      <c r="F8" s="19"/>
      <c r="G8" s="19"/>
      <c r="H8" s="19"/>
      <c r="I8" s="19"/>
      <c r="J8" s="19"/>
      <c r="K8" s="19"/>
      <c r="L8" s="19"/>
      <c r="M8" s="19"/>
      <c r="N8" s="19"/>
      <c r="O8" s="19"/>
      <c r="P8" s="19"/>
      <c r="Q8" s="30"/>
      <c r="R8" s="30"/>
      <c r="S8" s="30"/>
      <c r="T8" s="19"/>
      <c r="U8" s="19"/>
      <c r="V8" s="19"/>
      <c r="W8" s="19"/>
      <c r="X8" s="20"/>
    </row>
    <row r="9" spans="2:24" ht="13.5" customHeight="1" thickBot="1">
      <c r="B9" s="18"/>
      <c r="C9" s="28" t="s">
        <v>13</v>
      </c>
      <c r="D9" s="28"/>
      <c r="E9" s="28"/>
      <c r="F9" s="28"/>
      <c r="G9" s="28"/>
      <c r="H9" s="28"/>
      <c r="I9" s="28"/>
      <c r="J9" s="28"/>
      <c r="K9" s="28"/>
      <c r="L9" s="28"/>
      <c r="M9" s="28"/>
      <c r="N9" s="28"/>
      <c r="O9" s="28"/>
      <c r="P9" s="28"/>
      <c r="Q9" s="31"/>
      <c r="R9" s="31"/>
      <c r="S9" s="31"/>
      <c r="T9" s="19"/>
      <c r="U9" s="236">
        <f>Abilities!BF14</f>
        <v>118</v>
      </c>
      <c r="V9" s="237"/>
      <c r="W9" s="238"/>
      <c r="X9" s="20"/>
    </row>
    <row r="10" spans="2:24" ht="13.5" customHeight="1" thickBot="1">
      <c r="B10" s="18"/>
      <c r="C10" s="29" t="s">
        <v>11</v>
      </c>
      <c r="D10" s="29"/>
      <c r="E10" s="29"/>
      <c r="F10" s="29"/>
      <c r="G10" s="29"/>
      <c r="H10" s="29"/>
      <c r="I10" s="29"/>
      <c r="J10" s="29"/>
      <c r="K10" s="29"/>
      <c r="L10" s="29"/>
      <c r="M10" s="29"/>
      <c r="N10" s="29"/>
      <c r="O10" s="29"/>
      <c r="P10" s="29"/>
      <c r="Q10" s="32"/>
      <c r="R10" s="32"/>
      <c r="S10" s="32"/>
      <c r="T10" s="19"/>
      <c r="U10" s="236">
        <f>IF(U6="","",U6*15+IF(U12="",0,U12))</f>
        <v>135</v>
      </c>
      <c r="V10" s="237"/>
      <c r="W10" s="238"/>
      <c r="X10" s="20"/>
    </row>
    <row r="11" spans="2:24" ht="13.5" customHeight="1" thickBot="1">
      <c r="B11" s="18"/>
      <c r="C11" s="19"/>
      <c r="D11" s="19"/>
      <c r="E11" s="19"/>
      <c r="F11" s="19"/>
      <c r="G11" s="19"/>
      <c r="H11" s="19"/>
      <c r="I11" s="19"/>
      <c r="J11" s="19"/>
      <c r="K11" s="19"/>
      <c r="L11" s="19"/>
      <c r="M11" s="19"/>
      <c r="N11" s="19"/>
      <c r="O11" s="19"/>
      <c r="P11" s="19"/>
      <c r="Q11" s="30"/>
      <c r="R11" s="30"/>
      <c r="S11" s="30"/>
      <c r="T11" s="19"/>
      <c r="U11" s="19"/>
      <c r="V11" s="19"/>
      <c r="W11" s="19"/>
      <c r="X11" s="20"/>
    </row>
    <row r="12" spans="2:24" ht="13.5" customHeight="1" thickBot="1">
      <c r="B12" s="18"/>
      <c r="C12" s="28" t="s">
        <v>12</v>
      </c>
      <c r="D12" s="28"/>
      <c r="E12" s="28"/>
      <c r="F12" s="28"/>
      <c r="G12" s="28"/>
      <c r="H12" s="28"/>
      <c r="I12" s="28"/>
      <c r="J12" s="28"/>
      <c r="K12" s="28"/>
      <c r="L12" s="28"/>
      <c r="M12" s="28"/>
      <c r="N12" s="28"/>
      <c r="O12" s="28"/>
      <c r="P12" s="28"/>
      <c r="Q12" s="31"/>
      <c r="R12" s="31"/>
      <c r="S12" s="31"/>
      <c r="T12" s="19"/>
      <c r="U12" s="233"/>
      <c r="V12" s="234"/>
      <c r="W12" s="235"/>
      <c r="X12" s="20"/>
    </row>
    <row r="13" spans="2:24" ht="13.5" customHeight="1" thickBot="1">
      <c r="B13" s="21"/>
      <c r="C13" s="22"/>
      <c r="D13" s="22"/>
      <c r="E13" s="22"/>
      <c r="F13" s="22"/>
      <c r="G13" s="22"/>
      <c r="H13" s="22"/>
      <c r="I13" s="22"/>
      <c r="J13" s="22"/>
      <c r="K13" s="22"/>
      <c r="L13" s="22"/>
      <c r="M13" s="22"/>
      <c r="N13" s="22"/>
      <c r="O13" s="22"/>
      <c r="P13" s="22"/>
      <c r="Q13" s="22"/>
      <c r="R13" s="22"/>
      <c r="S13" s="22"/>
      <c r="T13" s="22"/>
      <c r="U13" s="22"/>
      <c r="V13" s="22"/>
      <c r="W13" s="22"/>
      <c r="X13" s="23"/>
    </row>
    <row r="14" spans="2:24" ht="13.5" customHeight="1" thickBot="1"/>
    <row r="15" spans="2:24" ht="13.5" customHeight="1">
      <c r="B15" s="15"/>
      <c r="C15" s="16"/>
      <c r="D15" s="16"/>
      <c r="E15" s="16"/>
      <c r="F15" s="16"/>
      <c r="G15" s="16"/>
      <c r="H15" s="16"/>
      <c r="I15" s="16"/>
      <c r="J15" s="16"/>
      <c r="K15" s="16"/>
      <c r="L15" s="16"/>
      <c r="M15" s="16"/>
      <c r="N15" s="16"/>
      <c r="O15" s="16"/>
      <c r="P15" s="16"/>
      <c r="Q15" s="16"/>
      <c r="R15" s="16"/>
      <c r="S15" s="16"/>
      <c r="T15" s="16"/>
      <c r="U15" s="16"/>
      <c r="V15" s="16"/>
      <c r="W15" s="16"/>
      <c r="X15" s="17"/>
    </row>
    <row r="16" spans="2:24" ht="13.5" customHeight="1">
      <c r="B16" s="18"/>
      <c r="C16" s="224" t="s">
        <v>14</v>
      </c>
      <c r="D16" s="224"/>
      <c r="E16" s="224"/>
      <c r="F16" s="224"/>
      <c r="G16" s="224"/>
      <c r="H16" s="224"/>
      <c r="I16" s="224"/>
      <c r="J16" s="224"/>
      <c r="K16" s="224"/>
      <c r="L16" s="224"/>
      <c r="M16" s="224"/>
      <c r="N16" s="224"/>
      <c r="O16" s="224"/>
      <c r="P16" s="224"/>
      <c r="Q16" s="224"/>
      <c r="R16" s="224"/>
      <c r="S16" s="224"/>
      <c r="T16" s="224"/>
      <c r="U16" s="224"/>
      <c r="V16" s="224"/>
      <c r="W16" s="224"/>
      <c r="X16" s="20"/>
    </row>
    <row r="17" spans="2:24" ht="13.5" customHeight="1">
      <c r="B17" s="18"/>
      <c r="C17" s="225"/>
      <c r="D17" s="225"/>
      <c r="E17" s="225"/>
      <c r="F17" s="225"/>
      <c r="G17" s="225"/>
      <c r="H17" s="225"/>
      <c r="I17" s="225"/>
      <c r="J17" s="225"/>
      <c r="K17" s="225"/>
      <c r="L17" s="225"/>
      <c r="M17" s="225"/>
      <c r="N17" s="225"/>
      <c r="O17" s="225"/>
      <c r="P17" s="225"/>
      <c r="Q17" s="225"/>
      <c r="R17" s="225"/>
      <c r="S17" s="225"/>
      <c r="T17" s="225"/>
      <c r="U17" s="225"/>
      <c r="V17" s="225"/>
      <c r="W17" s="225"/>
      <c r="X17" s="20"/>
    </row>
    <row r="18" spans="2:24" ht="13.5" customHeight="1" thickBot="1">
      <c r="B18" s="18"/>
      <c r="C18" s="19"/>
      <c r="D18" s="19"/>
      <c r="E18" s="19"/>
      <c r="F18" s="19"/>
      <c r="G18" s="19"/>
      <c r="H18" s="19"/>
      <c r="I18" s="19"/>
      <c r="J18" s="19"/>
      <c r="K18" s="19"/>
      <c r="L18" s="19"/>
      <c r="M18" s="19"/>
      <c r="N18" s="19"/>
      <c r="O18" s="19"/>
      <c r="P18" s="19"/>
      <c r="Q18" s="19"/>
      <c r="R18" s="19"/>
      <c r="S18" s="19"/>
      <c r="T18" s="19"/>
      <c r="U18" s="19"/>
      <c r="V18" s="19"/>
      <c r="W18" s="19"/>
      <c r="X18" s="20"/>
    </row>
    <row r="19" spans="2:24" ht="13.5" customHeight="1" thickBot="1">
      <c r="B19" s="18"/>
      <c r="C19" s="28" t="s">
        <v>15</v>
      </c>
      <c r="D19" s="28"/>
      <c r="E19" s="28"/>
      <c r="F19" s="28"/>
      <c r="G19" s="28"/>
      <c r="H19" s="28"/>
      <c r="I19" s="28"/>
      <c r="J19" s="28"/>
      <c r="K19" s="19"/>
      <c r="L19" s="249" t="s">
        <v>1302</v>
      </c>
      <c r="M19" s="250"/>
      <c r="N19" s="250"/>
      <c r="O19" s="250"/>
      <c r="P19" s="250"/>
      <c r="Q19" s="250"/>
      <c r="R19" s="250"/>
      <c r="S19" s="250"/>
      <c r="T19" s="250"/>
      <c r="U19" s="250"/>
      <c r="V19" s="250"/>
      <c r="W19" s="251"/>
      <c r="X19" s="20"/>
    </row>
    <row r="20" spans="2:24" ht="13.5" customHeight="1" thickBot="1">
      <c r="B20" s="18"/>
      <c r="C20" s="29" t="s">
        <v>16</v>
      </c>
      <c r="D20" s="29"/>
      <c r="E20" s="29"/>
      <c r="F20" s="29"/>
      <c r="G20" s="29"/>
      <c r="H20" s="29"/>
      <c r="I20" s="29"/>
      <c r="J20" s="29"/>
      <c r="K20" s="19"/>
      <c r="L20" s="245"/>
      <c r="M20" s="246"/>
      <c r="N20" s="246"/>
      <c r="O20" s="246"/>
      <c r="P20" s="246"/>
      <c r="Q20" s="246"/>
      <c r="R20" s="246"/>
      <c r="S20" s="246"/>
      <c r="T20" s="246"/>
      <c r="U20" s="246"/>
      <c r="V20" s="246"/>
      <c r="W20" s="247"/>
      <c r="X20" s="20"/>
    </row>
    <row r="21" spans="2:24" ht="13.5" customHeight="1" thickBot="1">
      <c r="B21" s="18"/>
      <c r="C21" s="29" t="s">
        <v>17</v>
      </c>
      <c r="D21" s="29"/>
      <c r="E21" s="29"/>
      <c r="F21" s="29"/>
      <c r="G21" s="29"/>
      <c r="H21" s="29"/>
      <c r="I21" s="29"/>
      <c r="J21" s="29"/>
      <c r="K21" s="19"/>
      <c r="L21" s="249" t="s">
        <v>1311</v>
      </c>
      <c r="M21" s="250"/>
      <c r="N21" s="250"/>
      <c r="O21" s="250"/>
      <c r="P21" s="250"/>
      <c r="Q21" s="250"/>
      <c r="R21" s="250"/>
      <c r="S21" s="250"/>
      <c r="T21" s="250"/>
      <c r="U21" s="250"/>
      <c r="V21" s="250"/>
      <c r="W21" s="251"/>
      <c r="X21" s="20"/>
    </row>
    <row r="22" spans="2:24" ht="13.5" customHeight="1" thickBot="1">
      <c r="B22" s="18"/>
      <c r="C22" s="29" t="s">
        <v>18</v>
      </c>
      <c r="D22" s="29"/>
      <c r="E22" s="29"/>
      <c r="F22" s="29"/>
      <c r="G22" s="29"/>
      <c r="H22" s="29"/>
      <c r="I22" s="29"/>
      <c r="J22" s="29"/>
      <c r="K22" s="19"/>
      <c r="L22" s="245" t="s">
        <v>1312</v>
      </c>
      <c r="M22" s="246"/>
      <c r="N22" s="246"/>
      <c r="O22" s="246"/>
      <c r="P22" s="246"/>
      <c r="Q22" s="246"/>
      <c r="R22" s="246"/>
      <c r="S22" s="246"/>
      <c r="T22" s="246"/>
      <c r="U22" s="246"/>
      <c r="V22" s="246"/>
      <c r="W22" s="247"/>
      <c r="X22" s="20"/>
    </row>
    <row r="23" spans="2:24" ht="13.5" customHeight="1" thickBot="1">
      <c r="B23" s="18"/>
      <c r="C23" s="29" t="s">
        <v>19</v>
      </c>
      <c r="D23" s="29"/>
      <c r="E23" s="29"/>
      <c r="F23" s="29"/>
      <c r="G23" s="29"/>
      <c r="H23" s="29"/>
      <c r="I23" s="29"/>
      <c r="J23" s="29"/>
      <c r="K23" s="19"/>
      <c r="L23" s="249" t="s">
        <v>1313</v>
      </c>
      <c r="M23" s="250"/>
      <c r="N23" s="250"/>
      <c r="O23" s="250"/>
      <c r="P23" s="250"/>
      <c r="Q23" s="250"/>
      <c r="R23" s="250"/>
      <c r="S23" s="250"/>
      <c r="T23" s="250"/>
      <c r="U23" s="250"/>
      <c r="V23" s="250"/>
      <c r="W23" s="251"/>
      <c r="X23" s="20"/>
    </row>
    <row r="24" spans="2:24" ht="13.5" customHeight="1" thickBot="1">
      <c r="B24" s="18"/>
      <c r="C24" s="29" t="s">
        <v>20</v>
      </c>
      <c r="D24" s="29"/>
      <c r="E24" s="29"/>
      <c r="F24" s="29"/>
      <c r="G24" s="29"/>
      <c r="H24" s="29"/>
      <c r="I24" s="29"/>
      <c r="J24" s="29"/>
      <c r="K24" s="19"/>
      <c r="L24" s="245" t="s">
        <v>1311</v>
      </c>
      <c r="M24" s="246"/>
      <c r="N24" s="246"/>
      <c r="O24" s="246"/>
      <c r="P24" s="246"/>
      <c r="Q24" s="246"/>
      <c r="R24" s="246"/>
      <c r="S24" s="246"/>
      <c r="T24" s="246"/>
      <c r="U24" s="246"/>
      <c r="V24" s="246"/>
      <c r="W24" s="247"/>
      <c r="X24" s="20"/>
    </row>
    <row r="25" spans="2:24" ht="13.5" customHeight="1" thickBot="1">
      <c r="B25" s="18"/>
      <c r="C25" s="29" t="s">
        <v>21</v>
      </c>
      <c r="D25" s="29"/>
      <c r="E25" s="29"/>
      <c r="F25" s="29"/>
      <c r="G25" s="29"/>
      <c r="H25" s="29"/>
      <c r="I25" s="29"/>
      <c r="J25" s="29"/>
      <c r="K25" s="19"/>
      <c r="L25" s="249" t="s">
        <v>1314</v>
      </c>
      <c r="M25" s="250"/>
      <c r="N25" s="250"/>
      <c r="O25" s="250"/>
      <c r="P25" s="250"/>
      <c r="Q25" s="250"/>
      <c r="R25" s="250"/>
      <c r="S25" s="250"/>
      <c r="T25" s="250"/>
      <c r="U25" s="250"/>
      <c r="V25" s="250"/>
      <c r="W25" s="251"/>
      <c r="X25" s="20"/>
    </row>
    <row r="26" spans="2:24" ht="13.5" customHeight="1" thickBot="1">
      <c r="B26" s="18"/>
      <c r="C26" s="29" t="s">
        <v>22</v>
      </c>
      <c r="D26" s="29"/>
      <c r="E26" s="29"/>
      <c r="F26" s="29"/>
      <c r="G26" s="29"/>
      <c r="H26" s="29"/>
      <c r="I26" s="29"/>
      <c r="J26" s="29"/>
      <c r="K26" s="19"/>
      <c r="L26" s="245" t="s">
        <v>1315</v>
      </c>
      <c r="M26" s="246"/>
      <c r="N26" s="246"/>
      <c r="O26" s="246"/>
      <c r="P26" s="246"/>
      <c r="Q26" s="246"/>
      <c r="R26" s="246"/>
      <c r="S26" s="246"/>
      <c r="T26" s="246"/>
      <c r="U26" s="246"/>
      <c r="V26" s="246"/>
      <c r="W26" s="247"/>
      <c r="X26" s="20"/>
    </row>
    <row r="27" spans="2:24" ht="13.5" customHeight="1" thickBot="1">
      <c r="B27" s="18"/>
      <c r="C27" s="29" t="s">
        <v>23</v>
      </c>
      <c r="D27" s="29"/>
      <c r="E27" s="29"/>
      <c r="F27" s="29"/>
      <c r="G27" s="29"/>
      <c r="H27" s="29"/>
      <c r="I27" s="29"/>
      <c r="J27" s="29"/>
      <c r="K27" s="19"/>
      <c r="L27" s="249" t="s">
        <v>1316</v>
      </c>
      <c r="M27" s="250"/>
      <c r="N27" s="250"/>
      <c r="O27" s="250"/>
      <c r="P27" s="250"/>
      <c r="Q27" s="250"/>
      <c r="R27" s="250"/>
      <c r="S27" s="250"/>
      <c r="T27" s="250"/>
      <c r="U27" s="250"/>
      <c r="V27" s="250"/>
      <c r="W27" s="251"/>
      <c r="X27" s="20"/>
    </row>
    <row r="28" spans="2:24" ht="13.5" customHeight="1" thickBot="1">
      <c r="B28" s="18"/>
      <c r="C28" s="29" t="s">
        <v>24</v>
      </c>
      <c r="D28" s="29"/>
      <c r="E28" s="29"/>
      <c r="F28" s="29"/>
      <c r="G28" s="29"/>
      <c r="H28" s="29"/>
      <c r="I28" s="29"/>
      <c r="J28" s="29"/>
      <c r="K28" s="19"/>
      <c r="L28" s="245" t="s">
        <v>1317</v>
      </c>
      <c r="M28" s="246"/>
      <c r="N28" s="246"/>
      <c r="O28" s="246"/>
      <c r="P28" s="246"/>
      <c r="Q28" s="246"/>
      <c r="R28" s="246"/>
      <c r="S28" s="246"/>
      <c r="T28" s="246"/>
      <c r="U28" s="246"/>
      <c r="V28" s="246"/>
      <c r="W28" s="247"/>
      <c r="X28" s="20"/>
    </row>
    <row r="29" spans="2:24" ht="13.5" customHeight="1" thickBot="1">
      <c r="B29" s="18"/>
      <c r="C29" s="29" t="s">
        <v>25</v>
      </c>
      <c r="D29" s="29"/>
      <c r="E29" s="29"/>
      <c r="F29" s="29"/>
      <c r="G29" s="29"/>
      <c r="H29" s="29"/>
      <c r="I29" s="29"/>
      <c r="J29" s="29"/>
      <c r="K29" s="19"/>
      <c r="L29" s="249" t="s">
        <v>1318</v>
      </c>
      <c r="M29" s="250"/>
      <c r="N29" s="250"/>
      <c r="O29" s="250"/>
      <c r="P29" s="250"/>
      <c r="Q29" s="250"/>
      <c r="R29" s="250"/>
      <c r="S29" s="250"/>
      <c r="T29" s="250"/>
      <c r="U29" s="250"/>
      <c r="V29" s="250"/>
      <c r="W29" s="251"/>
      <c r="X29" s="20"/>
    </row>
    <row r="30" spans="2:24" ht="13.5" customHeight="1" thickBot="1">
      <c r="B30" s="18"/>
      <c r="C30" s="29" t="s">
        <v>26</v>
      </c>
      <c r="D30" s="29"/>
      <c r="E30" s="29"/>
      <c r="F30" s="29"/>
      <c r="G30" s="29"/>
      <c r="H30" s="29"/>
      <c r="I30" s="29"/>
      <c r="J30" s="29"/>
      <c r="K30" s="19"/>
      <c r="L30" s="245"/>
      <c r="M30" s="246"/>
      <c r="N30" s="246"/>
      <c r="O30" s="246"/>
      <c r="P30" s="246"/>
      <c r="Q30" s="246"/>
      <c r="R30" s="246"/>
      <c r="S30" s="246"/>
      <c r="T30" s="246"/>
      <c r="U30" s="246"/>
      <c r="V30" s="246"/>
      <c r="W30" s="247"/>
      <c r="X30" s="20"/>
    </row>
    <row r="31" spans="2:24"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3"/>
    </row>
    <row r="32" spans="2:24" ht="13.5" customHeight="1" thickBot="1"/>
    <row r="33" spans="2:24" ht="13.5" customHeight="1">
      <c r="B33" s="15"/>
      <c r="C33" s="16"/>
      <c r="D33" s="16"/>
      <c r="E33" s="16"/>
      <c r="F33" s="16"/>
      <c r="G33" s="16"/>
      <c r="H33" s="16"/>
      <c r="I33" s="16"/>
      <c r="J33" s="16"/>
      <c r="K33" s="16"/>
      <c r="L33" s="16"/>
      <c r="M33" s="16"/>
      <c r="N33" s="16"/>
      <c r="O33" s="16"/>
      <c r="P33" s="16"/>
      <c r="Q33" s="16"/>
      <c r="R33" s="16"/>
      <c r="S33" s="16"/>
      <c r="T33" s="16"/>
      <c r="U33" s="16"/>
      <c r="V33" s="16"/>
      <c r="W33" s="16"/>
      <c r="X33" s="17"/>
    </row>
    <row r="34" spans="2:24" ht="13.5" customHeight="1">
      <c r="B34" s="18"/>
      <c r="C34" s="224" t="s">
        <v>856</v>
      </c>
      <c r="D34" s="224"/>
      <c r="E34" s="224"/>
      <c r="F34" s="224"/>
      <c r="G34" s="224"/>
      <c r="H34" s="224"/>
      <c r="I34" s="224"/>
      <c r="J34" s="224"/>
      <c r="K34" s="224"/>
      <c r="L34" s="224"/>
      <c r="M34" s="224"/>
      <c r="N34" s="224"/>
      <c r="O34" s="224"/>
      <c r="P34" s="224"/>
      <c r="Q34" s="224"/>
      <c r="R34" s="224"/>
      <c r="S34" s="224"/>
      <c r="T34" s="224"/>
      <c r="U34" s="224"/>
      <c r="V34" s="224"/>
      <c r="W34" s="224"/>
      <c r="X34" s="20"/>
    </row>
    <row r="35" spans="2:24" ht="13.5" customHeight="1">
      <c r="B35" s="18"/>
      <c r="C35" s="225"/>
      <c r="D35" s="225"/>
      <c r="E35" s="225"/>
      <c r="F35" s="225"/>
      <c r="G35" s="225"/>
      <c r="H35" s="225"/>
      <c r="I35" s="225"/>
      <c r="J35" s="225"/>
      <c r="K35" s="225"/>
      <c r="L35" s="225"/>
      <c r="M35" s="225"/>
      <c r="N35" s="225"/>
      <c r="O35" s="225"/>
      <c r="P35" s="225"/>
      <c r="Q35" s="225"/>
      <c r="R35" s="225"/>
      <c r="S35" s="225"/>
      <c r="T35" s="225"/>
      <c r="U35" s="225"/>
      <c r="V35" s="225"/>
      <c r="W35" s="225"/>
      <c r="X35" s="20"/>
    </row>
    <row r="36" spans="2:24" ht="13.5" customHeight="1" thickBot="1">
      <c r="B36" s="18"/>
      <c r="C36" s="19"/>
      <c r="D36" s="19"/>
      <c r="E36" s="19"/>
      <c r="F36" s="19"/>
      <c r="G36" s="19"/>
      <c r="H36" s="19"/>
      <c r="I36" s="19"/>
      <c r="J36" s="19"/>
      <c r="K36" s="19"/>
      <c r="L36" s="19"/>
      <c r="M36" s="19"/>
      <c r="N36" s="19"/>
      <c r="O36" s="19"/>
      <c r="P36" s="19"/>
      <c r="Q36" s="19"/>
      <c r="R36" s="19"/>
      <c r="S36" s="19"/>
      <c r="T36" s="19"/>
      <c r="U36" s="19"/>
      <c r="V36" s="19"/>
      <c r="W36" s="19"/>
      <c r="X36" s="20"/>
    </row>
    <row r="37" spans="2:24" ht="13.5" customHeight="1" thickBot="1">
      <c r="B37" s="18"/>
      <c r="C37" s="28" t="s">
        <v>858</v>
      </c>
      <c r="D37" s="28"/>
      <c r="E37" s="28"/>
      <c r="F37" s="28"/>
      <c r="G37" s="28"/>
      <c r="H37" s="28"/>
      <c r="I37" s="28"/>
      <c r="J37" s="28"/>
      <c r="K37" s="28"/>
      <c r="L37" s="28"/>
      <c r="M37" s="28"/>
      <c r="N37" s="28"/>
      <c r="O37" s="28"/>
      <c r="P37" s="28"/>
      <c r="Q37" s="28"/>
      <c r="R37" s="28"/>
      <c r="S37" s="28"/>
      <c r="T37" s="19"/>
      <c r="U37" s="245"/>
      <c r="V37" s="246"/>
      <c r="W37" s="247"/>
      <c r="X37" s="20"/>
    </row>
    <row r="38" spans="2:24" ht="13.5" customHeight="1">
      <c r="B38" s="18"/>
      <c r="C38" s="248" t="s">
        <v>857</v>
      </c>
      <c r="D38" s="248"/>
      <c r="E38" s="248"/>
      <c r="F38" s="248"/>
      <c r="G38" s="248"/>
      <c r="H38" s="248"/>
      <c r="I38" s="248"/>
      <c r="J38" s="248"/>
      <c r="K38" s="248"/>
      <c r="L38" s="248"/>
      <c r="M38" s="248"/>
      <c r="N38" s="248"/>
      <c r="O38" s="248"/>
      <c r="P38" s="248"/>
      <c r="Q38" s="248"/>
      <c r="R38" s="248"/>
      <c r="S38" s="248"/>
      <c r="T38" s="248"/>
      <c r="U38" s="19"/>
      <c r="V38" s="19"/>
      <c r="W38" s="19"/>
      <c r="X38" s="20"/>
    </row>
    <row r="39" spans="2:24" ht="13.5" customHeight="1">
      <c r="B39" s="18"/>
      <c r="C39" s="248"/>
      <c r="D39" s="248"/>
      <c r="E39" s="248"/>
      <c r="F39" s="248"/>
      <c r="G39" s="248"/>
      <c r="H39" s="248"/>
      <c r="I39" s="248"/>
      <c r="J39" s="248"/>
      <c r="K39" s="248"/>
      <c r="L39" s="248"/>
      <c r="M39" s="248"/>
      <c r="N39" s="248"/>
      <c r="O39" s="248"/>
      <c r="P39" s="248"/>
      <c r="Q39" s="248"/>
      <c r="R39" s="248"/>
      <c r="S39" s="248"/>
      <c r="T39" s="248"/>
      <c r="U39" s="19"/>
      <c r="V39" s="19"/>
      <c r="W39" s="19"/>
      <c r="X39" s="20"/>
    </row>
    <row r="40" spans="2:24" ht="13.5" customHeight="1">
      <c r="B40" s="18"/>
      <c r="C40" s="248"/>
      <c r="D40" s="248"/>
      <c r="E40" s="248"/>
      <c r="F40" s="248"/>
      <c r="G40" s="248"/>
      <c r="H40" s="248"/>
      <c r="I40" s="248"/>
      <c r="J40" s="248"/>
      <c r="K40" s="248"/>
      <c r="L40" s="248"/>
      <c r="M40" s="248"/>
      <c r="N40" s="248"/>
      <c r="O40" s="248"/>
      <c r="P40" s="248"/>
      <c r="Q40" s="248"/>
      <c r="R40" s="248"/>
      <c r="S40" s="248"/>
      <c r="T40" s="248"/>
      <c r="U40" s="19"/>
      <c r="V40" s="19"/>
      <c r="W40" s="19"/>
      <c r="X40" s="20"/>
    </row>
    <row r="41" spans="2:24" ht="13.5" customHeight="1">
      <c r="B41" s="18"/>
      <c r="C41" s="248"/>
      <c r="D41" s="248"/>
      <c r="E41" s="248"/>
      <c r="F41" s="248"/>
      <c r="G41" s="248"/>
      <c r="H41" s="248"/>
      <c r="I41" s="248"/>
      <c r="J41" s="248"/>
      <c r="K41" s="248"/>
      <c r="L41" s="248"/>
      <c r="M41" s="248"/>
      <c r="N41" s="248"/>
      <c r="O41" s="248"/>
      <c r="P41" s="248"/>
      <c r="Q41" s="248"/>
      <c r="R41" s="248"/>
      <c r="S41" s="248"/>
      <c r="T41" s="248"/>
      <c r="U41" s="19"/>
      <c r="V41" s="19"/>
      <c r="W41" s="19"/>
      <c r="X41" s="20"/>
    </row>
    <row r="42" spans="2:24" ht="13.5" customHeight="1" thickBot="1">
      <c r="B42" s="21"/>
      <c r="C42" s="22"/>
      <c r="D42" s="22"/>
      <c r="E42" s="22"/>
      <c r="F42" s="22"/>
      <c r="G42" s="22"/>
      <c r="H42" s="22"/>
      <c r="I42" s="22"/>
      <c r="J42" s="22"/>
      <c r="K42" s="22"/>
      <c r="L42" s="22"/>
      <c r="M42" s="22"/>
      <c r="N42" s="22"/>
      <c r="O42" s="22"/>
      <c r="P42" s="22"/>
      <c r="Q42" s="22"/>
      <c r="R42" s="22"/>
      <c r="S42" s="22"/>
      <c r="T42" s="22"/>
      <c r="U42" s="22"/>
      <c r="V42" s="22"/>
      <c r="W42" s="22"/>
      <c r="X42" s="23"/>
    </row>
  </sheetData>
  <mergeCells count="22">
    <mergeCell ref="U37:W37"/>
    <mergeCell ref="C38:T41"/>
    <mergeCell ref="L28:W28"/>
    <mergeCell ref="L29:W29"/>
    <mergeCell ref="L19:W19"/>
    <mergeCell ref="C34:W35"/>
    <mergeCell ref="L26:W26"/>
    <mergeCell ref="L30:W30"/>
    <mergeCell ref="L27:W27"/>
    <mergeCell ref="L20:W20"/>
    <mergeCell ref="L22:W22"/>
    <mergeCell ref="L23:W23"/>
    <mergeCell ref="L24:W24"/>
    <mergeCell ref="L25:W25"/>
    <mergeCell ref="L21:W21"/>
    <mergeCell ref="U12:W12"/>
    <mergeCell ref="C16:W17"/>
    <mergeCell ref="U9:W9"/>
    <mergeCell ref="U10:W10"/>
    <mergeCell ref="C3:W4"/>
    <mergeCell ref="C6:P7"/>
    <mergeCell ref="U6:W7"/>
  </mergeCells>
  <dataValidations count="3">
    <dataValidation type="list" allowBlank="1" showInputMessage="1" showErrorMessage="1" sqref="L22:W22">
      <formula1>"Secret,Public"</formula1>
    </dataValidation>
    <dataValidation type="list" allowBlank="1" showInputMessage="1" showErrorMessage="1" sqref="L23:W23">
      <formula1>"Male,Female,Other"</formula1>
    </dataValidation>
    <dataValidation type="list" allowBlank="1" showInputMessage="1" showErrorMessage="1" sqref="U37:W3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Basics">
                <anchor moveWithCells="1" sizeWithCells="1">
                  <from>
                    <xdr:col>25</xdr:col>
                    <xdr:colOff>38100</xdr:colOff>
                    <xdr:row>3</xdr:row>
                    <xdr:rowOff>38100</xdr:rowOff>
                  </from>
                  <to>
                    <xdr:col>31</xdr:col>
                    <xdr:colOff>68580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BQ48"/>
  <sheetViews>
    <sheetView showGridLines="0" zoomScaleNormal="100" workbookViewId="0">
      <selection activeCell="E25" sqref="E25:AK25"/>
    </sheetView>
  </sheetViews>
  <sheetFormatPr defaultColWidth="2.6640625" defaultRowHeight="13.5" customHeight="1"/>
  <cols>
    <col min="1" max="16384" width="2.6640625" style="12"/>
  </cols>
  <sheetData>
    <row r="1" spans="2:69" ht="13.5" customHeight="1" thickBot="1"/>
    <row r="2" spans="2:69" ht="13.5" customHeight="1">
      <c r="B2" s="15"/>
      <c r="C2" s="16"/>
      <c r="D2" s="16"/>
      <c r="E2" s="16"/>
      <c r="F2" s="16"/>
      <c r="G2" s="16"/>
      <c r="H2" s="16"/>
      <c r="I2" s="16"/>
      <c r="J2" s="16"/>
      <c r="K2" s="16"/>
      <c r="L2" s="16"/>
      <c r="M2" s="16"/>
      <c r="N2" s="16"/>
      <c r="O2" s="16"/>
      <c r="P2" s="16"/>
      <c r="Q2" s="16"/>
      <c r="R2" s="16"/>
      <c r="S2" s="16"/>
      <c r="T2" s="16"/>
      <c r="U2" s="16"/>
      <c r="V2" s="17"/>
      <c r="W2" s="13"/>
      <c r="X2" s="15"/>
      <c r="Y2" s="16"/>
      <c r="Z2" s="16"/>
      <c r="AA2" s="16"/>
      <c r="AB2" s="16"/>
      <c r="AC2" s="16"/>
      <c r="AD2" s="16"/>
      <c r="AE2" s="16"/>
      <c r="AF2" s="16"/>
      <c r="AG2" s="16"/>
      <c r="AH2" s="16"/>
      <c r="AI2" s="16"/>
      <c r="AJ2" s="16"/>
      <c r="AK2" s="16"/>
      <c r="AL2" s="16"/>
      <c r="AM2" s="16"/>
      <c r="AN2" s="16"/>
      <c r="AO2" s="16"/>
      <c r="AP2" s="16"/>
      <c r="AQ2" s="16"/>
      <c r="AR2" s="16"/>
      <c r="AS2" s="16"/>
      <c r="AT2" s="16"/>
      <c r="AU2" s="17"/>
      <c r="AW2" s="15"/>
      <c r="AX2" s="16"/>
      <c r="AY2" s="16"/>
      <c r="AZ2" s="16"/>
      <c r="BA2" s="16"/>
      <c r="BB2" s="16"/>
      <c r="BC2" s="16"/>
      <c r="BD2" s="16"/>
      <c r="BE2" s="16"/>
      <c r="BF2" s="16"/>
      <c r="BG2" s="16"/>
      <c r="BH2" s="16"/>
      <c r="BI2" s="17"/>
    </row>
    <row r="3" spans="2:69" ht="13.5" customHeight="1">
      <c r="B3" s="18"/>
      <c r="C3" s="224" t="s">
        <v>27</v>
      </c>
      <c r="D3" s="224"/>
      <c r="E3" s="224"/>
      <c r="F3" s="224"/>
      <c r="G3" s="224"/>
      <c r="H3" s="224"/>
      <c r="I3" s="224"/>
      <c r="J3" s="224"/>
      <c r="K3" s="224"/>
      <c r="L3" s="224"/>
      <c r="M3" s="224"/>
      <c r="N3" s="224"/>
      <c r="O3" s="224"/>
      <c r="P3" s="224"/>
      <c r="Q3" s="224"/>
      <c r="R3" s="224"/>
      <c r="S3" s="24"/>
      <c r="T3" s="24"/>
      <c r="U3" s="24"/>
      <c r="V3" s="35"/>
      <c r="W3" s="36"/>
      <c r="X3" s="18"/>
      <c r="Y3" s="224" t="s">
        <v>121</v>
      </c>
      <c r="Z3" s="224"/>
      <c r="AA3" s="224"/>
      <c r="AB3" s="224"/>
      <c r="AC3" s="224"/>
      <c r="AD3" s="224"/>
      <c r="AE3" s="224"/>
      <c r="AF3" s="224"/>
      <c r="AG3" s="224"/>
      <c r="AH3" s="224"/>
      <c r="AI3" s="224"/>
      <c r="AJ3" s="224"/>
      <c r="AK3" s="224"/>
      <c r="AL3" s="224"/>
      <c r="AM3" s="224"/>
      <c r="AN3" s="224"/>
      <c r="AO3" s="24"/>
      <c r="AP3" s="24"/>
      <c r="AQ3" s="24"/>
      <c r="AR3" s="24"/>
      <c r="AS3" s="24"/>
      <c r="AT3" s="24"/>
      <c r="AU3" s="35"/>
      <c r="AW3" s="18"/>
      <c r="AX3" s="224" t="s">
        <v>131</v>
      </c>
      <c r="AY3" s="224"/>
      <c r="AZ3" s="224"/>
      <c r="BA3" s="224"/>
      <c r="BB3" s="224"/>
      <c r="BC3" s="224"/>
      <c r="BD3" s="224"/>
      <c r="BE3" s="224"/>
      <c r="BF3" s="224"/>
      <c r="BG3" s="224"/>
      <c r="BH3" s="224"/>
      <c r="BI3" s="20"/>
    </row>
    <row r="4" spans="2:69" ht="13.5" customHeight="1">
      <c r="B4" s="18"/>
      <c r="C4" s="225"/>
      <c r="D4" s="225"/>
      <c r="E4" s="225"/>
      <c r="F4" s="225"/>
      <c r="G4" s="225"/>
      <c r="H4" s="225"/>
      <c r="I4" s="225"/>
      <c r="J4" s="225"/>
      <c r="K4" s="225"/>
      <c r="L4" s="225"/>
      <c r="M4" s="225"/>
      <c r="N4" s="225"/>
      <c r="O4" s="225"/>
      <c r="P4" s="225"/>
      <c r="Q4" s="225"/>
      <c r="R4" s="225"/>
      <c r="S4" s="24"/>
      <c r="T4" s="24"/>
      <c r="U4" s="24"/>
      <c r="V4" s="35"/>
      <c r="W4" s="36"/>
      <c r="X4" s="18"/>
      <c r="Y4" s="225"/>
      <c r="Z4" s="225"/>
      <c r="AA4" s="225"/>
      <c r="AB4" s="225"/>
      <c r="AC4" s="225"/>
      <c r="AD4" s="225"/>
      <c r="AE4" s="225"/>
      <c r="AF4" s="225"/>
      <c r="AG4" s="225"/>
      <c r="AH4" s="225"/>
      <c r="AI4" s="225"/>
      <c r="AJ4" s="225"/>
      <c r="AK4" s="225"/>
      <c r="AL4" s="225"/>
      <c r="AM4" s="225"/>
      <c r="AN4" s="225"/>
      <c r="AO4" s="24"/>
      <c r="AP4" s="24"/>
      <c r="AQ4" s="24"/>
      <c r="AR4" s="24"/>
      <c r="AS4" s="24"/>
      <c r="AT4" s="24"/>
      <c r="AU4" s="35"/>
      <c r="AW4" s="18"/>
      <c r="AX4" s="225"/>
      <c r="AY4" s="225"/>
      <c r="AZ4" s="225"/>
      <c r="BA4" s="225"/>
      <c r="BB4" s="225"/>
      <c r="BC4" s="225"/>
      <c r="BD4" s="225"/>
      <c r="BE4" s="225"/>
      <c r="BF4" s="225"/>
      <c r="BG4" s="225"/>
      <c r="BH4" s="225"/>
      <c r="BI4" s="20"/>
    </row>
    <row r="5" spans="2:69" ht="13.5" customHeight="1" thickBot="1">
      <c r="B5" s="18"/>
      <c r="C5" s="19"/>
      <c r="D5" s="19"/>
      <c r="E5" s="19"/>
      <c r="F5" s="19"/>
      <c r="G5" s="261" t="s">
        <v>36</v>
      </c>
      <c r="H5" s="261"/>
      <c r="I5" s="261"/>
      <c r="J5" s="261" t="s">
        <v>37</v>
      </c>
      <c r="K5" s="261"/>
      <c r="L5" s="261"/>
      <c r="M5" s="258" t="s">
        <v>38</v>
      </c>
      <c r="N5" s="259"/>
      <c r="O5" s="259"/>
      <c r="P5" s="258" t="s">
        <v>1279</v>
      </c>
      <c r="Q5" s="259"/>
      <c r="R5" s="259"/>
      <c r="S5" s="256" t="s">
        <v>39</v>
      </c>
      <c r="T5" s="261"/>
      <c r="U5" s="261"/>
      <c r="V5" s="20"/>
      <c r="W5" s="13"/>
      <c r="X5" s="18"/>
      <c r="Y5" s="19"/>
      <c r="Z5" s="19"/>
      <c r="AA5" s="19"/>
      <c r="AB5" s="19"/>
      <c r="AC5" s="256" t="s">
        <v>122</v>
      </c>
      <c r="AD5" s="256"/>
      <c r="AE5" s="256"/>
      <c r="AF5" s="258" t="s">
        <v>123</v>
      </c>
      <c r="AG5" s="259"/>
      <c r="AH5" s="259"/>
      <c r="AI5" s="256" t="s">
        <v>37</v>
      </c>
      <c r="AJ5" s="261"/>
      <c r="AK5" s="261"/>
      <c r="AL5" s="258" t="s">
        <v>440</v>
      </c>
      <c r="AM5" s="259"/>
      <c r="AN5" s="259"/>
      <c r="AO5" s="258" t="s">
        <v>1279</v>
      </c>
      <c r="AP5" s="259"/>
      <c r="AQ5" s="259"/>
      <c r="AR5" s="256" t="s">
        <v>36</v>
      </c>
      <c r="AS5" s="256"/>
      <c r="AT5" s="256"/>
      <c r="AU5" s="20"/>
      <c r="AW5" s="18"/>
      <c r="AX5" s="19"/>
      <c r="AY5" s="19"/>
      <c r="AZ5" s="19"/>
      <c r="BA5" s="19"/>
      <c r="BB5" s="19"/>
      <c r="BC5" s="19"/>
      <c r="BD5" s="19"/>
      <c r="BE5" s="19"/>
      <c r="BF5" s="19"/>
      <c r="BG5" s="19"/>
      <c r="BH5" s="19"/>
      <c r="BI5" s="20"/>
    </row>
    <row r="6" spans="2:69" ht="13.5" customHeight="1" thickBot="1">
      <c r="B6" s="18"/>
      <c r="C6" s="19"/>
      <c r="D6" s="19"/>
      <c r="E6" s="19"/>
      <c r="F6" s="19"/>
      <c r="G6" s="262"/>
      <c r="H6" s="262"/>
      <c r="I6" s="262"/>
      <c r="J6" s="262"/>
      <c r="K6" s="262"/>
      <c r="L6" s="262"/>
      <c r="M6" s="260"/>
      <c r="N6" s="260"/>
      <c r="O6" s="260"/>
      <c r="P6" s="260"/>
      <c r="Q6" s="260"/>
      <c r="R6" s="260"/>
      <c r="S6" s="262"/>
      <c r="T6" s="262"/>
      <c r="U6" s="262"/>
      <c r="V6" s="20"/>
      <c r="W6" s="13"/>
      <c r="X6" s="18"/>
      <c r="Y6" s="19"/>
      <c r="Z6" s="19"/>
      <c r="AA6" s="19"/>
      <c r="AB6" s="19"/>
      <c r="AC6" s="257"/>
      <c r="AD6" s="257"/>
      <c r="AE6" s="257"/>
      <c r="AF6" s="260"/>
      <c r="AG6" s="260"/>
      <c r="AH6" s="260"/>
      <c r="AI6" s="262"/>
      <c r="AJ6" s="262"/>
      <c r="AK6" s="262"/>
      <c r="AL6" s="260"/>
      <c r="AM6" s="260"/>
      <c r="AN6" s="260"/>
      <c r="AO6" s="260"/>
      <c r="AP6" s="260"/>
      <c r="AQ6" s="260"/>
      <c r="AR6" s="257"/>
      <c r="AS6" s="257"/>
      <c r="AT6" s="257"/>
      <c r="AU6" s="20"/>
      <c r="AW6" s="18"/>
      <c r="AX6" s="19" t="s">
        <v>27</v>
      </c>
      <c r="AY6" s="19"/>
      <c r="AZ6" s="19"/>
      <c r="BA6" s="19"/>
      <c r="BB6" s="19"/>
      <c r="BC6" s="19"/>
      <c r="BD6" s="19"/>
      <c r="BE6" s="19"/>
      <c r="BF6" s="252">
        <f>SUM(J7:L14)</f>
        <v>36</v>
      </c>
      <c r="BG6" s="253"/>
      <c r="BH6" s="254"/>
      <c r="BI6" s="20"/>
      <c r="BO6" s="12" t="s">
        <v>812</v>
      </c>
    </row>
    <row r="7" spans="2:69" ht="13.5" customHeight="1" thickBot="1">
      <c r="B7" s="18"/>
      <c r="C7" s="34" t="s">
        <v>28</v>
      </c>
      <c r="D7" s="19"/>
      <c r="E7" s="19"/>
      <c r="F7" s="19"/>
      <c r="G7" s="278">
        <v>0</v>
      </c>
      <c r="H7" s="279"/>
      <c r="I7" s="280"/>
      <c r="J7" s="252">
        <f>IF(G7="","",G7*2)</f>
        <v>0</v>
      </c>
      <c r="K7" s="253"/>
      <c r="L7" s="254"/>
      <c r="M7" s="252">
        <f>EnhancedStrength</f>
        <v>0</v>
      </c>
      <c r="N7" s="253"/>
      <c r="O7" s="254"/>
      <c r="P7" s="252">
        <f>PermanentGrowth-PermanentShrinking</f>
        <v>0</v>
      </c>
      <c r="Q7" s="253"/>
      <c r="R7" s="254"/>
      <c r="S7" s="252">
        <f>IF(G7="","",G7+M7+P7)</f>
        <v>0</v>
      </c>
      <c r="T7" s="253"/>
      <c r="U7" s="254"/>
      <c r="V7" s="20"/>
      <c r="W7" s="13"/>
      <c r="X7" s="18"/>
      <c r="Y7" s="34" t="s">
        <v>124</v>
      </c>
      <c r="Z7" s="19"/>
      <c r="AA7" s="19"/>
      <c r="AB7" s="19"/>
      <c r="AC7" s="252">
        <f>IF(S9="","",S9)</f>
        <v>1</v>
      </c>
      <c r="AD7" s="253"/>
      <c r="AE7" s="254"/>
      <c r="AF7" s="278">
        <v>9</v>
      </c>
      <c r="AG7" s="279"/>
      <c r="AH7" s="280"/>
      <c r="AI7" s="255">
        <f>IF(AF7="",0,AF7)</f>
        <v>9</v>
      </c>
      <c r="AJ7" s="266"/>
      <c r="AK7" s="267"/>
      <c r="AL7" s="252">
        <f>EnhancedDodge</f>
        <v>0</v>
      </c>
      <c r="AM7" s="253"/>
      <c r="AN7" s="254"/>
      <c r="AO7" s="286">
        <f>IF(PermanentGrowth=0,0,0-ROUNDDOWN(PermanentGrowth/2,0))+IF(PermanentShrinking=0,0,ROUNDDOWN(PermanentShrinking/2,0))</f>
        <v>0</v>
      </c>
      <c r="AP7" s="287"/>
      <c r="AQ7" s="288"/>
      <c r="AR7" s="252">
        <f>IF(AC7="",0,AC7+AF7+AL7+AO7)</f>
        <v>10</v>
      </c>
      <c r="AS7" s="253"/>
      <c r="AT7" s="254"/>
      <c r="AU7" s="20"/>
      <c r="AW7" s="18"/>
      <c r="AX7" s="19" t="s">
        <v>508</v>
      </c>
      <c r="AY7" s="19"/>
      <c r="AZ7" s="19"/>
      <c r="BA7" s="19"/>
      <c r="BB7" s="19"/>
      <c r="BC7" s="19"/>
      <c r="BD7" s="19"/>
      <c r="BE7" s="19"/>
      <c r="BF7" s="255">
        <f>AI7+AI8+AI9+AI11</f>
        <v>31</v>
      </c>
      <c r="BG7" s="253"/>
      <c r="BH7" s="254"/>
      <c r="BI7" s="20"/>
      <c r="BO7" s="12" t="s">
        <v>219</v>
      </c>
      <c r="BQ7" s="12">
        <f t="shared" ref="BQ7:BQ14" si="0">S7</f>
        <v>0</v>
      </c>
    </row>
    <row r="8" spans="2:69" ht="13.5" customHeight="1" thickBot="1">
      <c r="B8" s="18"/>
      <c r="C8" s="34" t="s">
        <v>29</v>
      </c>
      <c r="D8" s="19"/>
      <c r="E8" s="19"/>
      <c r="F8" s="19"/>
      <c r="G8" s="263">
        <v>2</v>
      </c>
      <c r="H8" s="264"/>
      <c r="I8" s="265"/>
      <c r="J8" s="252">
        <f t="shared" ref="J8:J14" si="1">IF(G8="","",G8*2)</f>
        <v>4</v>
      </c>
      <c r="K8" s="253"/>
      <c r="L8" s="254"/>
      <c r="M8" s="252">
        <f>EnhancedStamina</f>
        <v>0</v>
      </c>
      <c r="N8" s="253"/>
      <c r="O8" s="254"/>
      <c r="P8" s="252">
        <f>PermanentGrowth</f>
        <v>0</v>
      </c>
      <c r="Q8" s="253"/>
      <c r="R8" s="254"/>
      <c r="S8" s="252">
        <f>IF(G8="","",G8+M8+P8)</f>
        <v>2</v>
      </c>
      <c r="T8" s="253"/>
      <c r="U8" s="254"/>
      <c r="V8" s="20"/>
      <c r="W8" s="13"/>
      <c r="X8" s="18"/>
      <c r="Y8" s="34" t="s">
        <v>125</v>
      </c>
      <c r="Z8" s="19"/>
      <c r="AA8" s="19"/>
      <c r="AB8" s="19"/>
      <c r="AC8" s="252">
        <f>IF(S8="","",S8)</f>
        <v>2</v>
      </c>
      <c r="AD8" s="253"/>
      <c r="AE8" s="254"/>
      <c r="AF8" s="263">
        <v>6</v>
      </c>
      <c r="AG8" s="264"/>
      <c r="AH8" s="265"/>
      <c r="AI8" s="255">
        <f>IF(AF8="",0,AF8)</f>
        <v>6</v>
      </c>
      <c r="AJ8" s="266"/>
      <c r="AK8" s="267"/>
      <c r="AL8" s="252">
        <f>EnhancedFortitude</f>
        <v>0</v>
      </c>
      <c r="AM8" s="253"/>
      <c r="AN8" s="254"/>
      <c r="AO8" s="282"/>
      <c r="AP8" s="283"/>
      <c r="AQ8" s="284"/>
      <c r="AR8" s="252">
        <f>IF(AC8="",0,AC8+AF8+AL8)</f>
        <v>8</v>
      </c>
      <c r="AS8" s="253"/>
      <c r="AT8" s="254"/>
      <c r="AU8" s="20"/>
      <c r="AW8" s="18"/>
      <c r="AX8" s="19" t="str">
        <f>Skills!$AP$8</f>
        <v>Skills (66 ranks)</v>
      </c>
      <c r="AY8" s="19"/>
      <c r="AZ8" s="19"/>
      <c r="BA8" s="19"/>
      <c r="BB8" s="19"/>
      <c r="BC8" s="19"/>
      <c r="BD8" s="19"/>
      <c r="BE8" s="19"/>
      <c r="BF8" s="252">
        <f>Skills!$AX$8</f>
        <v>33</v>
      </c>
      <c r="BG8" s="253"/>
      <c r="BH8" s="254"/>
      <c r="BI8" s="20"/>
      <c r="BO8" s="12" t="s">
        <v>813</v>
      </c>
      <c r="BQ8" s="12">
        <f t="shared" si="0"/>
        <v>2</v>
      </c>
    </row>
    <row r="9" spans="2:69" ht="13.5" customHeight="1" thickBot="1">
      <c r="B9" s="18"/>
      <c r="C9" s="34" t="s">
        <v>30</v>
      </c>
      <c r="D9" s="19"/>
      <c r="E9" s="19"/>
      <c r="F9" s="19"/>
      <c r="G9" s="278">
        <v>1</v>
      </c>
      <c r="H9" s="279"/>
      <c r="I9" s="280"/>
      <c r="J9" s="252">
        <f t="shared" si="1"/>
        <v>2</v>
      </c>
      <c r="K9" s="253"/>
      <c r="L9" s="254"/>
      <c r="M9" s="252">
        <f>EnhancedAgility</f>
        <v>0</v>
      </c>
      <c r="N9" s="253"/>
      <c r="O9" s="254"/>
      <c r="P9" s="282"/>
      <c r="Q9" s="283"/>
      <c r="R9" s="284"/>
      <c r="S9" s="252">
        <f t="shared" ref="S9:S14" si="2">IF(G9="","",G9+M9)</f>
        <v>1</v>
      </c>
      <c r="T9" s="253"/>
      <c r="U9" s="254"/>
      <c r="V9" s="20"/>
      <c r="W9" s="13"/>
      <c r="X9" s="18"/>
      <c r="Y9" s="34" t="s">
        <v>126</v>
      </c>
      <c r="Z9" s="19"/>
      <c r="AA9" s="19"/>
      <c r="AB9" s="19"/>
      <c r="AC9" s="252">
        <f>IF(S11="","",S11)</f>
        <v>2</v>
      </c>
      <c r="AD9" s="253"/>
      <c r="AE9" s="254"/>
      <c r="AF9" s="278">
        <v>8</v>
      </c>
      <c r="AG9" s="279"/>
      <c r="AH9" s="280"/>
      <c r="AI9" s="255">
        <f>IF(AF9="",0,AF9)</f>
        <v>8</v>
      </c>
      <c r="AJ9" s="266"/>
      <c r="AK9" s="267"/>
      <c r="AL9" s="252">
        <f>EnhancedParry</f>
        <v>0</v>
      </c>
      <c r="AM9" s="253"/>
      <c r="AN9" s="254"/>
      <c r="AO9" s="286">
        <f>IF(PermanentGrowth=0,0,0-ROUNDDOWN(PermanentGrowth/2,0))+IF(PermanentShrinking=0,0,ROUNDDOWN(PermanentShrinking/2,0))</f>
        <v>0</v>
      </c>
      <c r="AP9" s="287"/>
      <c r="AQ9" s="288"/>
      <c r="AR9" s="252">
        <f>IF(AC9="",0,AC9+AF9+AL9+AO9)</f>
        <v>10</v>
      </c>
      <c r="AS9" s="253"/>
      <c r="AT9" s="254"/>
      <c r="AU9" s="20"/>
      <c r="AW9" s="18"/>
      <c r="AX9" s="19" t="s">
        <v>228</v>
      </c>
      <c r="AY9" s="19"/>
      <c r="AZ9" s="19"/>
      <c r="BA9" s="19"/>
      <c r="BB9" s="19"/>
      <c r="BC9" s="19"/>
      <c r="BD9" s="19"/>
      <c r="BE9" s="19"/>
      <c r="BF9" s="252">
        <f>Adv!$BE$9</f>
        <v>18</v>
      </c>
      <c r="BG9" s="253"/>
      <c r="BH9" s="254"/>
      <c r="BI9" s="20"/>
      <c r="BO9" s="12" t="s">
        <v>218</v>
      </c>
      <c r="BQ9" s="12">
        <f t="shared" si="0"/>
        <v>1</v>
      </c>
    </row>
    <row r="10" spans="2:69" ht="13.5" customHeight="1" thickBot="1">
      <c r="B10" s="18"/>
      <c r="C10" s="34" t="s">
        <v>31</v>
      </c>
      <c r="D10" s="19"/>
      <c r="E10" s="19"/>
      <c r="F10" s="19"/>
      <c r="G10" s="263">
        <v>1</v>
      </c>
      <c r="H10" s="264"/>
      <c r="I10" s="265"/>
      <c r="J10" s="252">
        <f t="shared" si="1"/>
        <v>2</v>
      </c>
      <c r="K10" s="253"/>
      <c r="L10" s="254"/>
      <c r="M10" s="252">
        <f>EnhancedDexterity</f>
        <v>0</v>
      </c>
      <c r="N10" s="253"/>
      <c r="O10" s="254"/>
      <c r="P10" s="282"/>
      <c r="Q10" s="283"/>
      <c r="R10" s="284"/>
      <c r="S10" s="252">
        <f t="shared" si="2"/>
        <v>1</v>
      </c>
      <c r="T10" s="253"/>
      <c r="U10" s="254"/>
      <c r="V10" s="20"/>
      <c r="W10" s="13"/>
      <c r="X10" s="18"/>
      <c r="Y10" s="34" t="s">
        <v>127</v>
      </c>
      <c r="Z10" s="19"/>
      <c r="AA10" s="19"/>
      <c r="AB10" s="19"/>
      <c r="AC10" s="252">
        <f>IF(S8="","",S8)</f>
        <v>2</v>
      </c>
      <c r="AD10" s="253"/>
      <c r="AE10" s="254"/>
      <c r="AF10" s="289"/>
      <c r="AG10" s="290"/>
      <c r="AH10" s="291"/>
      <c r="AI10" s="289"/>
      <c r="AJ10" s="290"/>
      <c r="AK10" s="291"/>
      <c r="AL10" s="282"/>
      <c r="AM10" s="283"/>
      <c r="AN10" s="284"/>
      <c r="AO10" s="282"/>
      <c r="AP10" s="283"/>
      <c r="AQ10" s="284"/>
      <c r="AR10" s="252">
        <f>IF(AC10="",0,AC10)</f>
        <v>2</v>
      </c>
      <c r="AS10" s="253"/>
      <c r="AT10" s="254"/>
      <c r="AU10" s="20"/>
      <c r="AW10" s="18"/>
      <c r="AX10" s="19" t="s">
        <v>384</v>
      </c>
      <c r="AY10" s="19"/>
      <c r="AZ10" s="19"/>
      <c r="BA10" s="19"/>
      <c r="BB10" s="19"/>
      <c r="BC10" s="19"/>
      <c r="BD10" s="19"/>
      <c r="BE10" s="19"/>
      <c r="BF10" s="252">
        <f>Powers!AT10</f>
        <v>0</v>
      </c>
      <c r="BG10" s="253"/>
      <c r="BH10" s="254"/>
      <c r="BI10" s="20"/>
      <c r="BO10" s="12" t="s">
        <v>224</v>
      </c>
      <c r="BQ10" s="12">
        <f t="shared" si="0"/>
        <v>1</v>
      </c>
    </row>
    <row r="11" spans="2:69" ht="13.5" customHeight="1" thickBot="1">
      <c r="B11" s="18"/>
      <c r="C11" s="34" t="s">
        <v>32</v>
      </c>
      <c r="D11" s="19"/>
      <c r="E11" s="19"/>
      <c r="F11" s="19"/>
      <c r="G11" s="278">
        <v>2</v>
      </c>
      <c r="H11" s="279"/>
      <c r="I11" s="280"/>
      <c r="J11" s="252">
        <f t="shared" si="1"/>
        <v>4</v>
      </c>
      <c r="K11" s="253"/>
      <c r="L11" s="254"/>
      <c r="M11" s="252">
        <f>EnhancedFighting</f>
        <v>0</v>
      </c>
      <c r="N11" s="253"/>
      <c r="O11" s="254"/>
      <c r="P11" s="282"/>
      <c r="Q11" s="283"/>
      <c r="R11" s="284"/>
      <c r="S11" s="252">
        <f t="shared" si="2"/>
        <v>2</v>
      </c>
      <c r="T11" s="253"/>
      <c r="U11" s="254"/>
      <c r="V11" s="20"/>
      <c r="W11" s="13"/>
      <c r="X11" s="18"/>
      <c r="Y11" s="34" t="s">
        <v>128</v>
      </c>
      <c r="Z11" s="19"/>
      <c r="AA11" s="19"/>
      <c r="AB11" s="19"/>
      <c r="AC11" s="252">
        <f>IF(S13="","",S13)</f>
        <v>2</v>
      </c>
      <c r="AD11" s="253"/>
      <c r="AE11" s="254"/>
      <c r="AF11" s="278">
        <v>8</v>
      </c>
      <c r="AG11" s="279"/>
      <c r="AH11" s="280"/>
      <c r="AI11" s="255">
        <f>IF(AF11="",0,AF11)</f>
        <v>8</v>
      </c>
      <c r="AJ11" s="266"/>
      <c r="AK11" s="267"/>
      <c r="AL11" s="252">
        <f>EnhancedWill</f>
        <v>0</v>
      </c>
      <c r="AM11" s="253"/>
      <c r="AN11" s="254"/>
      <c r="AO11" s="282"/>
      <c r="AP11" s="283"/>
      <c r="AQ11" s="284"/>
      <c r="AR11" s="252">
        <f>IF(AC11="",0,AC11+AF11+AL11)</f>
        <v>10</v>
      </c>
      <c r="AS11" s="253"/>
      <c r="AT11" s="254"/>
      <c r="AU11" s="20"/>
      <c r="AW11" s="18"/>
      <c r="AX11" s="19"/>
      <c r="AY11" s="19"/>
      <c r="AZ11" s="19"/>
      <c r="BA11" s="19"/>
      <c r="BB11" s="19"/>
      <c r="BC11" s="19"/>
      <c r="BD11" s="19"/>
      <c r="BE11" s="19"/>
      <c r="BF11" s="19"/>
      <c r="BG11" s="19"/>
      <c r="BH11" s="19"/>
      <c r="BI11" s="20"/>
      <c r="BO11" s="12" t="s">
        <v>220</v>
      </c>
      <c r="BQ11" s="12">
        <f t="shared" si="0"/>
        <v>2</v>
      </c>
    </row>
    <row r="12" spans="2:69" ht="13.5" customHeight="1" thickBot="1">
      <c r="B12" s="18"/>
      <c r="C12" s="34" t="s">
        <v>33</v>
      </c>
      <c r="D12" s="19"/>
      <c r="E12" s="19"/>
      <c r="F12" s="19"/>
      <c r="G12" s="263">
        <v>2</v>
      </c>
      <c r="H12" s="264"/>
      <c r="I12" s="265"/>
      <c r="J12" s="252">
        <f t="shared" si="1"/>
        <v>4</v>
      </c>
      <c r="K12" s="253"/>
      <c r="L12" s="254"/>
      <c r="M12" s="252">
        <f>EnhancedIntellect</f>
        <v>0</v>
      </c>
      <c r="N12" s="253"/>
      <c r="O12" s="254"/>
      <c r="P12" s="282"/>
      <c r="Q12" s="283"/>
      <c r="R12" s="284"/>
      <c r="S12" s="252">
        <f t="shared" si="2"/>
        <v>2</v>
      </c>
      <c r="T12" s="253"/>
      <c r="U12" s="254"/>
      <c r="V12" s="20"/>
      <c r="W12" s="13"/>
      <c r="X12" s="18"/>
      <c r="Y12" s="34"/>
      <c r="Z12" s="19"/>
      <c r="AA12" s="19"/>
      <c r="AB12" s="19"/>
      <c r="AC12" s="271" t="s">
        <v>122</v>
      </c>
      <c r="AD12" s="271"/>
      <c r="AE12" s="271"/>
      <c r="AF12" s="272"/>
      <c r="AG12" s="272"/>
      <c r="AH12" s="272"/>
      <c r="AI12" s="271" t="s">
        <v>130</v>
      </c>
      <c r="AJ12" s="271"/>
      <c r="AK12" s="271"/>
      <c r="AL12" s="258" t="s">
        <v>440</v>
      </c>
      <c r="AM12" s="259"/>
      <c r="AN12" s="259"/>
      <c r="AO12" s="258"/>
      <c r="AP12" s="259"/>
      <c r="AQ12" s="259"/>
      <c r="AR12" s="271" t="s">
        <v>36</v>
      </c>
      <c r="AS12" s="271"/>
      <c r="AT12" s="271"/>
      <c r="AU12" s="20"/>
      <c r="AW12" s="18"/>
      <c r="AX12" s="19"/>
      <c r="AY12" s="19"/>
      <c r="AZ12" s="19"/>
      <c r="BA12" s="19"/>
      <c r="BB12" s="19"/>
      <c r="BC12" s="19"/>
      <c r="BD12" s="19"/>
      <c r="BE12" s="19"/>
      <c r="BF12" s="19"/>
      <c r="BG12" s="19"/>
      <c r="BH12" s="19"/>
      <c r="BI12" s="20"/>
      <c r="BO12" s="12" t="s">
        <v>222</v>
      </c>
      <c r="BQ12" s="12">
        <f t="shared" si="0"/>
        <v>2</v>
      </c>
    </row>
    <row r="13" spans="2:69" ht="13.5" customHeight="1" thickBot="1">
      <c r="B13" s="18"/>
      <c r="C13" s="34" t="s">
        <v>34</v>
      </c>
      <c r="D13" s="19"/>
      <c r="E13" s="19"/>
      <c r="F13" s="19"/>
      <c r="G13" s="278">
        <v>2</v>
      </c>
      <c r="H13" s="279"/>
      <c r="I13" s="280"/>
      <c r="J13" s="252">
        <f t="shared" si="1"/>
        <v>4</v>
      </c>
      <c r="K13" s="253"/>
      <c r="L13" s="254"/>
      <c r="M13" s="252">
        <f>EnhancedAwareness</f>
        <v>0</v>
      </c>
      <c r="N13" s="253"/>
      <c r="O13" s="254"/>
      <c r="P13" s="282"/>
      <c r="Q13" s="283"/>
      <c r="R13" s="284"/>
      <c r="S13" s="252">
        <f t="shared" si="2"/>
        <v>2</v>
      </c>
      <c r="T13" s="253"/>
      <c r="U13" s="254"/>
      <c r="V13" s="20"/>
      <c r="W13" s="13"/>
      <c r="X13" s="18"/>
      <c r="Y13" s="27"/>
      <c r="Z13" s="19"/>
      <c r="AA13" s="19"/>
      <c r="AB13" s="19"/>
      <c r="AC13" s="257"/>
      <c r="AD13" s="257"/>
      <c r="AE13" s="257"/>
      <c r="AF13" s="269"/>
      <c r="AG13" s="269"/>
      <c r="AH13" s="269"/>
      <c r="AI13" s="257"/>
      <c r="AJ13" s="257"/>
      <c r="AK13" s="257"/>
      <c r="AL13" s="260"/>
      <c r="AM13" s="260"/>
      <c r="AN13" s="260"/>
      <c r="AO13" s="228"/>
      <c r="AP13" s="228"/>
      <c r="AQ13" s="228"/>
      <c r="AR13" s="257"/>
      <c r="AS13" s="257"/>
      <c r="AT13" s="257"/>
      <c r="AU13" s="20"/>
      <c r="AW13" s="18"/>
      <c r="AX13" s="19"/>
      <c r="AY13" s="19"/>
      <c r="AZ13" s="19"/>
      <c r="BA13" s="19"/>
      <c r="BB13" s="19"/>
      <c r="BC13" s="19"/>
      <c r="BD13" s="19"/>
      <c r="BE13" s="19"/>
      <c r="BF13" s="19"/>
      <c r="BG13" s="19"/>
      <c r="BH13" s="19"/>
      <c r="BI13" s="20"/>
      <c r="BO13" s="12" t="s">
        <v>223</v>
      </c>
      <c r="BQ13" s="12">
        <f t="shared" si="0"/>
        <v>2</v>
      </c>
    </row>
    <row r="14" spans="2:69" ht="13.5" customHeight="1" thickBot="1">
      <c r="B14" s="18"/>
      <c r="C14" s="34" t="s">
        <v>35</v>
      </c>
      <c r="D14" s="19"/>
      <c r="E14" s="19"/>
      <c r="F14" s="19"/>
      <c r="G14" s="263">
        <v>8</v>
      </c>
      <c r="H14" s="264"/>
      <c r="I14" s="265"/>
      <c r="J14" s="252">
        <f t="shared" si="1"/>
        <v>16</v>
      </c>
      <c r="K14" s="253"/>
      <c r="L14" s="254"/>
      <c r="M14" s="252">
        <f>EnhancedPresence</f>
        <v>0</v>
      </c>
      <c r="N14" s="253"/>
      <c r="O14" s="254"/>
      <c r="P14" s="282"/>
      <c r="Q14" s="283"/>
      <c r="R14" s="284"/>
      <c r="S14" s="252">
        <f t="shared" si="2"/>
        <v>8</v>
      </c>
      <c r="T14" s="253"/>
      <c r="U14" s="254"/>
      <c r="V14" s="20"/>
      <c r="W14" s="13"/>
      <c r="X14" s="18"/>
      <c r="Y14" s="34" t="s">
        <v>129</v>
      </c>
      <c r="Z14" s="19"/>
      <c r="AA14" s="19"/>
      <c r="AB14" s="19"/>
      <c r="AC14" s="252">
        <f>IF(S9="","",S9)</f>
        <v>1</v>
      </c>
      <c r="AD14" s="253"/>
      <c r="AE14" s="254"/>
      <c r="AF14" s="268"/>
      <c r="AG14" s="269"/>
      <c r="AH14" s="270"/>
      <c r="AI14" s="252">
        <f>IF(Adv!CW40="","",Adv!CW40*4)</f>
        <v>0</v>
      </c>
      <c r="AJ14" s="253"/>
      <c r="AK14" s="254"/>
      <c r="AL14" s="252">
        <f>EnhancedInitiative</f>
        <v>0</v>
      </c>
      <c r="AM14" s="253"/>
      <c r="AN14" s="254"/>
      <c r="AO14" s="268"/>
      <c r="AP14" s="269"/>
      <c r="AQ14" s="270"/>
      <c r="AR14" s="252">
        <f>IF(AC14="","",AC14+AI14+AL14)</f>
        <v>1</v>
      </c>
      <c r="AS14" s="253"/>
      <c r="AT14" s="254"/>
      <c r="AU14" s="20"/>
      <c r="AW14" s="18"/>
      <c r="AX14" s="19" t="s">
        <v>615</v>
      </c>
      <c r="AY14" s="19"/>
      <c r="AZ14" s="19"/>
      <c r="BA14" s="19"/>
      <c r="BB14" s="19"/>
      <c r="BC14" s="19"/>
      <c r="BD14" s="19"/>
      <c r="BE14" s="19"/>
      <c r="BF14" s="252">
        <f>SUM(BF6:BH10)</f>
        <v>118</v>
      </c>
      <c r="BG14" s="253"/>
      <c r="BH14" s="254"/>
      <c r="BI14" s="20"/>
      <c r="BO14" s="12" t="s">
        <v>221</v>
      </c>
      <c r="BQ14" s="12">
        <f t="shared" si="0"/>
        <v>8</v>
      </c>
    </row>
    <row r="15" spans="2:69" ht="13.5" customHeight="1" thickBot="1">
      <c r="B15" s="21"/>
      <c r="C15" s="22"/>
      <c r="D15" s="22"/>
      <c r="E15" s="22"/>
      <c r="F15" s="22"/>
      <c r="G15" s="22"/>
      <c r="H15" s="22"/>
      <c r="I15" s="22"/>
      <c r="J15" s="22"/>
      <c r="K15" s="22"/>
      <c r="L15" s="22"/>
      <c r="M15" s="22"/>
      <c r="N15" s="22"/>
      <c r="O15" s="22"/>
      <c r="P15" s="22"/>
      <c r="Q15" s="22"/>
      <c r="R15" s="22"/>
      <c r="S15" s="22"/>
      <c r="T15" s="22"/>
      <c r="U15" s="22"/>
      <c r="V15" s="23"/>
      <c r="W15" s="13"/>
      <c r="X15" s="21"/>
      <c r="Y15" s="22"/>
      <c r="Z15" s="22"/>
      <c r="AA15" s="22"/>
      <c r="AB15" s="22"/>
      <c r="AC15" s="22"/>
      <c r="AD15" s="22"/>
      <c r="AE15" s="22"/>
      <c r="AF15" s="22"/>
      <c r="AG15" s="22"/>
      <c r="AH15" s="22"/>
      <c r="AI15" s="22"/>
      <c r="AJ15" s="22"/>
      <c r="AK15" s="22"/>
      <c r="AL15" s="22"/>
      <c r="AM15" s="22"/>
      <c r="AN15" s="22"/>
      <c r="AO15" s="22"/>
      <c r="AP15" s="22"/>
      <c r="AQ15" s="22"/>
      <c r="AR15" s="22"/>
      <c r="AS15" s="22"/>
      <c r="AT15" s="22"/>
      <c r="AU15" s="23"/>
      <c r="AW15" s="21"/>
      <c r="AX15" s="22"/>
      <c r="AY15" s="22"/>
      <c r="AZ15" s="22"/>
      <c r="BA15" s="22"/>
      <c r="BB15" s="22"/>
      <c r="BC15" s="22"/>
      <c r="BD15" s="22"/>
      <c r="BE15" s="22"/>
      <c r="BF15" s="22"/>
      <c r="BG15" s="22"/>
      <c r="BH15" s="22"/>
      <c r="BI15" s="23"/>
    </row>
    <row r="16" spans="2:69" ht="13.5" customHeight="1" thickBot="1"/>
    <row r="17" spans="2:61" ht="13.5" customHeight="1">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7"/>
      <c r="AN17" s="285" t="s">
        <v>1280</v>
      </c>
      <c r="AO17" s="285"/>
      <c r="AP17" s="285"/>
      <c r="AQ17" s="285"/>
      <c r="AR17" s="285"/>
      <c r="AS17" s="285"/>
      <c r="AT17" s="285"/>
      <c r="AU17" s="285"/>
      <c r="AV17" s="285"/>
      <c r="AW17" s="285"/>
      <c r="AX17" s="285"/>
      <c r="AY17" s="285"/>
      <c r="AZ17" s="285"/>
      <c r="BA17" s="285"/>
      <c r="BB17" s="285"/>
      <c r="BC17" s="285"/>
      <c r="BD17" s="285"/>
      <c r="BE17" s="285"/>
      <c r="BF17" s="285"/>
      <c r="BG17" s="285"/>
      <c r="BH17" s="285"/>
      <c r="BI17" s="285"/>
    </row>
    <row r="18" spans="2:61" ht="13.5" customHeight="1">
      <c r="B18" s="18"/>
      <c r="C18" s="224" t="s">
        <v>40</v>
      </c>
      <c r="D18" s="224"/>
      <c r="E18" s="224"/>
      <c r="F18" s="224"/>
      <c r="G18" s="224"/>
      <c r="H18" s="224"/>
      <c r="I18" s="224"/>
      <c r="J18" s="224"/>
      <c r="K18" s="224"/>
      <c r="L18" s="224"/>
      <c r="M18" s="224"/>
      <c r="N18" s="281" t="s">
        <v>103</v>
      </c>
      <c r="O18" s="281"/>
      <c r="P18" s="281"/>
      <c r="Q18" s="281"/>
      <c r="R18" s="281"/>
      <c r="S18" s="281"/>
      <c r="T18" s="281"/>
      <c r="U18" s="281"/>
      <c r="V18" s="281"/>
      <c r="W18" s="281"/>
      <c r="X18" s="281"/>
      <c r="Y18" s="281"/>
      <c r="Z18" s="281"/>
      <c r="AA18" s="281"/>
      <c r="AB18" s="281"/>
      <c r="AC18" s="281"/>
      <c r="AD18" s="281"/>
      <c r="AE18" s="281"/>
      <c r="AF18" s="281"/>
      <c r="AG18" s="281"/>
      <c r="AH18" s="281"/>
      <c r="AI18" s="281"/>
      <c r="AJ18" s="281"/>
      <c r="AK18" s="281"/>
      <c r="AL18" s="20"/>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row>
    <row r="19" spans="2:61" ht="13.5" customHeight="1">
      <c r="B19" s="18"/>
      <c r="C19" s="225"/>
      <c r="D19" s="225"/>
      <c r="E19" s="225"/>
      <c r="F19" s="225"/>
      <c r="G19" s="225"/>
      <c r="H19" s="225"/>
      <c r="I19" s="225"/>
      <c r="J19" s="225"/>
      <c r="K19" s="225"/>
      <c r="L19" s="225"/>
      <c r="M19" s="225"/>
      <c r="N19" s="281"/>
      <c r="O19" s="281"/>
      <c r="P19" s="281"/>
      <c r="Q19" s="281"/>
      <c r="R19" s="281"/>
      <c r="S19" s="281"/>
      <c r="T19" s="281"/>
      <c r="U19" s="281"/>
      <c r="V19" s="281"/>
      <c r="W19" s="281"/>
      <c r="X19" s="281"/>
      <c r="Y19" s="281"/>
      <c r="Z19" s="281"/>
      <c r="AA19" s="281"/>
      <c r="AB19" s="281"/>
      <c r="AC19" s="281"/>
      <c r="AD19" s="281"/>
      <c r="AE19" s="281"/>
      <c r="AF19" s="281"/>
      <c r="AG19" s="281"/>
      <c r="AH19" s="281"/>
      <c r="AI19" s="281"/>
      <c r="AJ19" s="281"/>
      <c r="AK19" s="281"/>
      <c r="AL19" s="20"/>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row>
    <row r="20" spans="2:61" ht="13.5" customHeight="1" thickBot="1">
      <c r="B20" s="18"/>
      <c r="C20" s="261" t="s">
        <v>41</v>
      </c>
      <c r="D20" s="261"/>
      <c r="E20" s="261"/>
      <c r="F20" s="261"/>
      <c r="G20" s="261"/>
      <c r="H20" s="261"/>
      <c r="I20" s="261"/>
      <c r="J20" s="261"/>
      <c r="K20" s="261"/>
      <c r="L20" s="261"/>
      <c r="M20" s="261"/>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0"/>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row>
    <row r="21" spans="2:61" ht="13.5" customHeight="1" thickBot="1">
      <c r="B21" s="18"/>
      <c r="C21" s="19"/>
      <c r="D21" s="19"/>
      <c r="E21" s="19"/>
      <c r="F21" s="27"/>
      <c r="G21" s="27"/>
      <c r="H21" s="27"/>
      <c r="I21" s="27"/>
      <c r="J21" s="27"/>
      <c r="K21" s="27"/>
      <c r="L21" s="27"/>
      <c r="M21" s="27"/>
      <c r="N21" s="275"/>
      <c r="O21" s="276"/>
      <c r="P21" s="276"/>
      <c r="Q21" s="276"/>
      <c r="R21" s="276"/>
      <c r="S21" s="276"/>
      <c r="T21" s="276"/>
      <c r="U21" s="276"/>
      <c r="V21" s="276"/>
      <c r="W21" s="276"/>
      <c r="X21" s="276"/>
      <c r="Y21" s="276"/>
      <c r="Z21" s="277"/>
      <c r="AA21" s="19"/>
      <c r="AB21" s="19"/>
      <c r="AC21" s="19"/>
      <c r="AD21" s="19"/>
      <c r="AE21" s="19"/>
      <c r="AF21" s="19"/>
      <c r="AG21" s="19"/>
      <c r="AH21" s="19"/>
      <c r="AI21" s="19"/>
      <c r="AJ21" s="19"/>
      <c r="AK21" s="19"/>
      <c r="AL21" s="20"/>
    </row>
    <row r="22" spans="2:61" ht="13.5" customHeight="1">
      <c r="B22" s="18"/>
      <c r="C22" s="269">
        <v>-5</v>
      </c>
      <c r="D22" s="269"/>
      <c r="E22" s="274" t="str">
        <f>IF($N$21="","Completely inept or disabled",HLOOKUP($N$21,AbilityBenchmarks,2,FALSE))</f>
        <v>Completely inept or disabled</v>
      </c>
      <c r="F22" s="274"/>
      <c r="G22" s="274"/>
      <c r="H22" s="274"/>
      <c r="I22" s="274"/>
      <c r="J22" s="274"/>
      <c r="K22" s="274"/>
      <c r="L22" s="274"/>
      <c r="M22" s="274"/>
      <c r="N22" s="274"/>
      <c r="O22" s="274"/>
      <c r="P22" s="274"/>
      <c r="Q22" s="274"/>
      <c r="R22" s="274"/>
      <c r="S22" s="274"/>
      <c r="T22" s="274"/>
      <c r="U22" s="274"/>
      <c r="V22" s="274"/>
      <c r="W22" s="274"/>
      <c r="X22" s="274"/>
      <c r="Y22" s="274"/>
      <c r="Z22" s="274"/>
      <c r="AA22" s="274"/>
      <c r="AB22" s="274"/>
      <c r="AC22" s="274"/>
      <c r="AD22" s="274"/>
      <c r="AE22" s="274"/>
      <c r="AF22" s="274"/>
      <c r="AG22" s="274"/>
      <c r="AH22" s="274"/>
      <c r="AI22" s="274"/>
      <c r="AJ22" s="274"/>
      <c r="AK22" s="274"/>
      <c r="AL22" s="20"/>
    </row>
    <row r="23" spans="2:61" ht="13.5" customHeight="1">
      <c r="B23" s="18"/>
      <c r="C23" s="269">
        <v>-4</v>
      </c>
      <c r="D23" s="269"/>
      <c r="E23" s="273" t="str">
        <f>IF($N$21="","Weak; infant",HLOOKUP($N$21,AbilityBenchmarks,3,FALSE))</f>
        <v>Weak; infant</v>
      </c>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0"/>
    </row>
    <row r="24" spans="2:61" ht="13.5" customHeight="1">
      <c r="B24" s="18"/>
      <c r="C24" s="269">
        <v>-3</v>
      </c>
      <c r="D24" s="269"/>
      <c r="E24" s="273" t="str">
        <f>IF($N$21="","Younger child",HLOOKUP($N$21,AbilityBenchmarks,4,FALSE))</f>
        <v>Younger child</v>
      </c>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0"/>
    </row>
    <row r="25" spans="2:61" ht="13.5" customHeight="1">
      <c r="B25" s="18"/>
      <c r="C25" s="269">
        <v>-2</v>
      </c>
      <c r="D25" s="269"/>
      <c r="E25" s="273" t="str">
        <f>IF($N$21="","Child, elderly, impaired",HLOOKUP($N$21,AbilityBenchmarks,5,FALSE))</f>
        <v>Child, elderly, impaired</v>
      </c>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0"/>
    </row>
    <row r="26" spans="2:61" ht="13.5" customHeight="1">
      <c r="B26" s="18"/>
      <c r="C26" s="269">
        <v>-1</v>
      </c>
      <c r="D26" s="269"/>
      <c r="E26" s="273" t="str">
        <f>IF($N$21="","Below average; teenager",HLOOKUP($N$21,AbilityBenchmarks,6,FALSE))</f>
        <v>Below average; teenager</v>
      </c>
      <c r="F26" s="273"/>
      <c r="G26" s="273"/>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0"/>
    </row>
    <row r="27" spans="2:61" ht="13.5" customHeight="1">
      <c r="B27" s="18"/>
      <c r="C27" s="269">
        <v>0</v>
      </c>
      <c r="D27" s="269"/>
      <c r="E27" s="273" t="str">
        <f>IF($N$21="","Average adult",HLOOKUP($N$21,AbilityBenchmarks,7,FALSE))</f>
        <v>Average adult</v>
      </c>
      <c r="F27" s="273"/>
      <c r="G27" s="273"/>
      <c r="H27" s="273"/>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0"/>
    </row>
    <row r="28" spans="2:61" ht="13.5" customHeight="1">
      <c r="B28" s="18"/>
      <c r="C28" s="269">
        <v>1</v>
      </c>
      <c r="D28" s="269"/>
      <c r="E28" s="273" t="str">
        <f>IF($N$21="","Above average",HLOOKUP($N$21,AbilityBenchmarks,8,FALSE))</f>
        <v>Above average</v>
      </c>
      <c r="F28" s="273"/>
      <c r="G28" s="273"/>
      <c r="H28" s="273"/>
      <c r="I28" s="273"/>
      <c r="J28" s="273"/>
      <c r="K28" s="273"/>
      <c r="L28" s="273"/>
      <c r="M28" s="273"/>
      <c r="N28" s="273"/>
      <c r="O28" s="273"/>
      <c r="P28" s="273"/>
      <c r="Q28" s="273"/>
      <c r="R28" s="273"/>
      <c r="S28" s="273"/>
      <c r="T28" s="273"/>
      <c r="U28" s="273"/>
      <c r="V28" s="273"/>
      <c r="W28" s="273"/>
      <c r="X28" s="273"/>
      <c r="Y28" s="273"/>
      <c r="Z28" s="273"/>
      <c r="AA28" s="273"/>
      <c r="AB28" s="273"/>
      <c r="AC28" s="273"/>
      <c r="AD28" s="273"/>
      <c r="AE28" s="273"/>
      <c r="AF28" s="273"/>
      <c r="AG28" s="273"/>
      <c r="AH28" s="273"/>
      <c r="AI28" s="273"/>
      <c r="AJ28" s="273"/>
      <c r="AK28" s="273"/>
      <c r="AL28" s="20"/>
    </row>
    <row r="29" spans="2:61" ht="13.5" customHeight="1">
      <c r="B29" s="18"/>
      <c r="C29" s="269">
        <v>2</v>
      </c>
      <c r="D29" s="269"/>
      <c r="E29" s="273" t="str">
        <f>IF($N$21="","Well above average",HLOOKUP($N$21,AbilityBenchmarks,9,FALSE))</f>
        <v>Well above average</v>
      </c>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0"/>
    </row>
    <row r="30" spans="2:61" ht="13.5" customHeight="1">
      <c r="B30" s="18"/>
      <c r="C30" s="269">
        <v>3</v>
      </c>
      <c r="D30" s="269"/>
      <c r="E30" s="273" t="str">
        <f>IF($N$21="","Gifted",HLOOKUP($N$21,AbilityBenchmarks,10,FALSE))</f>
        <v>Gifted</v>
      </c>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G30" s="273"/>
      <c r="AH30" s="273"/>
      <c r="AI30" s="273"/>
      <c r="AJ30" s="273"/>
      <c r="AK30" s="273"/>
      <c r="AL30" s="20"/>
    </row>
    <row r="31" spans="2:61" ht="13.5" customHeight="1">
      <c r="B31" s="18"/>
      <c r="C31" s="269">
        <v>4</v>
      </c>
      <c r="D31" s="269"/>
      <c r="E31" s="273" t="str">
        <f>IF($N$21="","Highly gifted",HLOOKUP($N$21,AbilityBenchmarks,11,FALSE))</f>
        <v>Highly gifted</v>
      </c>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G31" s="273"/>
      <c r="AH31" s="273"/>
      <c r="AI31" s="273"/>
      <c r="AJ31" s="273"/>
      <c r="AK31" s="273"/>
      <c r="AL31" s="20"/>
    </row>
    <row r="32" spans="2:61" ht="13.5" customHeight="1">
      <c r="B32" s="18"/>
      <c r="C32" s="269">
        <v>5</v>
      </c>
      <c r="D32" s="269"/>
      <c r="E32" s="273" t="str">
        <f>IF($N$21="","Best in a nation",HLOOKUP($N$21,AbilityBenchmarks,12,FALSE))</f>
        <v>Best in a nation</v>
      </c>
      <c r="F32" s="273"/>
      <c r="G32" s="273"/>
      <c r="H32" s="273"/>
      <c r="I32" s="273"/>
      <c r="J32" s="273"/>
      <c r="K32" s="273"/>
      <c r="L32" s="273"/>
      <c r="M32" s="273"/>
      <c r="N32" s="273"/>
      <c r="O32" s="273"/>
      <c r="P32" s="273"/>
      <c r="Q32" s="273"/>
      <c r="R32" s="273"/>
      <c r="S32" s="273"/>
      <c r="T32" s="273"/>
      <c r="U32" s="273"/>
      <c r="V32" s="273"/>
      <c r="W32" s="273"/>
      <c r="X32" s="273"/>
      <c r="Y32" s="273"/>
      <c r="Z32" s="273"/>
      <c r="AA32" s="273"/>
      <c r="AB32" s="273"/>
      <c r="AC32" s="273"/>
      <c r="AD32" s="273"/>
      <c r="AE32" s="273"/>
      <c r="AF32" s="273"/>
      <c r="AG32" s="273"/>
      <c r="AH32" s="273"/>
      <c r="AI32" s="273"/>
      <c r="AJ32" s="273"/>
      <c r="AK32" s="273"/>
      <c r="AL32" s="20"/>
    </row>
    <row r="33" spans="2:38" ht="13.5" customHeight="1">
      <c r="B33" s="18"/>
      <c r="C33" s="269">
        <v>6</v>
      </c>
      <c r="D33" s="269"/>
      <c r="E33" s="273" t="str">
        <f>IF($N$21="","One of the best in the world",HLOOKUP($N$21,AbilityBenchmarks,13,FALSE))</f>
        <v>One of the best in the world</v>
      </c>
      <c r="F33" s="273"/>
      <c r="G33" s="273"/>
      <c r="H33" s="273"/>
      <c r="I33" s="273"/>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0"/>
    </row>
    <row r="34" spans="2:38" ht="13.5" customHeight="1">
      <c r="B34" s="18"/>
      <c r="C34" s="269">
        <v>7</v>
      </c>
      <c r="D34" s="269"/>
      <c r="E34" s="273" t="str">
        <f>IF($N$21="","Best ever; peak of human achievement",HLOOKUP($N$21,AbilityBenchmarks,14,FALSE))</f>
        <v>Best ever; peak of human achievement</v>
      </c>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3"/>
      <c r="AI34" s="273"/>
      <c r="AJ34" s="273"/>
      <c r="AK34" s="273"/>
      <c r="AL34" s="20"/>
    </row>
    <row r="35" spans="2:38" ht="13.5" customHeight="1">
      <c r="B35" s="18"/>
      <c r="C35" s="269">
        <v>8</v>
      </c>
      <c r="D35" s="269"/>
      <c r="E35" s="273" t="str">
        <f>IF($N$21="","Low superhuman",HLOOKUP($N$21,AbilityBenchmarks,15,FALSE))</f>
        <v>Low superhuman</v>
      </c>
      <c r="F35" s="273"/>
      <c r="G35" s="273"/>
      <c r="H35" s="273"/>
      <c r="I35" s="273"/>
      <c r="J35" s="273"/>
      <c r="K35" s="273"/>
      <c r="L35" s="273"/>
      <c r="M35" s="273"/>
      <c r="N35" s="273"/>
      <c r="O35" s="273"/>
      <c r="P35" s="273"/>
      <c r="Q35" s="273"/>
      <c r="R35" s="273"/>
      <c r="S35" s="273"/>
      <c r="T35" s="273"/>
      <c r="U35" s="273"/>
      <c r="V35" s="273"/>
      <c r="W35" s="273"/>
      <c r="X35" s="273"/>
      <c r="Y35" s="273"/>
      <c r="Z35" s="273"/>
      <c r="AA35" s="273"/>
      <c r="AB35" s="273"/>
      <c r="AC35" s="273"/>
      <c r="AD35" s="273"/>
      <c r="AE35" s="273"/>
      <c r="AF35" s="273"/>
      <c r="AG35" s="273"/>
      <c r="AH35" s="273"/>
      <c r="AI35" s="273"/>
      <c r="AJ35" s="273"/>
      <c r="AK35" s="273"/>
      <c r="AL35" s="20"/>
    </row>
    <row r="36" spans="2:38" ht="13.5" customHeight="1">
      <c r="B36" s="18"/>
      <c r="C36" s="269">
        <v>9</v>
      </c>
      <c r="D36" s="269"/>
      <c r="E36" s="273" t="str">
        <f>IF($N$21="","",HLOOKUP($N$21,AbilityBenchmarks,16,FALSE))</f>
        <v/>
      </c>
      <c r="F36" s="273"/>
      <c r="G36" s="273"/>
      <c r="H36" s="273"/>
      <c r="I36" s="273"/>
      <c r="J36" s="273"/>
      <c r="K36" s="273"/>
      <c r="L36" s="273"/>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0"/>
    </row>
    <row r="37" spans="2:38" ht="13.5" customHeight="1">
      <c r="B37" s="18"/>
      <c r="C37" s="269">
        <v>10</v>
      </c>
      <c r="D37" s="269"/>
      <c r="E37" s="273" t="str">
        <f>IF($N$21="","Moderate superhuman",HLOOKUP($N$21,AbilityBenchmarks,17,FALSE))</f>
        <v>Moderate superhuman</v>
      </c>
      <c r="F37" s="273"/>
      <c r="G37" s="273"/>
      <c r="H37" s="273"/>
      <c r="I37" s="273"/>
      <c r="J37" s="273"/>
      <c r="K37" s="273"/>
      <c r="L37" s="273"/>
      <c r="M37" s="273"/>
      <c r="N37" s="273"/>
      <c r="O37" s="273"/>
      <c r="P37" s="273"/>
      <c r="Q37" s="273"/>
      <c r="R37" s="273"/>
      <c r="S37" s="273"/>
      <c r="T37" s="273"/>
      <c r="U37" s="273"/>
      <c r="V37" s="273"/>
      <c r="W37" s="273"/>
      <c r="X37" s="273"/>
      <c r="Y37" s="273"/>
      <c r="Z37" s="273"/>
      <c r="AA37" s="273"/>
      <c r="AB37" s="273"/>
      <c r="AC37" s="273"/>
      <c r="AD37" s="273"/>
      <c r="AE37" s="273"/>
      <c r="AF37" s="273"/>
      <c r="AG37" s="273"/>
      <c r="AH37" s="273"/>
      <c r="AI37" s="273"/>
      <c r="AJ37" s="273"/>
      <c r="AK37" s="273"/>
      <c r="AL37" s="20"/>
    </row>
    <row r="38" spans="2:38" ht="13.5" customHeight="1">
      <c r="B38" s="18"/>
      <c r="C38" s="269">
        <v>11</v>
      </c>
      <c r="D38" s="269"/>
      <c r="E38" s="273" t="str">
        <f>IF($N$21="","",HLOOKUP($N$21,AbilityBenchmarks,18,FALSE))</f>
        <v/>
      </c>
      <c r="F38" s="273"/>
      <c r="G38" s="273"/>
      <c r="H38" s="273"/>
      <c r="I38" s="273"/>
      <c r="J38" s="273"/>
      <c r="K38" s="273"/>
      <c r="L38" s="273"/>
      <c r="M38" s="273"/>
      <c r="N38" s="273"/>
      <c r="O38" s="273"/>
      <c r="P38" s="273"/>
      <c r="Q38" s="273"/>
      <c r="R38" s="273"/>
      <c r="S38" s="273"/>
      <c r="T38" s="273"/>
      <c r="U38" s="273"/>
      <c r="V38" s="273"/>
      <c r="W38" s="273"/>
      <c r="X38" s="273"/>
      <c r="Y38" s="273"/>
      <c r="Z38" s="273"/>
      <c r="AA38" s="273"/>
      <c r="AB38" s="273"/>
      <c r="AC38" s="273"/>
      <c r="AD38" s="273"/>
      <c r="AE38" s="273"/>
      <c r="AF38" s="273"/>
      <c r="AG38" s="273"/>
      <c r="AH38" s="273"/>
      <c r="AI38" s="273"/>
      <c r="AJ38" s="273"/>
      <c r="AK38" s="273"/>
      <c r="AL38" s="20"/>
    </row>
    <row r="39" spans="2:38" ht="13.5" customHeight="1">
      <c r="B39" s="18"/>
      <c r="C39" s="269">
        <v>12</v>
      </c>
      <c r="D39" s="269"/>
      <c r="E39" s="273" t="str">
        <f>IF($N$21="","",HLOOKUP($N$21,AbilityBenchmarks,19,FALSE))</f>
        <v/>
      </c>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3"/>
      <c r="AI39" s="273"/>
      <c r="AJ39" s="273"/>
      <c r="AK39" s="273"/>
      <c r="AL39" s="20"/>
    </row>
    <row r="40" spans="2:38" ht="13.5" customHeight="1">
      <c r="B40" s="18"/>
      <c r="C40" s="269">
        <v>13</v>
      </c>
      <c r="D40" s="269"/>
      <c r="E40" s="273" t="str">
        <f>IF($N$21="","High superhuman",HLOOKUP($N$21,AbilityBenchmarks,20,FALSE))</f>
        <v>High superhuman</v>
      </c>
      <c r="F40" s="273"/>
      <c r="G40" s="273"/>
      <c r="H40" s="273"/>
      <c r="I40" s="273"/>
      <c r="J40" s="273"/>
      <c r="K40" s="273"/>
      <c r="L40" s="273"/>
      <c r="M40" s="273"/>
      <c r="N40" s="273"/>
      <c r="O40" s="273"/>
      <c r="P40" s="273"/>
      <c r="Q40" s="273"/>
      <c r="R40" s="273"/>
      <c r="S40" s="273"/>
      <c r="T40" s="273"/>
      <c r="U40" s="273"/>
      <c r="V40" s="273"/>
      <c r="W40" s="273"/>
      <c r="X40" s="273"/>
      <c r="Y40" s="273"/>
      <c r="Z40" s="273"/>
      <c r="AA40" s="273"/>
      <c r="AB40" s="273"/>
      <c r="AC40" s="273"/>
      <c r="AD40" s="273"/>
      <c r="AE40" s="273"/>
      <c r="AF40" s="273"/>
      <c r="AG40" s="273"/>
      <c r="AH40" s="273"/>
      <c r="AI40" s="273"/>
      <c r="AJ40" s="273"/>
      <c r="AK40" s="273"/>
      <c r="AL40" s="20"/>
    </row>
    <row r="41" spans="2:38" ht="13.5" customHeight="1">
      <c r="B41" s="18"/>
      <c r="C41" s="269">
        <v>14</v>
      </c>
      <c r="D41" s="269"/>
      <c r="E41" s="273" t="str">
        <f>IF($N$21="","",HLOOKUP($N$21,AbilityBenchmarks,21,FALSE))</f>
        <v/>
      </c>
      <c r="F41" s="273"/>
      <c r="G41" s="273"/>
      <c r="H41" s="273"/>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0"/>
    </row>
    <row r="42" spans="2:38" ht="13.5" customHeight="1">
      <c r="B42" s="18"/>
      <c r="C42" s="269">
        <v>15</v>
      </c>
      <c r="D42" s="269"/>
      <c r="E42" s="273" t="str">
        <f>IF($N$21="","Very high superhuman",HLOOKUP($N$21,AbilityBenchmarks,22,FALSE))</f>
        <v>Very high superhuman</v>
      </c>
      <c r="F42" s="273"/>
      <c r="G42" s="273"/>
      <c r="H42" s="273"/>
      <c r="I42" s="273"/>
      <c r="J42" s="273"/>
      <c r="K42" s="273"/>
      <c r="L42" s="273"/>
      <c r="M42" s="273"/>
      <c r="N42" s="273"/>
      <c r="O42" s="273"/>
      <c r="P42" s="273"/>
      <c r="Q42" s="273"/>
      <c r="R42" s="273"/>
      <c r="S42" s="273"/>
      <c r="T42" s="273"/>
      <c r="U42" s="273"/>
      <c r="V42" s="273"/>
      <c r="W42" s="273"/>
      <c r="X42" s="273"/>
      <c r="Y42" s="273"/>
      <c r="Z42" s="273"/>
      <c r="AA42" s="273"/>
      <c r="AB42" s="273"/>
      <c r="AC42" s="273"/>
      <c r="AD42" s="273"/>
      <c r="AE42" s="273"/>
      <c r="AF42" s="273"/>
      <c r="AG42" s="273"/>
      <c r="AH42" s="273"/>
      <c r="AI42" s="273"/>
      <c r="AJ42" s="273"/>
      <c r="AK42" s="273"/>
      <c r="AL42" s="20"/>
    </row>
    <row r="43" spans="2:38" ht="13.5" customHeight="1">
      <c r="B43" s="18"/>
      <c r="C43" s="269">
        <v>16</v>
      </c>
      <c r="D43" s="269"/>
      <c r="E43" s="273" t="str">
        <f>IF($N$21="","",HLOOKUP($N$21,AbilityBenchmarks,23,FALSE))</f>
        <v/>
      </c>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0"/>
    </row>
    <row r="44" spans="2:38" ht="13.5" customHeight="1">
      <c r="B44" s="18"/>
      <c r="C44" s="269">
        <v>17</v>
      </c>
      <c r="D44" s="269"/>
      <c r="E44" s="273" t="str">
        <f>IF($N$21="","",HLOOKUP($N$21,AbilityBenchmarks,24,FALSE))</f>
        <v/>
      </c>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3"/>
      <c r="AI44" s="273"/>
      <c r="AJ44" s="273"/>
      <c r="AK44" s="273"/>
      <c r="AL44" s="20"/>
    </row>
    <row r="45" spans="2:38" ht="13.5" customHeight="1">
      <c r="B45" s="18"/>
      <c r="C45" s="269">
        <v>18</v>
      </c>
      <c r="D45" s="269"/>
      <c r="E45" s="273" t="str">
        <f>IF($N$21="","",HLOOKUP($N$21,AbilityBenchmarks,25,FALSE))</f>
        <v/>
      </c>
      <c r="F45" s="273"/>
      <c r="G45" s="273"/>
      <c r="H45" s="273"/>
      <c r="I45" s="273"/>
      <c r="J45" s="273"/>
      <c r="K45" s="273"/>
      <c r="L45" s="273"/>
      <c r="M45" s="273"/>
      <c r="N45" s="273"/>
      <c r="O45" s="273"/>
      <c r="P45" s="273"/>
      <c r="Q45" s="273"/>
      <c r="R45" s="273"/>
      <c r="S45" s="273"/>
      <c r="T45" s="273"/>
      <c r="U45" s="273"/>
      <c r="V45" s="273"/>
      <c r="W45" s="273"/>
      <c r="X45" s="273"/>
      <c r="Y45" s="273"/>
      <c r="Z45" s="273"/>
      <c r="AA45" s="273"/>
      <c r="AB45" s="273"/>
      <c r="AC45" s="273"/>
      <c r="AD45" s="273"/>
      <c r="AE45" s="273"/>
      <c r="AF45" s="273"/>
      <c r="AG45" s="273"/>
      <c r="AH45" s="273"/>
      <c r="AI45" s="273"/>
      <c r="AJ45" s="273"/>
      <c r="AK45" s="273"/>
      <c r="AL45" s="20"/>
    </row>
    <row r="46" spans="2:38" ht="13.5" customHeight="1">
      <c r="B46" s="18"/>
      <c r="C46" s="269">
        <v>19</v>
      </c>
      <c r="D46" s="269"/>
      <c r="E46" s="273" t="str">
        <f>IF($N$21="","",HLOOKUP($N$21,AbilityBenchmarks,26,FALSE))</f>
        <v/>
      </c>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3"/>
      <c r="AD46" s="273"/>
      <c r="AE46" s="273"/>
      <c r="AF46" s="273"/>
      <c r="AG46" s="273"/>
      <c r="AH46" s="273"/>
      <c r="AI46" s="273"/>
      <c r="AJ46" s="273"/>
      <c r="AK46" s="273"/>
      <c r="AL46" s="20"/>
    </row>
    <row r="47" spans="2:38" ht="13.5" customHeight="1">
      <c r="B47" s="18"/>
      <c r="C47" s="269">
        <v>20</v>
      </c>
      <c r="D47" s="269"/>
      <c r="E47" s="273" t="str">
        <f>IF($N$21="","Cosmic",HLOOKUP($N$21,AbilityBenchmarks,27,FALSE))</f>
        <v>Cosmic</v>
      </c>
      <c r="F47" s="273"/>
      <c r="G47" s="273"/>
      <c r="H47" s="273"/>
      <c r="I47" s="273"/>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0"/>
    </row>
    <row r="48" spans="2:38" ht="13.5" customHeight="1" thickBot="1">
      <c r="B48" s="21"/>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3"/>
    </row>
  </sheetData>
  <mergeCells count="160">
    <mergeCell ref="P14:R14"/>
    <mergeCell ref="AN17:BI20"/>
    <mergeCell ref="AO5:AQ6"/>
    <mergeCell ref="AO7:AQ7"/>
    <mergeCell ref="AO8:AQ8"/>
    <mergeCell ref="AO9:AQ9"/>
    <mergeCell ref="AO10:AQ10"/>
    <mergeCell ref="AO11:AQ11"/>
    <mergeCell ref="AO12:AQ13"/>
    <mergeCell ref="P13:R13"/>
    <mergeCell ref="AC9:AE9"/>
    <mergeCell ref="AF9:AH9"/>
    <mergeCell ref="AI9:AK9"/>
    <mergeCell ref="AR9:AT9"/>
    <mergeCell ref="AC10:AE10"/>
    <mergeCell ref="AF10:AH10"/>
    <mergeCell ref="AI10:AK10"/>
    <mergeCell ref="AR10:AT10"/>
    <mergeCell ref="AL10:AN10"/>
    <mergeCell ref="AC11:AE11"/>
    <mergeCell ref="AF11:AH11"/>
    <mergeCell ref="AI11:AK11"/>
    <mergeCell ref="AR11:AT11"/>
    <mergeCell ref="AC14:AE14"/>
    <mergeCell ref="J13:L13"/>
    <mergeCell ref="P5:R6"/>
    <mergeCell ref="P7:R7"/>
    <mergeCell ref="P8:R8"/>
    <mergeCell ref="P9:R9"/>
    <mergeCell ref="P10:R10"/>
    <mergeCell ref="P11:R11"/>
    <mergeCell ref="M5:O6"/>
    <mergeCell ref="M7:O7"/>
    <mergeCell ref="M8:O8"/>
    <mergeCell ref="M9:O9"/>
    <mergeCell ref="G7:I7"/>
    <mergeCell ref="G9:I9"/>
    <mergeCell ref="G10:I10"/>
    <mergeCell ref="G11:I11"/>
    <mergeCell ref="S12:U12"/>
    <mergeCell ref="J12:L12"/>
    <mergeCell ref="M11:O11"/>
    <mergeCell ref="M10:O10"/>
    <mergeCell ref="G12:I12"/>
    <mergeCell ref="P12:R12"/>
    <mergeCell ref="J7:L7"/>
    <mergeCell ref="J8:L8"/>
    <mergeCell ref="J9:L9"/>
    <mergeCell ref="J10:L10"/>
    <mergeCell ref="J11:L11"/>
    <mergeCell ref="C3:R4"/>
    <mergeCell ref="N21:Z21"/>
    <mergeCell ref="C20:AK20"/>
    <mergeCell ref="AF7:AH7"/>
    <mergeCell ref="AI7:AK7"/>
    <mergeCell ref="M12:O12"/>
    <mergeCell ref="M13:O13"/>
    <mergeCell ref="M14:O14"/>
    <mergeCell ref="C18:M19"/>
    <mergeCell ref="N18:AK19"/>
    <mergeCell ref="G8:I8"/>
    <mergeCell ref="G14:I14"/>
    <mergeCell ref="S5:U6"/>
    <mergeCell ref="S7:U7"/>
    <mergeCell ref="S8:U8"/>
    <mergeCell ref="S9:U9"/>
    <mergeCell ref="S10:U10"/>
    <mergeCell ref="S11:U11"/>
    <mergeCell ref="S14:U14"/>
    <mergeCell ref="S13:U13"/>
    <mergeCell ref="G13:I13"/>
    <mergeCell ref="J14:L14"/>
    <mergeCell ref="G5:I6"/>
    <mergeCell ref="J5:L6"/>
    <mergeCell ref="C28:D28"/>
    <mergeCell ref="C29:D29"/>
    <mergeCell ref="C30:D30"/>
    <mergeCell ref="C31:D31"/>
    <mergeCell ref="C32:D32"/>
    <mergeCell ref="C33:D33"/>
    <mergeCell ref="C22:D22"/>
    <mergeCell ref="C23:D23"/>
    <mergeCell ref="C24:D24"/>
    <mergeCell ref="C25:D25"/>
    <mergeCell ref="C26:D26"/>
    <mergeCell ref="C27:D27"/>
    <mergeCell ref="C46:D46"/>
    <mergeCell ref="C47:D47"/>
    <mergeCell ref="C40:D40"/>
    <mergeCell ref="C41:D41"/>
    <mergeCell ref="C42:D42"/>
    <mergeCell ref="C43:D43"/>
    <mergeCell ref="C44:D44"/>
    <mergeCell ref="C45:D45"/>
    <mergeCell ref="C34:D34"/>
    <mergeCell ref="C35:D35"/>
    <mergeCell ref="C36:D36"/>
    <mergeCell ref="C37:D37"/>
    <mergeCell ref="C38:D38"/>
    <mergeCell ref="C39:D39"/>
    <mergeCell ref="E22:AK22"/>
    <mergeCell ref="E23:AK23"/>
    <mergeCell ref="E24:AK24"/>
    <mergeCell ref="E25:AK25"/>
    <mergeCell ref="E26:AK26"/>
    <mergeCell ref="E44:AK44"/>
    <mergeCell ref="E45:AK45"/>
    <mergeCell ref="E41:AK41"/>
    <mergeCell ref="E31:AK31"/>
    <mergeCell ref="E32:AK32"/>
    <mergeCell ref="E33:AK33"/>
    <mergeCell ref="E34:AK34"/>
    <mergeCell ref="E40:AK40"/>
    <mergeCell ref="E42:AK42"/>
    <mergeCell ref="E43:AK43"/>
    <mergeCell ref="E46:AK46"/>
    <mergeCell ref="E27:AK27"/>
    <mergeCell ref="E28:AK28"/>
    <mergeCell ref="E29:AK29"/>
    <mergeCell ref="E30:AK30"/>
    <mergeCell ref="E47:AK47"/>
    <mergeCell ref="E35:AK35"/>
    <mergeCell ref="E36:AK36"/>
    <mergeCell ref="E37:AK37"/>
    <mergeCell ref="E38:AK38"/>
    <mergeCell ref="E39:AK39"/>
    <mergeCell ref="AF14:AH14"/>
    <mergeCell ref="AI14:AK14"/>
    <mergeCell ref="AR14:AT14"/>
    <mergeCell ref="AC12:AE13"/>
    <mergeCell ref="AL11:AN11"/>
    <mergeCell ref="AI12:AK13"/>
    <mergeCell ref="AO14:AQ14"/>
    <mergeCell ref="BF14:BH14"/>
    <mergeCell ref="AR12:AT13"/>
    <mergeCell ref="AF12:AH12"/>
    <mergeCell ref="AF13:AH13"/>
    <mergeCell ref="AL14:AN14"/>
    <mergeCell ref="AL12:AN13"/>
    <mergeCell ref="BF10:BH10"/>
    <mergeCell ref="AR8:AT8"/>
    <mergeCell ref="AX3:BH4"/>
    <mergeCell ref="BF6:BH6"/>
    <mergeCell ref="BF7:BH7"/>
    <mergeCell ref="AL8:AN8"/>
    <mergeCell ref="AL9:AN9"/>
    <mergeCell ref="Y3:AN4"/>
    <mergeCell ref="AC5:AE6"/>
    <mergeCell ref="AF5:AH6"/>
    <mergeCell ref="AI5:AK6"/>
    <mergeCell ref="AC7:AE7"/>
    <mergeCell ref="AC8:AE8"/>
    <mergeCell ref="AF8:AH8"/>
    <mergeCell ref="AI8:AK8"/>
    <mergeCell ref="AL5:AN6"/>
    <mergeCell ref="AL7:AN7"/>
    <mergeCell ref="BF8:BH8"/>
    <mergeCell ref="BF9:BH9"/>
    <mergeCell ref="AR7:AT7"/>
    <mergeCell ref="AR5:AT6"/>
  </mergeCells>
  <dataValidations count="1">
    <dataValidation type="list" allowBlank="1" showInputMessage="1" showErrorMessage="1" sqref="N21:Z21">
      <formula1>"Strength,Stamina,Agility,Dexterity,Fighting,Intellect,Awareness,Presence,Dodge,Fortitude,Parry,Toughness,Will"</formula1>
    </dataValidation>
  </dataValidations>
  <pageMargins left="0.7" right="0.7" top="0.75" bottom="0.75" header="0.3" footer="0.3"/>
  <pageSetup orientation="portrait" r:id="rId1"/>
  <ignoredErrors>
    <ignoredError sqref="AC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learAbilities">
                <anchor moveWithCells="1" sizeWithCells="1">
                  <from>
                    <xdr:col>39</xdr:col>
                    <xdr:colOff>22860</xdr:colOff>
                    <xdr:row>20</xdr:row>
                    <xdr:rowOff>60960</xdr:rowOff>
                  </from>
                  <to>
                    <xdr:col>48</xdr:col>
                    <xdr:colOff>45720</xdr:colOff>
                    <xdr:row>22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B1:BX34"/>
  <sheetViews>
    <sheetView showGridLines="0" zoomScaleNormal="100" workbookViewId="0">
      <selection activeCell="AB14" sqref="AB14:AL14"/>
    </sheetView>
  </sheetViews>
  <sheetFormatPr defaultColWidth="2.6640625" defaultRowHeight="13.5" customHeight="1"/>
  <cols>
    <col min="1" max="59" width="2.6640625" style="12"/>
    <col min="60" max="60" width="2.6640625" style="12" customWidth="1"/>
    <col min="61" max="63" width="2.6640625" style="12"/>
    <col min="64" max="64" width="2.6640625" style="12" customWidth="1"/>
    <col min="65" max="16384" width="2.6640625" style="12"/>
  </cols>
  <sheetData>
    <row r="1" spans="2:76" ht="13.5" customHeight="1" thickBot="1"/>
    <row r="2" spans="2:76" ht="13.5" customHeight="1">
      <c r="B2" s="15"/>
      <c r="C2" s="16"/>
      <c r="D2" s="16"/>
      <c r="E2" s="16"/>
      <c r="F2" s="16"/>
      <c r="G2" s="16"/>
      <c r="H2" s="16"/>
      <c r="I2" s="16"/>
      <c r="J2" s="16"/>
      <c r="K2" s="16"/>
      <c r="L2" s="300" t="s">
        <v>1252</v>
      </c>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17"/>
      <c r="AO2" s="15"/>
      <c r="AP2" s="16"/>
      <c r="AQ2" s="16"/>
      <c r="AR2" s="16"/>
      <c r="AS2" s="16"/>
      <c r="AT2" s="16"/>
      <c r="AU2" s="16"/>
      <c r="AV2" s="16"/>
      <c r="AW2" s="16"/>
      <c r="AX2" s="16"/>
      <c r="AY2" s="16"/>
      <c r="AZ2" s="16"/>
      <c r="BA2" s="17"/>
      <c r="BC2" s="12" t="s">
        <v>381</v>
      </c>
    </row>
    <row r="3" spans="2:76" ht="13.5" customHeight="1">
      <c r="B3" s="18"/>
      <c r="C3" s="224" t="s">
        <v>197</v>
      </c>
      <c r="D3" s="224"/>
      <c r="E3" s="224"/>
      <c r="F3" s="224"/>
      <c r="G3" s="224"/>
      <c r="H3" s="224"/>
      <c r="I3" s="224"/>
      <c r="J3" s="224"/>
      <c r="K3" s="24"/>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301"/>
      <c r="AL3" s="301"/>
      <c r="AM3" s="20"/>
      <c r="AO3" s="18"/>
      <c r="AP3" s="224" t="s">
        <v>131</v>
      </c>
      <c r="AQ3" s="224"/>
      <c r="AR3" s="224"/>
      <c r="AS3" s="224"/>
      <c r="AT3" s="224"/>
      <c r="AU3" s="224"/>
      <c r="AV3" s="224"/>
      <c r="AW3" s="224"/>
      <c r="AX3" s="224"/>
      <c r="AY3" s="224"/>
      <c r="AZ3" s="224"/>
      <c r="BA3" s="20"/>
      <c r="BC3" s="12" t="s">
        <v>382</v>
      </c>
      <c r="BI3" s="293" t="str">
        <f>IF(Adv!BJ40=0,"NO","YES")</f>
        <v>NO</v>
      </c>
      <c r="BJ3" s="293"/>
      <c r="BK3" s="293"/>
    </row>
    <row r="4" spans="2:76" ht="13.5" customHeight="1">
      <c r="B4" s="18"/>
      <c r="C4" s="225"/>
      <c r="D4" s="225"/>
      <c r="E4" s="225"/>
      <c r="F4" s="225"/>
      <c r="G4" s="225"/>
      <c r="H4" s="225"/>
      <c r="I4" s="225"/>
      <c r="J4" s="225"/>
      <c r="K4" s="25"/>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02"/>
      <c r="AL4" s="302"/>
      <c r="AM4" s="20"/>
      <c r="AO4" s="18"/>
      <c r="AP4" s="225"/>
      <c r="AQ4" s="225"/>
      <c r="AR4" s="225"/>
      <c r="AS4" s="225"/>
      <c r="AT4" s="225"/>
      <c r="AU4" s="225"/>
      <c r="AV4" s="225"/>
      <c r="AW4" s="225"/>
      <c r="AX4" s="225"/>
      <c r="AY4" s="225"/>
      <c r="AZ4" s="225"/>
      <c r="BA4" s="20"/>
      <c r="BC4" s="12" t="s">
        <v>599</v>
      </c>
      <c r="BD4" s="115"/>
      <c r="BE4" s="115"/>
      <c r="BF4" s="115"/>
      <c r="BG4" s="115"/>
      <c r="BH4" s="115"/>
      <c r="BI4" s="115"/>
      <c r="BJ4" s="115"/>
      <c r="BK4" s="115"/>
      <c r="BL4" s="115"/>
      <c r="BM4" s="115"/>
      <c r="BN4" s="115"/>
    </row>
    <row r="5" spans="2:76" ht="13.5" customHeight="1" thickBot="1">
      <c r="B5" s="18"/>
      <c r="C5" s="297" t="s">
        <v>198</v>
      </c>
      <c r="D5" s="297"/>
      <c r="E5" s="297"/>
      <c r="F5" s="297"/>
      <c r="G5" s="297"/>
      <c r="H5" s="297"/>
      <c r="I5" s="269" t="s">
        <v>201</v>
      </c>
      <c r="J5" s="269"/>
      <c r="K5" s="269"/>
      <c r="L5" s="269" t="s">
        <v>202</v>
      </c>
      <c r="M5" s="269"/>
      <c r="N5" s="269"/>
      <c r="O5" s="269"/>
      <c r="P5" s="269" t="s">
        <v>122</v>
      </c>
      <c r="Q5" s="269"/>
      <c r="R5" s="269"/>
      <c r="S5" s="269"/>
      <c r="T5" s="269" t="s">
        <v>36</v>
      </c>
      <c r="U5" s="269"/>
      <c r="V5" s="269"/>
      <c r="W5" s="269"/>
      <c r="X5" s="269" t="s">
        <v>227</v>
      </c>
      <c r="Y5" s="269"/>
      <c r="Z5" s="269"/>
      <c r="AA5" s="269"/>
      <c r="AB5" s="315" t="s">
        <v>206</v>
      </c>
      <c r="AC5" s="315"/>
      <c r="AD5" s="315"/>
      <c r="AE5" s="315"/>
      <c r="AF5" s="315"/>
      <c r="AG5" s="315"/>
      <c r="AH5" s="315"/>
      <c r="AI5" s="315"/>
      <c r="AJ5" s="315"/>
      <c r="AK5" s="315"/>
      <c r="AL5" s="315"/>
      <c r="AM5" s="20"/>
      <c r="AO5" s="18"/>
      <c r="AP5" s="19"/>
      <c r="AQ5" s="19"/>
      <c r="AR5" s="19"/>
      <c r="AS5" s="19"/>
      <c r="AT5" s="19"/>
      <c r="AU5" s="19"/>
      <c r="AV5" s="19"/>
      <c r="AW5" s="19"/>
      <c r="AX5" s="19"/>
      <c r="AY5" s="19"/>
      <c r="AZ5" s="19"/>
      <c r="BA5" s="20"/>
      <c r="BC5" s="116" t="s">
        <v>600</v>
      </c>
      <c r="BN5" s="12" t="s">
        <v>793</v>
      </c>
    </row>
    <row r="6" spans="2:76" ht="13.5" customHeight="1" thickBot="1">
      <c r="B6" s="18"/>
      <c r="C6" s="298" t="s">
        <v>203</v>
      </c>
      <c r="D6" s="298"/>
      <c r="E6" s="298"/>
      <c r="F6" s="298"/>
      <c r="G6" s="298"/>
      <c r="H6" s="298"/>
      <c r="I6" s="299" t="s">
        <v>218</v>
      </c>
      <c r="J6" s="299"/>
      <c r="K6" s="299"/>
      <c r="L6" s="299" t="s">
        <v>225</v>
      </c>
      <c r="M6" s="299"/>
      <c r="N6" s="299"/>
      <c r="O6" s="299"/>
      <c r="P6" s="299">
        <f>Agility</f>
        <v>1</v>
      </c>
      <c r="Q6" s="299"/>
      <c r="R6" s="299"/>
      <c r="S6" s="310"/>
      <c r="T6" s="278"/>
      <c r="U6" s="279"/>
      <c r="V6" s="279"/>
      <c r="W6" s="280"/>
      <c r="X6" s="303" t="str">
        <f>IF($BI$3="NO",IF(T6="","",IF(P6="","",P6+T6)),IF(P6="","",P6+T6))</f>
        <v/>
      </c>
      <c r="Y6" s="304"/>
      <c r="Z6" s="304"/>
      <c r="AA6" s="304"/>
      <c r="AB6" s="273"/>
      <c r="AC6" s="273"/>
      <c r="AD6" s="273"/>
      <c r="AE6" s="273"/>
      <c r="AF6" s="273"/>
      <c r="AG6" s="273"/>
      <c r="AH6" s="273"/>
      <c r="AI6" s="273"/>
      <c r="AJ6" s="273"/>
      <c r="AK6" s="273"/>
      <c r="AL6" s="273"/>
      <c r="AM6" s="20"/>
      <c r="AO6" s="18"/>
      <c r="AP6" s="19" t="s">
        <v>27</v>
      </c>
      <c r="AQ6" s="19"/>
      <c r="AR6" s="19"/>
      <c r="AS6" s="19"/>
      <c r="AT6" s="19"/>
      <c r="AU6" s="19"/>
      <c r="AV6" s="19"/>
      <c r="AW6" s="19"/>
      <c r="AX6" s="252">
        <f>Abilities!$BF$6</f>
        <v>36</v>
      </c>
      <c r="AY6" s="253"/>
      <c r="AZ6" s="254"/>
      <c r="BA6" s="20"/>
      <c r="BC6" s="12" t="str">
        <f>IF(AB8="","",AB8)</f>
        <v/>
      </c>
      <c r="BH6" s="293">
        <f>IF(X8="",0,X8)</f>
        <v>2</v>
      </c>
      <c r="BI6" s="293"/>
      <c r="BN6" s="292" t="str">
        <f>IF(X6="","",C6&amp;IF(AB6="","",": "&amp;AB6)&amp;" "&amp;T6&amp;" (+"&amp;X6&amp;"), ")</f>
        <v/>
      </c>
      <c r="BO6" s="292"/>
      <c r="BP6" s="292"/>
      <c r="BQ6" s="292"/>
      <c r="BR6" s="292"/>
      <c r="BS6" s="292"/>
      <c r="BT6" s="292"/>
      <c r="BU6" s="292"/>
      <c r="BV6" s="292"/>
      <c r="BW6" s="292"/>
      <c r="BX6" s="292"/>
    </row>
    <row r="7" spans="2:76" ht="13.5" customHeight="1" thickBot="1">
      <c r="B7" s="18"/>
      <c r="C7" s="298" t="s">
        <v>204</v>
      </c>
      <c r="D7" s="298"/>
      <c r="E7" s="298"/>
      <c r="F7" s="298"/>
      <c r="G7" s="298"/>
      <c r="H7" s="298"/>
      <c r="I7" s="299" t="s">
        <v>219</v>
      </c>
      <c r="J7" s="299"/>
      <c r="K7" s="299"/>
      <c r="L7" s="299" t="s">
        <v>226</v>
      </c>
      <c r="M7" s="299"/>
      <c r="N7" s="299"/>
      <c r="O7" s="299"/>
      <c r="P7" s="299">
        <f>Strength</f>
        <v>0</v>
      </c>
      <c r="Q7" s="299"/>
      <c r="R7" s="299"/>
      <c r="S7" s="310"/>
      <c r="T7" s="263"/>
      <c r="U7" s="264"/>
      <c r="V7" s="264"/>
      <c r="W7" s="265"/>
      <c r="X7" s="303">
        <f t="shared" ref="X7:X12" si="0">IF(P7="","",P7+T7)</f>
        <v>0</v>
      </c>
      <c r="Y7" s="304"/>
      <c r="Z7" s="304"/>
      <c r="AA7" s="304"/>
      <c r="AB7" s="308"/>
      <c r="AC7" s="308"/>
      <c r="AD7" s="308"/>
      <c r="AE7" s="308"/>
      <c r="AF7" s="308"/>
      <c r="AG7" s="308"/>
      <c r="AH7" s="308"/>
      <c r="AI7" s="308"/>
      <c r="AJ7" s="308"/>
      <c r="AK7" s="308"/>
      <c r="AL7" s="308"/>
      <c r="AM7" s="20"/>
      <c r="AO7" s="18"/>
      <c r="AP7" s="19" t="s">
        <v>508</v>
      </c>
      <c r="AQ7" s="19"/>
      <c r="AR7" s="19"/>
      <c r="AS7" s="19"/>
      <c r="AT7" s="19"/>
      <c r="AU7" s="19"/>
      <c r="AV7" s="19"/>
      <c r="AW7" s="19"/>
      <c r="AX7" s="252">
        <f>Abilities!$BF$7</f>
        <v>31</v>
      </c>
      <c r="AY7" s="253"/>
      <c r="AZ7" s="254"/>
      <c r="BA7" s="20"/>
      <c r="BC7" s="12" t="str">
        <f>IF(AB9="","",AB9)</f>
        <v/>
      </c>
      <c r="BH7" s="293">
        <f>IF(X9="",0,X9)</f>
        <v>2</v>
      </c>
      <c r="BI7" s="293"/>
      <c r="BN7" s="292" t="str">
        <f t="shared" ref="BN7:BN30" si="1">IF(X7="","",C7&amp;IF(AB7="","",": "&amp;AB7)&amp;" "&amp;T7&amp;" (+"&amp;X7&amp;"), ")</f>
        <v xml:space="preserve">Athletics  (+0), </v>
      </c>
      <c r="BO7" s="292"/>
      <c r="BP7" s="292"/>
      <c r="BQ7" s="292"/>
      <c r="BR7" s="292"/>
      <c r="BS7" s="292"/>
      <c r="BT7" s="292"/>
      <c r="BU7" s="292"/>
      <c r="BV7" s="292"/>
      <c r="BW7" s="292"/>
      <c r="BX7" s="292"/>
    </row>
    <row r="8" spans="2:76" ht="13.5" customHeight="1" thickBot="1">
      <c r="B8" s="18"/>
      <c r="C8" s="298" t="s">
        <v>205</v>
      </c>
      <c r="D8" s="298"/>
      <c r="E8" s="298"/>
      <c r="F8" s="298"/>
      <c r="G8" s="298"/>
      <c r="H8" s="298"/>
      <c r="I8" s="299" t="s">
        <v>220</v>
      </c>
      <c r="J8" s="299"/>
      <c r="K8" s="299"/>
      <c r="L8" s="299" t="s">
        <v>226</v>
      </c>
      <c r="M8" s="299"/>
      <c r="N8" s="299"/>
      <c r="O8" s="299"/>
      <c r="P8" s="299">
        <f>IF(Fighting="",0,Fighting)+CloseCombatAdv</f>
        <v>2</v>
      </c>
      <c r="Q8" s="299"/>
      <c r="R8" s="299"/>
      <c r="S8" s="310"/>
      <c r="T8" s="278"/>
      <c r="U8" s="279"/>
      <c r="V8" s="279"/>
      <c r="W8" s="280"/>
      <c r="X8" s="303">
        <f t="shared" si="0"/>
        <v>2</v>
      </c>
      <c r="Y8" s="304"/>
      <c r="Z8" s="304"/>
      <c r="AA8" s="304"/>
      <c r="AB8" s="294"/>
      <c r="AC8" s="295"/>
      <c r="AD8" s="295"/>
      <c r="AE8" s="295"/>
      <c r="AF8" s="295"/>
      <c r="AG8" s="295"/>
      <c r="AH8" s="295"/>
      <c r="AI8" s="295"/>
      <c r="AJ8" s="295"/>
      <c r="AK8" s="295"/>
      <c r="AL8" s="296"/>
      <c r="AM8" s="20"/>
      <c r="AO8" s="18"/>
      <c r="AP8" s="19" t="str">
        <f>"Skills"&amp;" ("&amp;IF(AX29=0,"0 ranks)",AX29&amp;" ranks)")</f>
        <v>Skills (66 ranks)</v>
      </c>
      <c r="AQ8" s="19"/>
      <c r="AR8" s="19"/>
      <c r="AS8" s="19"/>
      <c r="AT8" s="19"/>
      <c r="AU8" s="19"/>
      <c r="AV8" s="19"/>
      <c r="AW8" s="19"/>
      <c r="AX8" s="255">
        <f>ROUNDUP(AX30,0)</f>
        <v>33</v>
      </c>
      <c r="AY8" s="253"/>
      <c r="AZ8" s="254"/>
      <c r="BA8" s="20"/>
      <c r="BC8" s="12" t="str">
        <f>IF(AB10="","",AB10)</f>
        <v/>
      </c>
      <c r="BH8" s="293">
        <f>IF(X10="",0,X10)</f>
        <v>2</v>
      </c>
      <c r="BI8" s="293"/>
      <c r="BN8" s="292" t="str">
        <f>IF(AB8="","",C8&amp;IF(AB8="","",": "&amp;AB8)&amp;" "&amp;T8&amp;" (+"&amp;X8&amp;"), ")</f>
        <v/>
      </c>
      <c r="BO8" s="292"/>
      <c r="BP8" s="292"/>
      <c r="BQ8" s="292"/>
      <c r="BR8" s="292"/>
      <c r="BS8" s="292"/>
      <c r="BT8" s="292"/>
      <c r="BU8" s="292"/>
      <c r="BV8" s="292"/>
      <c r="BW8" s="292"/>
      <c r="BX8" s="292"/>
    </row>
    <row r="9" spans="2:76" ht="13.5" customHeight="1" thickBot="1">
      <c r="B9" s="18"/>
      <c r="C9" s="298" t="s">
        <v>205</v>
      </c>
      <c r="D9" s="298"/>
      <c r="E9" s="298"/>
      <c r="F9" s="298"/>
      <c r="G9" s="298"/>
      <c r="H9" s="298"/>
      <c r="I9" s="299" t="s">
        <v>220</v>
      </c>
      <c r="J9" s="299"/>
      <c r="K9" s="299"/>
      <c r="L9" s="299" t="s">
        <v>226</v>
      </c>
      <c r="M9" s="299"/>
      <c r="N9" s="299"/>
      <c r="O9" s="299"/>
      <c r="P9" s="299">
        <f>IF(Fighting="",0,Fighting)+CloseCombatAdv</f>
        <v>2</v>
      </c>
      <c r="Q9" s="299"/>
      <c r="R9" s="299"/>
      <c r="S9" s="310"/>
      <c r="T9" s="263"/>
      <c r="U9" s="264"/>
      <c r="V9" s="264"/>
      <c r="W9" s="265"/>
      <c r="X9" s="303">
        <f t="shared" si="0"/>
        <v>2</v>
      </c>
      <c r="Y9" s="304"/>
      <c r="Z9" s="304"/>
      <c r="AA9" s="304"/>
      <c r="AB9" s="305"/>
      <c r="AC9" s="306"/>
      <c r="AD9" s="306"/>
      <c r="AE9" s="306"/>
      <c r="AF9" s="306"/>
      <c r="AG9" s="306"/>
      <c r="AH9" s="306"/>
      <c r="AI9" s="306"/>
      <c r="AJ9" s="306"/>
      <c r="AK9" s="306"/>
      <c r="AL9" s="307"/>
      <c r="AM9" s="20"/>
      <c r="AO9" s="18"/>
      <c r="AP9" s="19" t="s">
        <v>228</v>
      </c>
      <c r="AQ9" s="19"/>
      <c r="AR9" s="19"/>
      <c r="AS9" s="19"/>
      <c r="AT9" s="19"/>
      <c r="AU9" s="19"/>
      <c r="AV9" s="19"/>
      <c r="AW9" s="19"/>
      <c r="AX9" s="252">
        <f>Adv!$BE$9</f>
        <v>18</v>
      </c>
      <c r="AY9" s="253"/>
      <c r="AZ9" s="254"/>
      <c r="BA9" s="20"/>
      <c r="BC9" s="12" t="str">
        <f>IF(AB11="","",AB11)</f>
        <v/>
      </c>
      <c r="BH9" s="293">
        <f>IF(X11="",0,X11)</f>
        <v>2</v>
      </c>
      <c r="BI9" s="293"/>
      <c r="BN9" s="292" t="str">
        <f>IF(AB9="","",C9&amp;IF(AB9="","",": "&amp;AB9)&amp;" "&amp;T9&amp;" (+"&amp;X9&amp;"), ")</f>
        <v/>
      </c>
      <c r="BO9" s="292"/>
      <c r="BP9" s="292"/>
      <c r="BQ9" s="292"/>
      <c r="BR9" s="292"/>
      <c r="BS9" s="292"/>
      <c r="BT9" s="292"/>
      <c r="BU9" s="292"/>
      <c r="BV9" s="292"/>
      <c r="BW9" s="292"/>
      <c r="BX9" s="292"/>
    </row>
    <row r="10" spans="2:76" ht="13.5" customHeight="1" thickBot="1">
      <c r="B10" s="18"/>
      <c r="C10" s="298" t="s">
        <v>205</v>
      </c>
      <c r="D10" s="298"/>
      <c r="E10" s="298"/>
      <c r="F10" s="298"/>
      <c r="G10" s="298"/>
      <c r="H10" s="298"/>
      <c r="I10" s="299" t="s">
        <v>220</v>
      </c>
      <c r="J10" s="299"/>
      <c r="K10" s="299"/>
      <c r="L10" s="299" t="s">
        <v>226</v>
      </c>
      <c r="M10" s="299"/>
      <c r="N10" s="299"/>
      <c r="O10" s="299"/>
      <c r="P10" s="299">
        <f>IF(Fighting="",0,Fighting)+CloseCombatAdv</f>
        <v>2</v>
      </c>
      <c r="Q10" s="299"/>
      <c r="R10" s="299"/>
      <c r="S10" s="310"/>
      <c r="T10" s="278"/>
      <c r="U10" s="279"/>
      <c r="V10" s="279"/>
      <c r="W10" s="280"/>
      <c r="X10" s="303">
        <f t="shared" si="0"/>
        <v>2</v>
      </c>
      <c r="Y10" s="304"/>
      <c r="Z10" s="304"/>
      <c r="AA10" s="304"/>
      <c r="AB10" s="294"/>
      <c r="AC10" s="295"/>
      <c r="AD10" s="295"/>
      <c r="AE10" s="295"/>
      <c r="AF10" s="295"/>
      <c r="AG10" s="295"/>
      <c r="AH10" s="295"/>
      <c r="AI10" s="295"/>
      <c r="AJ10" s="295"/>
      <c r="AK10" s="295"/>
      <c r="AL10" s="296"/>
      <c r="AM10" s="20"/>
      <c r="AO10" s="18"/>
      <c r="AP10" s="19" t="s">
        <v>384</v>
      </c>
      <c r="AQ10" s="19"/>
      <c r="AR10" s="19"/>
      <c r="AS10" s="19"/>
      <c r="AT10" s="19"/>
      <c r="AU10" s="19"/>
      <c r="AV10" s="19"/>
      <c r="AW10" s="19"/>
      <c r="AX10" s="252">
        <f>Powers!AT10</f>
        <v>0</v>
      </c>
      <c r="AY10" s="253"/>
      <c r="AZ10" s="254"/>
      <c r="BA10" s="20"/>
      <c r="BC10" s="116" t="s">
        <v>601</v>
      </c>
      <c r="BN10" s="292" t="str">
        <f>IF(AB10="","",C10&amp;IF(AB10="","",": "&amp;AB10)&amp;" "&amp;T10&amp;" (+"&amp;X10&amp;"), ")</f>
        <v/>
      </c>
      <c r="BO10" s="292"/>
      <c r="BP10" s="292"/>
      <c r="BQ10" s="292"/>
      <c r="BR10" s="292"/>
      <c r="BS10" s="292"/>
      <c r="BT10" s="292"/>
      <c r="BU10" s="292"/>
      <c r="BV10" s="292"/>
      <c r="BW10" s="292"/>
      <c r="BX10" s="292"/>
    </row>
    <row r="11" spans="2:76" ht="13.5" customHeight="1" thickBot="1">
      <c r="B11" s="18"/>
      <c r="C11" s="298" t="s">
        <v>205</v>
      </c>
      <c r="D11" s="298"/>
      <c r="E11" s="298"/>
      <c r="F11" s="298"/>
      <c r="G11" s="298"/>
      <c r="H11" s="298"/>
      <c r="I11" s="299" t="s">
        <v>220</v>
      </c>
      <c r="J11" s="299"/>
      <c r="K11" s="299"/>
      <c r="L11" s="299" t="s">
        <v>226</v>
      </c>
      <c r="M11" s="299"/>
      <c r="N11" s="299"/>
      <c r="O11" s="299"/>
      <c r="P11" s="299">
        <f>IF(Fighting="",0,Fighting)+CloseCombatAdv</f>
        <v>2</v>
      </c>
      <c r="Q11" s="299"/>
      <c r="R11" s="299"/>
      <c r="S11" s="310"/>
      <c r="T11" s="263"/>
      <c r="U11" s="264"/>
      <c r="V11" s="264"/>
      <c r="W11" s="265"/>
      <c r="X11" s="303">
        <f t="shared" si="0"/>
        <v>2</v>
      </c>
      <c r="Y11" s="304"/>
      <c r="Z11" s="304"/>
      <c r="AA11" s="304"/>
      <c r="AB11" s="305"/>
      <c r="AC11" s="306"/>
      <c r="AD11" s="306"/>
      <c r="AE11" s="306"/>
      <c r="AF11" s="306"/>
      <c r="AG11" s="306"/>
      <c r="AH11" s="306"/>
      <c r="AI11" s="306"/>
      <c r="AJ11" s="306"/>
      <c r="AK11" s="306"/>
      <c r="AL11" s="307"/>
      <c r="AM11" s="20"/>
      <c r="AO11" s="18"/>
      <c r="AP11" s="19"/>
      <c r="AQ11" s="19"/>
      <c r="AR11" s="19"/>
      <c r="AS11" s="19"/>
      <c r="AT11" s="19"/>
      <c r="AU11" s="19"/>
      <c r="AV11" s="19"/>
      <c r="AW11" s="19"/>
      <c r="AX11" s="19"/>
      <c r="AY11" s="19"/>
      <c r="AZ11" s="19"/>
      <c r="BA11" s="20"/>
      <c r="BC11" s="12" t="str">
        <f>IF(AB22="","",AB22)</f>
        <v>firearms</v>
      </c>
      <c r="BH11" s="293">
        <f>IF(X22="",0,X22)</f>
        <v>9</v>
      </c>
      <c r="BI11" s="293"/>
      <c r="BN11" s="292" t="str">
        <f>IF(AB11="","",C11&amp;IF(AB11="","",": "&amp;AB11)&amp;" "&amp;T11&amp;" (+"&amp;X11&amp;"), ")</f>
        <v/>
      </c>
      <c r="BO11" s="292"/>
      <c r="BP11" s="292"/>
      <c r="BQ11" s="292"/>
      <c r="BR11" s="292"/>
      <c r="BS11" s="292"/>
      <c r="BT11" s="292"/>
      <c r="BU11" s="292"/>
      <c r="BV11" s="292"/>
      <c r="BW11" s="292"/>
      <c r="BX11" s="292"/>
    </row>
    <row r="12" spans="2:76" ht="13.5" customHeight="1" thickBot="1">
      <c r="B12" s="18"/>
      <c r="C12" s="298" t="s">
        <v>207</v>
      </c>
      <c r="D12" s="298"/>
      <c r="E12" s="298"/>
      <c r="F12" s="298"/>
      <c r="G12" s="298"/>
      <c r="H12" s="298"/>
      <c r="I12" s="312" t="s">
        <v>221</v>
      </c>
      <c r="J12" s="312"/>
      <c r="K12" s="312"/>
      <c r="L12" s="299" t="s">
        <v>226</v>
      </c>
      <c r="M12" s="299"/>
      <c r="N12" s="299"/>
      <c r="O12" s="299"/>
      <c r="P12" s="299">
        <f>Presence</f>
        <v>8</v>
      </c>
      <c r="Q12" s="299"/>
      <c r="R12" s="299"/>
      <c r="S12" s="310"/>
      <c r="T12" s="278">
        <v>8</v>
      </c>
      <c r="U12" s="279"/>
      <c r="V12" s="279"/>
      <c r="W12" s="280"/>
      <c r="X12" s="303">
        <f t="shared" si="0"/>
        <v>16</v>
      </c>
      <c r="Y12" s="304"/>
      <c r="Z12" s="304"/>
      <c r="AA12" s="304"/>
      <c r="AB12" s="297"/>
      <c r="AC12" s="297"/>
      <c r="AD12" s="297"/>
      <c r="AE12" s="297"/>
      <c r="AF12" s="297"/>
      <c r="AG12" s="297"/>
      <c r="AH12" s="297"/>
      <c r="AI12" s="297"/>
      <c r="AJ12" s="297"/>
      <c r="AK12" s="297"/>
      <c r="AL12" s="297"/>
      <c r="AM12" s="20"/>
      <c r="AO12" s="18"/>
      <c r="AP12" s="19"/>
      <c r="AQ12" s="19"/>
      <c r="AR12" s="19"/>
      <c r="AS12" s="19"/>
      <c r="AT12" s="19"/>
      <c r="AU12" s="19"/>
      <c r="AV12" s="19"/>
      <c r="AW12" s="19"/>
      <c r="AX12" s="19"/>
      <c r="AY12" s="19"/>
      <c r="AZ12" s="19"/>
      <c r="BA12" s="20"/>
      <c r="BC12" s="12" t="str">
        <f>IF(AB23="","",AB23)</f>
        <v/>
      </c>
      <c r="BH12" s="293">
        <f>IF(X23="",0,X23)</f>
        <v>1</v>
      </c>
      <c r="BI12" s="293"/>
      <c r="BN12" s="292" t="str">
        <f t="shared" si="1"/>
        <v xml:space="preserve">Deception 8 (+16), </v>
      </c>
      <c r="BO12" s="292"/>
      <c r="BP12" s="292"/>
      <c r="BQ12" s="292"/>
      <c r="BR12" s="292"/>
      <c r="BS12" s="292"/>
      <c r="BT12" s="292"/>
      <c r="BU12" s="292"/>
      <c r="BV12" s="292"/>
      <c r="BW12" s="292"/>
      <c r="BX12" s="292"/>
    </row>
    <row r="13" spans="2:76" ht="13.5" customHeight="1" thickBot="1">
      <c r="B13" s="18"/>
      <c r="C13" s="298" t="s">
        <v>208</v>
      </c>
      <c r="D13" s="298"/>
      <c r="E13" s="298"/>
      <c r="F13" s="298"/>
      <c r="G13" s="298"/>
      <c r="H13" s="298"/>
      <c r="I13" s="245" t="s">
        <v>222</v>
      </c>
      <c r="J13" s="246"/>
      <c r="K13" s="247"/>
      <c r="L13" s="299" t="s">
        <v>225</v>
      </c>
      <c r="M13" s="299"/>
      <c r="N13" s="299"/>
      <c r="O13" s="299"/>
      <c r="P13" s="299">
        <f>IF(I13="",0,VLOOKUP(I13,AbilityScoreMatrix,3,FALSE))</f>
        <v>2</v>
      </c>
      <c r="Q13" s="299"/>
      <c r="R13" s="299"/>
      <c r="S13" s="310"/>
      <c r="T13" s="263">
        <v>10</v>
      </c>
      <c r="U13" s="264"/>
      <c r="V13" s="264"/>
      <c r="W13" s="265"/>
      <c r="X13" s="303">
        <f>IF($BI$3="NO",IF(T13="","",IF(P13="","",P13+T13)),IF(P13="","",P13+T13))</f>
        <v>12</v>
      </c>
      <c r="Y13" s="304"/>
      <c r="Z13" s="304"/>
      <c r="AA13" s="304"/>
      <c r="AB13" s="305" t="s">
        <v>1319</v>
      </c>
      <c r="AC13" s="306"/>
      <c r="AD13" s="306"/>
      <c r="AE13" s="306"/>
      <c r="AF13" s="306"/>
      <c r="AG13" s="306"/>
      <c r="AH13" s="306"/>
      <c r="AI13" s="306"/>
      <c r="AJ13" s="306"/>
      <c r="AK13" s="306"/>
      <c r="AL13" s="307"/>
      <c r="AM13" s="20"/>
      <c r="AO13" s="18"/>
      <c r="AP13" s="19"/>
      <c r="AQ13" s="19"/>
      <c r="AR13" s="19"/>
      <c r="AS13" s="19"/>
      <c r="AT13" s="19"/>
      <c r="AU13" s="19"/>
      <c r="AV13" s="19"/>
      <c r="AW13" s="19"/>
      <c r="AX13" s="19"/>
      <c r="AY13" s="19"/>
      <c r="AZ13" s="19"/>
      <c r="BA13" s="20"/>
      <c r="BC13" s="12" t="str">
        <f>IF(AB24="","",AB24)</f>
        <v/>
      </c>
      <c r="BH13" s="293">
        <f>IF(X24="",0,X24)</f>
        <v>1</v>
      </c>
      <c r="BI13" s="293"/>
      <c r="BN13" s="292" t="str">
        <f t="shared" si="1"/>
        <v xml:space="preserve">Expertise: Underworld 10 (+12), </v>
      </c>
      <c r="BO13" s="292"/>
      <c r="BP13" s="292"/>
      <c r="BQ13" s="292"/>
      <c r="BR13" s="292"/>
      <c r="BS13" s="292"/>
      <c r="BT13" s="292"/>
      <c r="BU13" s="292"/>
      <c r="BV13" s="292"/>
      <c r="BW13" s="292"/>
      <c r="BX13" s="292"/>
    </row>
    <row r="14" spans="2:76" ht="13.5" customHeight="1" thickBot="1">
      <c r="B14" s="18"/>
      <c r="C14" s="298" t="s">
        <v>208</v>
      </c>
      <c r="D14" s="298"/>
      <c r="E14" s="298"/>
      <c r="F14" s="298"/>
      <c r="G14" s="298"/>
      <c r="H14" s="298"/>
      <c r="I14" s="249" t="s">
        <v>222</v>
      </c>
      <c r="J14" s="250"/>
      <c r="K14" s="251"/>
      <c r="L14" s="299" t="s">
        <v>225</v>
      </c>
      <c r="M14" s="299"/>
      <c r="N14" s="299"/>
      <c r="O14" s="299"/>
      <c r="P14" s="299">
        <f>IF(I14="",0,VLOOKUP(I14,AbilityScoreMatrix,3,FALSE))</f>
        <v>2</v>
      </c>
      <c r="Q14" s="299"/>
      <c r="R14" s="299"/>
      <c r="S14" s="310"/>
      <c r="T14" s="278"/>
      <c r="U14" s="279"/>
      <c r="V14" s="279"/>
      <c r="W14" s="280"/>
      <c r="X14" s="303" t="str">
        <f>IF($BI$3="NO",IF(T14="","",IF(P14="","",P14+T14)),IF(P14="","",P14+T14))</f>
        <v/>
      </c>
      <c r="Y14" s="304"/>
      <c r="Z14" s="304"/>
      <c r="AA14" s="304"/>
      <c r="AB14" s="294"/>
      <c r="AC14" s="295"/>
      <c r="AD14" s="295"/>
      <c r="AE14" s="295"/>
      <c r="AF14" s="295"/>
      <c r="AG14" s="295"/>
      <c r="AH14" s="295"/>
      <c r="AI14" s="295"/>
      <c r="AJ14" s="295"/>
      <c r="AK14" s="295"/>
      <c r="AL14" s="296"/>
      <c r="AM14" s="20"/>
      <c r="AO14" s="18"/>
      <c r="AP14" s="19" t="s">
        <v>615</v>
      </c>
      <c r="AQ14" s="19"/>
      <c r="AR14" s="19"/>
      <c r="AS14" s="19"/>
      <c r="AT14" s="19"/>
      <c r="AU14" s="19"/>
      <c r="AV14" s="19"/>
      <c r="AW14" s="19"/>
      <c r="AX14" s="252">
        <f>SUM(AX6:AZ10)</f>
        <v>118</v>
      </c>
      <c r="AY14" s="253"/>
      <c r="AZ14" s="254"/>
      <c r="BA14" s="20"/>
      <c r="BC14" s="12" t="str">
        <f>IF(AB25="","",AB25)</f>
        <v/>
      </c>
      <c r="BH14" s="293">
        <f>IF(X25="",0,X25)</f>
        <v>1</v>
      </c>
      <c r="BI14" s="293"/>
      <c r="BN14" s="292" t="str">
        <f t="shared" si="1"/>
        <v/>
      </c>
      <c r="BO14" s="292"/>
      <c r="BP14" s="292"/>
      <c r="BQ14" s="292"/>
      <c r="BR14" s="292"/>
      <c r="BS14" s="292"/>
      <c r="BT14" s="292"/>
      <c r="BU14" s="292"/>
      <c r="BV14" s="292"/>
      <c r="BW14" s="292"/>
      <c r="BX14" s="292"/>
    </row>
    <row r="15" spans="2:76" ht="13.5" customHeight="1" thickBot="1">
      <c r="B15" s="18"/>
      <c r="C15" s="298" t="s">
        <v>208</v>
      </c>
      <c r="D15" s="298"/>
      <c r="E15" s="298"/>
      <c r="F15" s="298"/>
      <c r="G15" s="298"/>
      <c r="H15" s="298"/>
      <c r="I15" s="245" t="s">
        <v>222</v>
      </c>
      <c r="J15" s="246"/>
      <c r="K15" s="247"/>
      <c r="L15" s="299" t="s">
        <v>225</v>
      </c>
      <c r="M15" s="299"/>
      <c r="N15" s="299"/>
      <c r="O15" s="299"/>
      <c r="P15" s="299">
        <f>IF(I15="",0,VLOOKUP(I15,AbilityScoreMatrix,3,FALSE))</f>
        <v>2</v>
      </c>
      <c r="Q15" s="299"/>
      <c r="R15" s="299"/>
      <c r="S15" s="310"/>
      <c r="T15" s="263"/>
      <c r="U15" s="264"/>
      <c r="V15" s="264"/>
      <c r="W15" s="265"/>
      <c r="X15" s="303" t="str">
        <f>IF($BI$3="NO",IF(T15="","",IF(P15="","",P15+T15)),IF(P15="","",P15+T15))</f>
        <v/>
      </c>
      <c r="Y15" s="304"/>
      <c r="Z15" s="304"/>
      <c r="AA15" s="304"/>
      <c r="AB15" s="305"/>
      <c r="AC15" s="306"/>
      <c r="AD15" s="306"/>
      <c r="AE15" s="306"/>
      <c r="AF15" s="306"/>
      <c r="AG15" s="306"/>
      <c r="AH15" s="306"/>
      <c r="AI15" s="306"/>
      <c r="AJ15" s="306"/>
      <c r="AK15" s="306"/>
      <c r="AL15" s="307"/>
      <c r="AM15" s="20"/>
      <c r="AO15" s="21"/>
      <c r="AP15" s="22"/>
      <c r="AQ15" s="22"/>
      <c r="AR15" s="22"/>
      <c r="AS15" s="22"/>
      <c r="AT15" s="22"/>
      <c r="AU15" s="22"/>
      <c r="AV15" s="22"/>
      <c r="AW15" s="22"/>
      <c r="AX15" s="22"/>
      <c r="AY15" s="22"/>
      <c r="AZ15" s="22"/>
      <c r="BA15" s="23"/>
      <c r="BN15" s="292" t="str">
        <f t="shared" si="1"/>
        <v/>
      </c>
      <c r="BO15" s="292"/>
      <c r="BP15" s="292"/>
      <c r="BQ15" s="292"/>
      <c r="BR15" s="292"/>
      <c r="BS15" s="292"/>
      <c r="BT15" s="292"/>
      <c r="BU15" s="292"/>
      <c r="BV15" s="292"/>
      <c r="BW15" s="292"/>
      <c r="BX15" s="292"/>
    </row>
    <row r="16" spans="2:76" ht="13.5" customHeight="1" thickBot="1">
      <c r="B16" s="18"/>
      <c r="C16" s="298" t="s">
        <v>208</v>
      </c>
      <c r="D16" s="298"/>
      <c r="E16" s="298"/>
      <c r="F16" s="298"/>
      <c r="G16" s="298"/>
      <c r="H16" s="298"/>
      <c r="I16" s="249" t="s">
        <v>222</v>
      </c>
      <c r="J16" s="250"/>
      <c r="K16" s="251"/>
      <c r="L16" s="299" t="s">
        <v>225</v>
      </c>
      <c r="M16" s="299"/>
      <c r="N16" s="299"/>
      <c r="O16" s="299"/>
      <c r="P16" s="299">
        <f>IF(I16="",0,VLOOKUP(I16,AbilityScoreMatrix,3,FALSE))</f>
        <v>2</v>
      </c>
      <c r="Q16" s="299"/>
      <c r="R16" s="299"/>
      <c r="S16" s="310"/>
      <c r="T16" s="278"/>
      <c r="U16" s="279"/>
      <c r="V16" s="279"/>
      <c r="W16" s="280"/>
      <c r="X16" s="303" t="str">
        <f>IF($BI$3="NO",IF(T16="","",IF(P16="","",P16+T16)),IF(P16="","",P16+T16))</f>
        <v/>
      </c>
      <c r="Y16" s="304"/>
      <c r="Z16" s="304"/>
      <c r="AA16" s="304"/>
      <c r="AB16" s="294"/>
      <c r="AC16" s="295"/>
      <c r="AD16" s="295"/>
      <c r="AE16" s="295"/>
      <c r="AF16" s="295"/>
      <c r="AG16" s="295"/>
      <c r="AH16" s="295"/>
      <c r="AI16" s="295"/>
      <c r="AJ16" s="295"/>
      <c r="AK16" s="295"/>
      <c r="AL16" s="296"/>
      <c r="AM16" s="20"/>
      <c r="BN16" s="292" t="str">
        <f t="shared" si="1"/>
        <v/>
      </c>
      <c r="BO16" s="292"/>
      <c r="BP16" s="292"/>
      <c r="BQ16" s="292"/>
      <c r="BR16" s="292"/>
      <c r="BS16" s="292"/>
      <c r="BT16" s="292"/>
      <c r="BU16" s="292"/>
      <c r="BV16" s="292"/>
      <c r="BW16" s="292"/>
      <c r="BX16" s="292"/>
    </row>
    <row r="17" spans="2:76" ht="13.5" customHeight="1" thickBot="1">
      <c r="B17" s="18"/>
      <c r="C17" s="298" t="s">
        <v>209</v>
      </c>
      <c r="D17" s="298"/>
      <c r="E17" s="298"/>
      <c r="F17" s="298"/>
      <c r="G17" s="298"/>
      <c r="H17" s="298"/>
      <c r="I17" s="311" t="s">
        <v>223</v>
      </c>
      <c r="J17" s="311"/>
      <c r="K17" s="311"/>
      <c r="L17" s="299" t="s">
        <v>226</v>
      </c>
      <c r="M17" s="299"/>
      <c r="N17" s="299"/>
      <c r="O17" s="299"/>
      <c r="P17" s="299">
        <f>Awareness</f>
        <v>2</v>
      </c>
      <c r="Q17" s="299"/>
      <c r="R17" s="299"/>
      <c r="S17" s="310"/>
      <c r="T17" s="263">
        <v>14</v>
      </c>
      <c r="U17" s="264"/>
      <c r="V17" s="264"/>
      <c r="W17" s="265"/>
      <c r="X17" s="303">
        <f>IF(P17="","",P17+T17)</f>
        <v>16</v>
      </c>
      <c r="Y17" s="304"/>
      <c r="Z17" s="304"/>
      <c r="AA17" s="304"/>
      <c r="AB17" s="274"/>
      <c r="AC17" s="274"/>
      <c r="AD17" s="274"/>
      <c r="AE17" s="274"/>
      <c r="AF17" s="274"/>
      <c r="AG17" s="274"/>
      <c r="AH17" s="274"/>
      <c r="AI17" s="274"/>
      <c r="AJ17" s="274"/>
      <c r="AK17" s="274"/>
      <c r="AL17" s="274"/>
      <c r="AM17" s="20"/>
      <c r="BN17" s="292" t="str">
        <f t="shared" si="1"/>
        <v xml:space="preserve">Insight 14 (+16), </v>
      </c>
      <c r="BO17" s="292"/>
      <c r="BP17" s="292"/>
      <c r="BQ17" s="292"/>
      <c r="BR17" s="292"/>
      <c r="BS17" s="292"/>
      <c r="BT17" s="292"/>
      <c r="BU17" s="292"/>
      <c r="BV17" s="292"/>
      <c r="BW17" s="292"/>
      <c r="BX17" s="292"/>
    </row>
    <row r="18" spans="2:76" ht="13.5" customHeight="1" thickBot="1">
      <c r="B18" s="18"/>
      <c r="C18" s="298" t="s">
        <v>210</v>
      </c>
      <c r="D18" s="298"/>
      <c r="E18" s="298"/>
      <c r="F18" s="298"/>
      <c r="G18" s="298"/>
      <c r="H18" s="298"/>
      <c r="I18" s="299" t="s">
        <v>221</v>
      </c>
      <c r="J18" s="299"/>
      <c r="K18" s="299"/>
      <c r="L18" s="299" t="s">
        <v>226</v>
      </c>
      <c r="M18" s="299"/>
      <c r="N18" s="299"/>
      <c r="O18" s="299"/>
      <c r="P18" s="299">
        <f>Presence</f>
        <v>8</v>
      </c>
      <c r="Q18" s="299"/>
      <c r="R18" s="299"/>
      <c r="S18" s="310"/>
      <c r="T18" s="278">
        <v>4</v>
      </c>
      <c r="U18" s="279"/>
      <c r="V18" s="279"/>
      <c r="W18" s="280"/>
      <c r="X18" s="303">
        <f>IF(P18="","",P18+T18+IF(PermanentGrowth=0,0,ROUNDDOWN(PermanentGrowth/2,0))-IF(PermanentShrinking=0,0,ROUNDDOWN(PermanentShrinking/2,0)))</f>
        <v>12</v>
      </c>
      <c r="Y18" s="304"/>
      <c r="Z18" s="304"/>
      <c r="AA18" s="304"/>
      <c r="AB18" s="309" t="str">
        <f>IF(PermanentGrowth=0,"","Note: Perm Growth modifier included.")&amp;IF(PermanentShrinking=0,"","Note: Perm Shrinking mod included.")</f>
        <v/>
      </c>
      <c r="AC18" s="309"/>
      <c r="AD18" s="309"/>
      <c r="AE18" s="309"/>
      <c r="AF18" s="309"/>
      <c r="AG18" s="309"/>
      <c r="AH18" s="309"/>
      <c r="AI18" s="309"/>
      <c r="AJ18" s="309"/>
      <c r="AK18" s="309"/>
      <c r="AL18" s="309"/>
      <c r="AM18" s="20"/>
      <c r="BN18" s="292" t="str">
        <f t="shared" si="1"/>
        <v xml:space="preserve">Intimidation 4 (+12), </v>
      </c>
      <c r="BO18" s="292"/>
      <c r="BP18" s="292"/>
      <c r="BQ18" s="292"/>
      <c r="BR18" s="292"/>
      <c r="BS18" s="292"/>
      <c r="BT18" s="292"/>
      <c r="BU18" s="292"/>
      <c r="BV18" s="292"/>
      <c r="BW18" s="292"/>
      <c r="BX18" s="292"/>
    </row>
    <row r="19" spans="2:76" ht="13.5" customHeight="1" thickBot="1">
      <c r="B19" s="18"/>
      <c r="C19" s="298" t="s">
        <v>211</v>
      </c>
      <c r="D19" s="298"/>
      <c r="E19" s="298"/>
      <c r="F19" s="298"/>
      <c r="G19" s="298"/>
      <c r="H19" s="298"/>
      <c r="I19" s="299" t="s">
        <v>222</v>
      </c>
      <c r="J19" s="299"/>
      <c r="K19" s="299"/>
      <c r="L19" s="299" t="s">
        <v>225</v>
      </c>
      <c r="M19" s="299"/>
      <c r="N19" s="299"/>
      <c r="O19" s="299"/>
      <c r="P19" s="299">
        <f>Intellect</f>
        <v>2</v>
      </c>
      <c r="Q19" s="299"/>
      <c r="R19" s="299"/>
      <c r="S19" s="310"/>
      <c r="T19" s="263"/>
      <c r="U19" s="264"/>
      <c r="V19" s="264"/>
      <c r="W19" s="265"/>
      <c r="X19" s="303" t="str">
        <f>IF($BI$3="NO",IF(T19="","",IF(P19="","",P19+T19)),IF(P19="","",P19+T19))</f>
        <v/>
      </c>
      <c r="Y19" s="304"/>
      <c r="Z19" s="304"/>
      <c r="AA19" s="304"/>
      <c r="AB19" s="273"/>
      <c r="AC19" s="273"/>
      <c r="AD19" s="273"/>
      <c r="AE19" s="273"/>
      <c r="AF19" s="273"/>
      <c r="AG19" s="273"/>
      <c r="AH19" s="273"/>
      <c r="AI19" s="273"/>
      <c r="AJ19" s="273"/>
      <c r="AK19" s="273"/>
      <c r="AL19" s="273"/>
      <c r="AM19" s="20"/>
      <c r="BN19" s="292" t="str">
        <f t="shared" si="1"/>
        <v/>
      </c>
      <c r="BO19" s="292"/>
      <c r="BP19" s="292"/>
      <c r="BQ19" s="292"/>
      <c r="BR19" s="292"/>
      <c r="BS19" s="292"/>
      <c r="BT19" s="292"/>
      <c r="BU19" s="292"/>
      <c r="BV19" s="292"/>
      <c r="BW19" s="292"/>
      <c r="BX19" s="292"/>
    </row>
    <row r="20" spans="2:76" ht="13.5" customHeight="1" thickBot="1">
      <c r="B20" s="18"/>
      <c r="C20" s="298" t="s">
        <v>212</v>
      </c>
      <c r="D20" s="298"/>
      <c r="E20" s="298"/>
      <c r="F20" s="298"/>
      <c r="G20" s="298"/>
      <c r="H20" s="298"/>
      <c r="I20" s="299" t="s">
        <v>223</v>
      </c>
      <c r="J20" s="299"/>
      <c r="K20" s="299"/>
      <c r="L20" s="299" t="s">
        <v>226</v>
      </c>
      <c r="M20" s="299"/>
      <c r="N20" s="299"/>
      <c r="O20" s="299"/>
      <c r="P20" s="299">
        <f>Awareness</f>
        <v>2</v>
      </c>
      <c r="Q20" s="299"/>
      <c r="R20" s="299"/>
      <c r="S20" s="310"/>
      <c r="T20" s="278">
        <v>8</v>
      </c>
      <c r="U20" s="279"/>
      <c r="V20" s="279"/>
      <c r="W20" s="280"/>
      <c r="X20" s="303">
        <f t="shared" ref="X20:X25" si="2">IF(P20="","",P20+T20)</f>
        <v>10</v>
      </c>
      <c r="Y20" s="304"/>
      <c r="Z20" s="304"/>
      <c r="AA20" s="304"/>
      <c r="AB20" s="273"/>
      <c r="AC20" s="273"/>
      <c r="AD20" s="273"/>
      <c r="AE20" s="273"/>
      <c r="AF20" s="273"/>
      <c r="AG20" s="273"/>
      <c r="AH20" s="273"/>
      <c r="AI20" s="273"/>
      <c r="AJ20" s="273"/>
      <c r="AK20" s="273"/>
      <c r="AL20" s="273"/>
      <c r="AM20" s="20"/>
      <c r="BN20" s="292" t="str">
        <f t="shared" si="1"/>
        <v xml:space="preserve">Perception 8 (+10), </v>
      </c>
      <c r="BO20" s="292"/>
      <c r="BP20" s="292"/>
      <c r="BQ20" s="292"/>
      <c r="BR20" s="292"/>
      <c r="BS20" s="292"/>
      <c r="BT20" s="292"/>
      <c r="BU20" s="292"/>
      <c r="BV20" s="292"/>
      <c r="BW20" s="292"/>
      <c r="BX20" s="292"/>
    </row>
    <row r="21" spans="2:76" ht="13.5" customHeight="1" thickBot="1">
      <c r="B21" s="18"/>
      <c r="C21" s="298" t="s">
        <v>213</v>
      </c>
      <c r="D21" s="298"/>
      <c r="E21" s="298"/>
      <c r="F21" s="298"/>
      <c r="G21" s="298"/>
      <c r="H21" s="298"/>
      <c r="I21" s="299" t="s">
        <v>221</v>
      </c>
      <c r="J21" s="299"/>
      <c r="K21" s="299"/>
      <c r="L21" s="299" t="s">
        <v>226</v>
      </c>
      <c r="M21" s="299"/>
      <c r="N21" s="299"/>
      <c r="O21" s="299"/>
      <c r="P21" s="299">
        <f>Presence</f>
        <v>8</v>
      </c>
      <c r="Q21" s="299"/>
      <c r="R21" s="299"/>
      <c r="S21" s="310"/>
      <c r="T21" s="263">
        <v>8</v>
      </c>
      <c r="U21" s="264"/>
      <c r="V21" s="264"/>
      <c r="W21" s="265"/>
      <c r="X21" s="303">
        <f t="shared" si="2"/>
        <v>16</v>
      </c>
      <c r="Y21" s="304"/>
      <c r="Z21" s="304"/>
      <c r="AA21" s="304"/>
      <c r="AB21" s="308"/>
      <c r="AC21" s="308"/>
      <c r="AD21" s="308"/>
      <c r="AE21" s="308"/>
      <c r="AF21" s="308"/>
      <c r="AG21" s="308"/>
      <c r="AH21" s="308"/>
      <c r="AI21" s="308"/>
      <c r="AJ21" s="308"/>
      <c r="AK21" s="308"/>
      <c r="AL21" s="308"/>
      <c r="AM21" s="20"/>
      <c r="BN21" s="292" t="str">
        <f t="shared" si="1"/>
        <v xml:space="preserve">Persuasion 8 (+16), </v>
      </c>
      <c r="BO21" s="292"/>
      <c r="BP21" s="292"/>
      <c r="BQ21" s="292"/>
      <c r="BR21" s="292"/>
      <c r="BS21" s="292"/>
      <c r="BT21" s="292"/>
      <c r="BU21" s="292"/>
      <c r="BV21" s="292"/>
      <c r="BW21" s="292"/>
      <c r="BX21" s="292"/>
    </row>
    <row r="22" spans="2:76" ht="13.5" customHeight="1" thickBot="1">
      <c r="B22" s="18"/>
      <c r="C22" s="298" t="s">
        <v>199</v>
      </c>
      <c r="D22" s="298"/>
      <c r="E22" s="298"/>
      <c r="F22" s="298"/>
      <c r="G22" s="298"/>
      <c r="H22" s="298"/>
      <c r="I22" s="299" t="s">
        <v>224</v>
      </c>
      <c r="J22" s="299"/>
      <c r="K22" s="299"/>
      <c r="L22" s="299" t="s">
        <v>226</v>
      </c>
      <c r="M22" s="299"/>
      <c r="N22" s="299"/>
      <c r="O22" s="299"/>
      <c r="P22" s="299">
        <f>IF(Dexterity="",0,Dexterity)+RangedCombatAdv</f>
        <v>1</v>
      </c>
      <c r="Q22" s="299"/>
      <c r="R22" s="299"/>
      <c r="S22" s="310"/>
      <c r="T22" s="278">
        <v>8</v>
      </c>
      <c r="U22" s="279"/>
      <c r="V22" s="279"/>
      <c r="W22" s="280"/>
      <c r="X22" s="303">
        <f t="shared" si="2"/>
        <v>9</v>
      </c>
      <c r="Y22" s="304"/>
      <c r="Z22" s="304"/>
      <c r="AA22" s="304"/>
      <c r="AB22" s="294" t="s">
        <v>1307</v>
      </c>
      <c r="AC22" s="295"/>
      <c r="AD22" s="295"/>
      <c r="AE22" s="295"/>
      <c r="AF22" s="295"/>
      <c r="AG22" s="295"/>
      <c r="AH22" s="295"/>
      <c r="AI22" s="295"/>
      <c r="AJ22" s="295"/>
      <c r="AK22" s="295"/>
      <c r="AL22" s="296"/>
      <c r="AM22" s="20"/>
      <c r="BN22" s="292" t="str">
        <f>IF(AB22="","",C22&amp;IF(AB22="","",": "&amp;AB22)&amp;" "&amp;T22&amp;" (+"&amp;X22&amp;"), ")</f>
        <v xml:space="preserve">Ranged Combat: firearms 8 (+9), </v>
      </c>
      <c r="BO22" s="292"/>
      <c r="BP22" s="292"/>
      <c r="BQ22" s="292"/>
      <c r="BR22" s="292"/>
      <c r="BS22" s="292"/>
      <c r="BT22" s="292"/>
      <c r="BU22" s="292"/>
      <c r="BV22" s="292"/>
      <c r="BW22" s="292"/>
      <c r="BX22" s="292"/>
    </row>
    <row r="23" spans="2:76" ht="13.5" customHeight="1" thickBot="1">
      <c r="B23" s="18"/>
      <c r="C23" s="298" t="s">
        <v>199</v>
      </c>
      <c r="D23" s="298"/>
      <c r="E23" s="298"/>
      <c r="F23" s="298"/>
      <c r="G23" s="298"/>
      <c r="H23" s="298"/>
      <c r="I23" s="299" t="s">
        <v>224</v>
      </c>
      <c r="J23" s="299"/>
      <c r="K23" s="299"/>
      <c r="L23" s="299" t="s">
        <v>226</v>
      </c>
      <c r="M23" s="299"/>
      <c r="N23" s="299"/>
      <c r="O23" s="299"/>
      <c r="P23" s="299">
        <f>IF(Dexterity="",0,Dexterity)+RangedCombatAdv</f>
        <v>1</v>
      </c>
      <c r="Q23" s="299"/>
      <c r="R23" s="299"/>
      <c r="S23" s="310"/>
      <c r="T23" s="263"/>
      <c r="U23" s="264"/>
      <c r="V23" s="264"/>
      <c r="W23" s="265"/>
      <c r="X23" s="303">
        <f t="shared" si="2"/>
        <v>1</v>
      </c>
      <c r="Y23" s="304"/>
      <c r="Z23" s="304"/>
      <c r="AA23" s="304"/>
      <c r="AB23" s="305"/>
      <c r="AC23" s="306"/>
      <c r="AD23" s="306"/>
      <c r="AE23" s="306"/>
      <c r="AF23" s="306"/>
      <c r="AG23" s="306"/>
      <c r="AH23" s="306"/>
      <c r="AI23" s="306"/>
      <c r="AJ23" s="306"/>
      <c r="AK23" s="306"/>
      <c r="AL23" s="307"/>
      <c r="AM23" s="20"/>
      <c r="BN23" s="292" t="str">
        <f>IF(AB23="","",C23&amp;IF(AB23="","",": "&amp;AB23)&amp;" "&amp;T23&amp;" (+"&amp;X23&amp;"), ")</f>
        <v/>
      </c>
      <c r="BO23" s="292"/>
      <c r="BP23" s="292"/>
      <c r="BQ23" s="292"/>
      <c r="BR23" s="292"/>
      <c r="BS23" s="292"/>
      <c r="BT23" s="292"/>
      <c r="BU23" s="292"/>
      <c r="BV23" s="292"/>
      <c r="BW23" s="292"/>
      <c r="BX23" s="292"/>
    </row>
    <row r="24" spans="2:76" ht="13.5" customHeight="1" thickBot="1">
      <c r="B24" s="18"/>
      <c r="C24" s="298" t="s">
        <v>199</v>
      </c>
      <c r="D24" s="298"/>
      <c r="E24" s="298"/>
      <c r="F24" s="298"/>
      <c r="G24" s="298"/>
      <c r="H24" s="298"/>
      <c r="I24" s="299" t="s">
        <v>224</v>
      </c>
      <c r="J24" s="299"/>
      <c r="K24" s="299"/>
      <c r="L24" s="299" t="s">
        <v>226</v>
      </c>
      <c r="M24" s="299"/>
      <c r="N24" s="299"/>
      <c r="O24" s="299"/>
      <c r="P24" s="299">
        <f>IF(Dexterity="",0,Dexterity)+RangedCombatAdv</f>
        <v>1</v>
      </c>
      <c r="Q24" s="299"/>
      <c r="R24" s="299"/>
      <c r="S24" s="310"/>
      <c r="T24" s="278"/>
      <c r="U24" s="279"/>
      <c r="V24" s="279"/>
      <c r="W24" s="280"/>
      <c r="X24" s="303">
        <f t="shared" si="2"/>
        <v>1</v>
      </c>
      <c r="Y24" s="304"/>
      <c r="Z24" s="304"/>
      <c r="AA24" s="304"/>
      <c r="AB24" s="294"/>
      <c r="AC24" s="295"/>
      <c r="AD24" s="295"/>
      <c r="AE24" s="295"/>
      <c r="AF24" s="295"/>
      <c r="AG24" s="295"/>
      <c r="AH24" s="295"/>
      <c r="AI24" s="295"/>
      <c r="AJ24" s="295"/>
      <c r="AK24" s="295"/>
      <c r="AL24" s="296"/>
      <c r="AM24" s="20"/>
      <c r="AO24" s="15"/>
      <c r="AP24" s="16"/>
      <c r="AQ24" s="16"/>
      <c r="AR24" s="16"/>
      <c r="AS24" s="16"/>
      <c r="AT24" s="16"/>
      <c r="AU24" s="16"/>
      <c r="AV24" s="16"/>
      <c r="AW24" s="16"/>
      <c r="AX24" s="16"/>
      <c r="AY24" s="16"/>
      <c r="AZ24" s="16"/>
      <c r="BA24" s="17"/>
      <c r="BN24" s="292" t="str">
        <f>IF(AB24="","",C24&amp;IF(AB24="","",": "&amp;AB24)&amp;" "&amp;T24&amp;" (+"&amp;X24&amp;"), ")</f>
        <v/>
      </c>
      <c r="BO24" s="292"/>
      <c r="BP24" s="292"/>
      <c r="BQ24" s="292"/>
      <c r="BR24" s="292"/>
      <c r="BS24" s="292"/>
      <c r="BT24" s="292"/>
      <c r="BU24" s="292"/>
      <c r="BV24" s="292"/>
      <c r="BW24" s="292"/>
      <c r="BX24" s="292"/>
    </row>
    <row r="25" spans="2:76" ht="13.5" customHeight="1" thickBot="1">
      <c r="B25" s="18"/>
      <c r="C25" s="298" t="s">
        <v>199</v>
      </c>
      <c r="D25" s="298"/>
      <c r="E25" s="298"/>
      <c r="F25" s="298"/>
      <c r="G25" s="298"/>
      <c r="H25" s="298"/>
      <c r="I25" s="299" t="s">
        <v>224</v>
      </c>
      <c r="J25" s="299"/>
      <c r="K25" s="299"/>
      <c r="L25" s="299" t="s">
        <v>226</v>
      </c>
      <c r="M25" s="299"/>
      <c r="N25" s="299"/>
      <c r="O25" s="299"/>
      <c r="P25" s="299">
        <f>IF(Dexterity="",0,Dexterity)+RangedCombatAdv</f>
        <v>1</v>
      </c>
      <c r="Q25" s="299"/>
      <c r="R25" s="299"/>
      <c r="S25" s="310"/>
      <c r="T25" s="263"/>
      <c r="U25" s="264"/>
      <c r="V25" s="264"/>
      <c r="W25" s="265"/>
      <c r="X25" s="303">
        <f t="shared" si="2"/>
        <v>1</v>
      </c>
      <c r="Y25" s="304"/>
      <c r="Z25" s="304"/>
      <c r="AA25" s="304"/>
      <c r="AB25" s="305"/>
      <c r="AC25" s="306"/>
      <c r="AD25" s="306"/>
      <c r="AE25" s="306"/>
      <c r="AF25" s="306"/>
      <c r="AG25" s="306"/>
      <c r="AH25" s="306"/>
      <c r="AI25" s="306"/>
      <c r="AJ25" s="306"/>
      <c r="AK25" s="306"/>
      <c r="AL25" s="307"/>
      <c r="AM25" s="20"/>
      <c r="AO25" s="18"/>
      <c r="AP25" s="224" t="s">
        <v>872</v>
      </c>
      <c r="AQ25" s="224"/>
      <c r="AR25" s="224"/>
      <c r="AS25" s="224"/>
      <c r="AT25" s="224"/>
      <c r="AU25" s="224"/>
      <c r="AV25" s="224"/>
      <c r="AW25" s="224"/>
      <c r="AX25" s="224"/>
      <c r="AY25" s="224"/>
      <c r="AZ25" s="224"/>
      <c r="BA25" s="20"/>
      <c r="BN25" s="292" t="str">
        <f>IF(AB25="","",C25&amp;IF(AB25="","",": "&amp;AB25)&amp;" "&amp;T25&amp;" (+"&amp;X25&amp;"), ")</f>
        <v/>
      </c>
      <c r="BO25" s="292"/>
      <c r="BP25" s="292"/>
      <c r="BQ25" s="292"/>
      <c r="BR25" s="292"/>
      <c r="BS25" s="292"/>
      <c r="BT25" s="292"/>
      <c r="BU25" s="292"/>
      <c r="BV25" s="292"/>
      <c r="BW25" s="292"/>
      <c r="BX25" s="292"/>
    </row>
    <row r="26" spans="2:76" ht="13.5" customHeight="1" thickBot="1">
      <c r="B26" s="18"/>
      <c r="C26" s="298" t="s">
        <v>200</v>
      </c>
      <c r="D26" s="298"/>
      <c r="E26" s="298"/>
      <c r="F26" s="298"/>
      <c r="G26" s="298"/>
      <c r="H26" s="298"/>
      <c r="I26" s="299" t="s">
        <v>224</v>
      </c>
      <c r="J26" s="299"/>
      <c r="K26" s="299"/>
      <c r="L26" s="299" t="s">
        <v>225</v>
      </c>
      <c r="M26" s="299"/>
      <c r="N26" s="299"/>
      <c r="O26" s="299"/>
      <c r="P26" s="299">
        <f>Dexterity</f>
        <v>1</v>
      </c>
      <c r="Q26" s="299"/>
      <c r="R26" s="299"/>
      <c r="S26" s="310"/>
      <c r="T26" s="278">
        <v>6</v>
      </c>
      <c r="U26" s="279"/>
      <c r="V26" s="279"/>
      <c r="W26" s="280"/>
      <c r="X26" s="303">
        <f>IF($BI$3="NO",IF(T26="","",IF(P26="","",P26+T26)),IF(P26="","",P26+T26))</f>
        <v>7</v>
      </c>
      <c r="Y26" s="304"/>
      <c r="Z26" s="304"/>
      <c r="AA26" s="304"/>
      <c r="AB26" s="274"/>
      <c r="AC26" s="274"/>
      <c r="AD26" s="274"/>
      <c r="AE26" s="274"/>
      <c r="AF26" s="274"/>
      <c r="AG26" s="274"/>
      <c r="AH26" s="274"/>
      <c r="AI26" s="274"/>
      <c r="AJ26" s="274"/>
      <c r="AK26" s="274"/>
      <c r="AL26" s="274"/>
      <c r="AM26" s="20"/>
      <c r="AO26" s="18"/>
      <c r="AP26" s="225"/>
      <c r="AQ26" s="225"/>
      <c r="AR26" s="225"/>
      <c r="AS26" s="225"/>
      <c r="AT26" s="225"/>
      <c r="AU26" s="225"/>
      <c r="AV26" s="225"/>
      <c r="AW26" s="225"/>
      <c r="AX26" s="225"/>
      <c r="AY26" s="225"/>
      <c r="AZ26" s="225"/>
      <c r="BA26" s="20"/>
      <c r="BN26" s="292" t="str">
        <f t="shared" si="1"/>
        <v xml:space="preserve">Sleight of Hand 6 (+7), </v>
      </c>
      <c r="BO26" s="292"/>
      <c r="BP26" s="292"/>
      <c r="BQ26" s="292"/>
      <c r="BR26" s="292"/>
      <c r="BS26" s="292"/>
      <c r="BT26" s="292"/>
      <c r="BU26" s="292"/>
      <c r="BV26" s="292"/>
      <c r="BW26" s="292"/>
      <c r="BX26" s="292"/>
    </row>
    <row r="27" spans="2:76" ht="13.5" customHeight="1" thickBot="1">
      <c r="B27" s="18"/>
      <c r="C27" s="298" t="s">
        <v>214</v>
      </c>
      <c r="D27" s="298"/>
      <c r="E27" s="298"/>
      <c r="F27" s="298"/>
      <c r="G27" s="298"/>
      <c r="H27" s="298"/>
      <c r="I27" s="299" t="s">
        <v>218</v>
      </c>
      <c r="J27" s="299"/>
      <c r="K27" s="299"/>
      <c r="L27" s="299" t="s">
        <v>226</v>
      </c>
      <c r="M27" s="299"/>
      <c r="N27" s="299"/>
      <c r="O27" s="299"/>
      <c r="P27" s="299">
        <f>Agility</f>
        <v>1</v>
      </c>
      <c r="Q27" s="299"/>
      <c r="R27" s="299"/>
      <c r="S27" s="310"/>
      <c r="T27" s="263"/>
      <c r="U27" s="264"/>
      <c r="V27" s="264"/>
      <c r="W27" s="265"/>
      <c r="X27" s="303">
        <f>IF(P27="","",P27+T27+IF(PermanentShrinking=0,0,PermanentShrinking))</f>
        <v>1</v>
      </c>
      <c r="Y27" s="304"/>
      <c r="Z27" s="304"/>
      <c r="AA27" s="304"/>
      <c r="AB27" s="309" t="str">
        <f>IF(PermanentShrinking=0,"","Note: Perm Shrinking mod included.")</f>
        <v/>
      </c>
      <c r="AC27" s="309"/>
      <c r="AD27" s="309"/>
      <c r="AE27" s="309"/>
      <c r="AF27" s="309"/>
      <c r="AG27" s="309"/>
      <c r="AH27" s="309"/>
      <c r="AI27" s="309"/>
      <c r="AJ27" s="309"/>
      <c r="AK27" s="309"/>
      <c r="AL27" s="309"/>
      <c r="AM27" s="20"/>
      <c r="AO27" s="18"/>
      <c r="AP27" s="313" t="s">
        <v>873</v>
      </c>
      <c r="AQ27" s="313"/>
      <c r="AR27" s="313"/>
      <c r="AS27" s="313"/>
      <c r="AT27" s="313"/>
      <c r="AU27" s="313"/>
      <c r="AV27" s="313"/>
      <c r="AW27" s="313"/>
      <c r="AX27" s="313"/>
      <c r="AY27" s="313"/>
      <c r="AZ27" s="313"/>
      <c r="BA27" s="20"/>
      <c r="BN27" s="292" t="str">
        <f t="shared" si="1"/>
        <v xml:space="preserve">Stealth  (+1), </v>
      </c>
      <c r="BO27" s="292"/>
      <c r="BP27" s="292"/>
      <c r="BQ27" s="292"/>
      <c r="BR27" s="292"/>
      <c r="BS27" s="292"/>
      <c r="BT27" s="292"/>
      <c r="BU27" s="292"/>
      <c r="BV27" s="292"/>
      <c r="BW27" s="292"/>
      <c r="BX27" s="292"/>
    </row>
    <row r="28" spans="2:76" ht="13.5" customHeight="1" thickBot="1">
      <c r="B28" s="18"/>
      <c r="C28" s="298" t="s">
        <v>215</v>
      </c>
      <c r="D28" s="298"/>
      <c r="E28" s="298"/>
      <c r="F28" s="298"/>
      <c r="G28" s="298"/>
      <c r="H28" s="298"/>
      <c r="I28" s="299" t="s">
        <v>222</v>
      </c>
      <c r="J28" s="299"/>
      <c r="K28" s="299"/>
      <c r="L28" s="299" t="s">
        <v>225</v>
      </c>
      <c r="M28" s="299"/>
      <c r="N28" s="299"/>
      <c r="O28" s="299"/>
      <c r="P28" s="299">
        <f>Intellect</f>
        <v>2</v>
      </c>
      <c r="Q28" s="299"/>
      <c r="R28" s="299"/>
      <c r="S28" s="310"/>
      <c r="T28" s="278"/>
      <c r="U28" s="279"/>
      <c r="V28" s="279"/>
      <c r="W28" s="280"/>
      <c r="X28" s="303" t="str">
        <f>IF($BI$3="NO",IF(T28="","",IF(P28="","",P28+T28)),IF(P28="","",P28+T28))</f>
        <v/>
      </c>
      <c r="Y28" s="304"/>
      <c r="Z28" s="304"/>
      <c r="AA28" s="304"/>
      <c r="AB28" s="273"/>
      <c r="AC28" s="273"/>
      <c r="AD28" s="273"/>
      <c r="AE28" s="273"/>
      <c r="AF28" s="273"/>
      <c r="AG28" s="273"/>
      <c r="AH28" s="273"/>
      <c r="AI28" s="273"/>
      <c r="AJ28" s="273"/>
      <c r="AK28" s="273"/>
      <c r="AL28" s="273"/>
      <c r="AM28" s="20"/>
      <c r="AO28" s="18"/>
      <c r="AP28" s="314"/>
      <c r="AQ28" s="314"/>
      <c r="AR28" s="314"/>
      <c r="AS28" s="314"/>
      <c r="AT28" s="314"/>
      <c r="AU28" s="314"/>
      <c r="AV28" s="314"/>
      <c r="AW28" s="314"/>
      <c r="AX28" s="314"/>
      <c r="AY28" s="314"/>
      <c r="AZ28" s="314"/>
      <c r="BA28" s="20"/>
      <c r="BN28" s="292" t="str">
        <f t="shared" si="1"/>
        <v/>
      </c>
      <c r="BO28" s="292"/>
      <c r="BP28" s="292"/>
      <c r="BQ28" s="292"/>
      <c r="BR28" s="292"/>
      <c r="BS28" s="292"/>
      <c r="BT28" s="292"/>
      <c r="BU28" s="292"/>
      <c r="BV28" s="292"/>
      <c r="BW28" s="292"/>
      <c r="BX28" s="292"/>
    </row>
    <row r="29" spans="2:76" ht="13.5" customHeight="1" thickBot="1">
      <c r="B29" s="18"/>
      <c r="C29" s="298" t="s">
        <v>216</v>
      </c>
      <c r="D29" s="298"/>
      <c r="E29" s="298"/>
      <c r="F29" s="298"/>
      <c r="G29" s="298"/>
      <c r="H29" s="298"/>
      <c r="I29" s="299" t="s">
        <v>222</v>
      </c>
      <c r="J29" s="299"/>
      <c r="K29" s="299"/>
      <c r="L29" s="299" t="s">
        <v>225</v>
      </c>
      <c r="M29" s="299"/>
      <c r="N29" s="299"/>
      <c r="O29" s="299"/>
      <c r="P29" s="299">
        <f>Intellect</f>
        <v>2</v>
      </c>
      <c r="Q29" s="299"/>
      <c r="R29" s="299"/>
      <c r="S29" s="310"/>
      <c r="T29" s="263"/>
      <c r="U29" s="264"/>
      <c r="V29" s="264"/>
      <c r="W29" s="265"/>
      <c r="X29" s="303" t="str">
        <f>IF($BI$3="NO",IF(T29="","",IF(P29="","",P29+T29)),IF(P29="","",P29+T29))</f>
        <v/>
      </c>
      <c r="Y29" s="304"/>
      <c r="Z29" s="304"/>
      <c r="AA29" s="304"/>
      <c r="AB29" s="273"/>
      <c r="AC29" s="273"/>
      <c r="AD29" s="273"/>
      <c r="AE29" s="273"/>
      <c r="AF29" s="273"/>
      <c r="AG29" s="273"/>
      <c r="AH29" s="273"/>
      <c r="AI29" s="273"/>
      <c r="AJ29" s="273"/>
      <c r="AK29" s="273"/>
      <c r="AL29" s="273"/>
      <c r="AM29" s="20"/>
      <c r="AO29" s="18"/>
      <c r="AP29" s="19" t="s">
        <v>36</v>
      </c>
      <c r="AQ29" s="19"/>
      <c r="AR29" s="19"/>
      <c r="AS29" s="19"/>
      <c r="AT29" s="19"/>
      <c r="AU29" s="19"/>
      <c r="AV29" s="19"/>
      <c r="AW29" s="19"/>
      <c r="AX29" s="255">
        <f>T6+T7+T8+T9+T10+T11+T12+T13+T14+T15+T16+T17+T18+T19+T20+T21+T22+T23+T24+T25+T26+T27+T28+T29+T30</f>
        <v>66</v>
      </c>
      <c r="AY29" s="253"/>
      <c r="AZ29" s="254"/>
      <c r="BA29" s="20"/>
      <c r="BN29" s="292" t="str">
        <f t="shared" si="1"/>
        <v/>
      </c>
      <c r="BO29" s="292"/>
      <c r="BP29" s="292"/>
      <c r="BQ29" s="292"/>
      <c r="BR29" s="292"/>
      <c r="BS29" s="292"/>
      <c r="BT29" s="292"/>
      <c r="BU29" s="292"/>
      <c r="BV29" s="292"/>
      <c r="BW29" s="292"/>
      <c r="BX29" s="292"/>
    </row>
    <row r="30" spans="2:76" ht="13.5" customHeight="1" thickBot="1">
      <c r="B30" s="18"/>
      <c r="C30" s="298" t="s">
        <v>217</v>
      </c>
      <c r="D30" s="298"/>
      <c r="E30" s="298"/>
      <c r="F30" s="298"/>
      <c r="G30" s="298"/>
      <c r="H30" s="298"/>
      <c r="I30" s="299" t="s">
        <v>224</v>
      </c>
      <c r="J30" s="299"/>
      <c r="K30" s="299"/>
      <c r="L30" s="299" t="s">
        <v>225</v>
      </c>
      <c r="M30" s="299"/>
      <c r="N30" s="299"/>
      <c r="O30" s="299"/>
      <c r="P30" s="299">
        <f>Dexterity</f>
        <v>1</v>
      </c>
      <c r="Q30" s="299"/>
      <c r="R30" s="299"/>
      <c r="S30" s="310"/>
      <c r="T30" s="278"/>
      <c r="U30" s="279"/>
      <c r="V30" s="279"/>
      <c r="W30" s="280"/>
      <c r="X30" s="303" t="str">
        <f>IF($BI$3="NO",IF(T30="","",IF(P30="","",P30+T30)),IF(P30="","",P30+T30))</f>
        <v/>
      </c>
      <c r="Y30" s="304"/>
      <c r="Z30" s="304"/>
      <c r="AA30" s="304"/>
      <c r="AB30" s="273"/>
      <c r="AC30" s="273"/>
      <c r="AD30" s="273"/>
      <c r="AE30" s="273"/>
      <c r="AF30" s="273"/>
      <c r="AG30" s="273"/>
      <c r="AH30" s="273"/>
      <c r="AI30" s="273"/>
      <c r="AJ30" s="273"/>
      <c r="AK30" s="273"/>
      <c r="AL30" s="273"/>
      <c r="AM30" s="20"/>
      <c r="AO30" s="18"/>
      <c r="AP30" s="19" t="s">
        <v>629</v>
      </c>
      <c r="AQ30" s="19"/>
      <c r="AR30" s="19"/>
      <c r="AS30" s="19"/>
      <c r="AT30" s="19"/>
      <c r="AU30" s="19"/>
      <c r="AV30" s="19"/>
      <c r="AW30" s="19"/>
      <c r="AX30" s="252">
        <f>AX29/2</f>
        <v>33</v>
      </c>
      <c r="AY30" s="253"/>
      <c r="AZ30" s="254"/>
      <c r="BA30" s="20"/>
      <c r="BN30" s="292" t="str">
        <f t="shared" si="1"/>
        <v/>
      </c>
      <c r="BO30" s="292"/>
      <c r="BP30" s="292"/>
      <c r="BQ30" s="292"/>
      <c r="BR30" s="292"/>
      <c r="BS30" s="292"/>
      <c r="BT30" s="292"/>
      <c r="BU30" s="292"/>
      <c r="BV30" s="292"/>
      <c r="BW30" s="292"/>
      <c r="BX30" s="292"/>
    </row>
    <row r="31" spans="2:76"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3"/>
      <c r="AO31" s="21"/>
      <c r="AP31" s="22"/>
      <c r="AQ31" s="22"/>
      <c r="AR31" s="22"/>
      <c r="AS31" s="22"/>
      <c r="AT31" s="22"/>
      <c r="AU31" s="22"/>
      <c r="AV31" s="22"/>
      <c r="AW31" s="22"/>
      <c r="AX31" s="22"/>
      <c r="AY31" s="22"/>
      <c r="AZ31" s="22"/>
      <c r="BA31" s="23"/>
    </row>
    <row r="32" spans="2:76" ht="13.5" customHeight="1">
      <c r="BN32" s="12" t="s">
        <v>796</v>
      </c>
    </row>
    <row r="33" spans="66:66" ht="13.5" customHeight="1">
      <c r="BN33" s="12" t="str">
        <f>BN6&amp;BN7&amp;BN8&amp;BN9&amp;BN10&amp;BN11&amp;BN12&amp;BN13&amp;BN14&amp;BN15&amp;BN16&amp;BN17&amp;BN18&amp;BN19&amp;BN20&amp;BN21&amp;BN22&amp;BN23&amp;BN24&amp;BN25&amp;BN26&amp;BN27&amp;BN28&amp;BN29&amp;BN30</f>
        <v xml:space="preserve">Athletics  (+0), Deception 8 (+16), Expertise: Underworld 10 (+12), Insight 14 (+16), Intimidation 4 (+12), Perception 8 (+10), Persuasion 8 (+16), Ranged Combat: firearms 8 (+9), Sleight of Hand 6 (+7), Stealth  (+1), </v>
      </c>
    </row>
    <row r="34" spans="66:66" ht="13.5" customHeight="1">
      <c r="BN34" s="12" t="str">
        <f>IF(BN33="","",LEFT(BN33,LEN(BN33)-2))</f>
        <v>Athletics  (+0), Deception 8 (+16), Expertise: Underworld 10 (+12), Insight 14 (+16), Intimidation 4 (+12), Perception 8 (+10), Persuasion 8 (+16), Ranged Combat: firearms 8 (+9), Sleight of Hand 6 (+7), Stealth  (+1)</v>
      </c>
    </row>
  </sheetData>
  <mergeCells count="229">
    <mergeCell ref="AX29:AZ29"/>
    <mergeCell ref="AX30:AZ30"/>
    <mergeCell ref="AP25:AZ26"/>
    <mergeCell ref="AP27:AZ28"/>
    <mergeCell ref="L5:O5"/>
    <mergeCell ref="L6:O6"/>
    <mergeCell ref="P5:S5"/>
    <mergeCell ref="P6:S6"/>
    <mergeCell ref="T5:W5"/>
    <mergeCell ref="AB5:AL5"/>
    <mergeCell ref="L16:O16"/>
    <mergeCell ref="L17:O17"/>
    <mergeCell ref="L18:O18"/>
    <mergeCell ref="T9:W9"/>
    <mergeCell ref="T10:W10"/>
    <mergeCell ref="T11:W11"/>
    <mergeCell ref="P19:S19"/>
    <mergeCell ref="P20:S20"/>
    <mergeCell ref="T20:W20"/>
    <mergeCell ref="T23:W23"/>
    <mergeCell ref="T24:W24"/>
    <mergeCell ref="T13:W13"/>
    <mergeCell ref="T14:W14"/>
    <mergeCell ref="T15:W15"/>
    <mergeCell ref="C12:H12"/>
    <mergeCell ref="C13:H13"/>
    <mergeCell ref="C14:H14"/>
    <mergeCell ref="C15:H15"/>
    <mergeCell ref="C8:H8"/>
    <mergeCell ref="C9:H9"/>
    <mergeCell ref="P7:S7"/>
    <mergeCell ref="P8:S8"/>
    <mergeCell ref="P9:S9"/>
    <mergeCell ref="C7:H7"/>
    <mergeCell ref="I7:K7"/>
    <mergeCell ref="L15:O15"/>
    <mergeCell ref="C28:H28"/>
    <mergeCell ref="C29:H29"/>
    <mergeCell ref="C30:H30"/>
    <mergeCell ref="I8:K8"/>
    <mergeCell ref="I9:K9"/>
    <mergeCell ref="I10:K10"/>
    <mergeCell ref="I11:K11"/>
    <mergeCell ref="I12:K12"/>
    <mergeCell ref="I13:K13"/>
    <mergeCell ref="I14:K14"/>
    <mergeCell ref="C22:H22"/>
    <mergeCell ref="C23:H23"/>
    <mergeCell ref="C24:H24"/>
    <mergeCell ref="C25:H25"/>
    <mergeCell ref="C26:H26"/>
    <mergeCell ref="C27:H27"/>
    <mergeCell ref="C16:H16"/>
    <mergeCell ref="C17:H17"/>
    <mergeCell ref="C18:H18"/>
    <mergeCell ref="C19:H19"/>
    <mergeCell ref="C20:H20"/>
    <mergeCell ref="C21:H21"/>
    <mergeCell ref="C10:H10"/>
    <mergeCell ref="C11:H11"/>
    <mergeCell ref="I21:K21"/>
    <mergeCell ref="I22:K22"/>
    <mergeCell ref="I23:K23"/>
    <mergeCell ref="I24:K24"/>
    <mergeCell ref="L7:O7"/>
    <mergeCell ref="L8:O8"/>
    <mergeCell ref="L9:O9"/>
    <mergeCell ref="L10:O10"/>
    <mergeCell ref="L11:O11"/>
    <mergeCell ref="L12:O12"/>
    <mergeCell ref="I15:K15"/>
    <mergeCell ref="I16:K16"/>
    <mergeCell ref="I17:K17"/>
    <mergeCell ref="I18:K18"/>
    <mergeCell ref="I19:K19"/>
    <mergeCell ref="I20:K20"/>
    <mergeCell ref="L19:O19"/>
    <mergeCell ref="L20:O20"/>
    <mergeCell ref="L21:O21"/>
    <mergeCell ref="L22:O22"/>
    <mergeCell ref="L23:O23"/>
    <mergeCell ref="L24:O24"/>
    <mergeCell ref="L13:O13"/>
    <mergeCell ref="L14:O14"/>
    <mergeCell ref="T16:W16"/>
    <mergeCell ref="T17:W17"/>
    <mergeCell ref="P21:S21"/>
    <mergeCell ref="P10:S10"/>
    <mergeCell ref="P11:S11"/>
    <mergeCell ref="P12:S12"/>
    <mergeCell ref="P13:S13"/>
    <mergeCell ref="P14:S14"/>
    <mergeCell ref="P15:S15"/>
    <mergeCell ref="P16:S16"/>
    <mergeCell ref="P17:S17"/>
    <mergeCell ref="P18:S18"/>
    <mergeCell ref="T12:W12"/>
    <mergeCell ref="P23:S23"/>
    <mergeCell ref="P24:S24"/>
    <mergeCell ref="X24:AA24"/>
    <mergeCell ref="T22:W22"/>
    <mergeCell ref="AB21:AL21"/>
    <mergeCell ref="AB22:AL22"/>
    <mergeCell ref="AB17:AL17"/>
    <mergeCell ref="AB18:AL18"/>
    <mergeCell ref="AB19:AL19"/>
    <mergeCell ref="AB23:AL23"/>
    <mergeCell ref="T21:W21"/>
    <mergeCell ref="AB24:AL24"/>
    <mergeCell ref="X21:AA21"/>
    <mergeCell ref="X22:AA22"/>
    <mergeCell ref="X23:AA23"/>
    <mergeCell ref="T19:W19"/>
    <mergeCell ref="T18:W18"/>
    <mergeCell ref="P22:S22"/>
    <mergeCell ref="L30:O30"/>
    <mergeCell ref="P25:S25"/>
    <mergeCell ref="P26:S26"/>
    <mergeCell ref="P27:S27"/>
    <mergeCell ref="P28:S28"/>
    <mergeCell ref="P29:S29"/>
    <mergeCell ref="P30:S30"/>
    <mergeCell ref="I26:K26"/>
    <mergeCell ref="I27:K27"/>
    <mergeCell ref="I28:K28"/>
    <mergeCell ref="I29:K29"/>
    <mergeCell ref="I30:K30"/>
    <mergeCell ref="L25:O25"/>
    <mergeCell ref="L26:O26"/>
    <mergeCell ref="L27:O27"/>
    <mergeCell ref="L28:O28"/>
    <mergeCell ref="L29:O29"/>
    <mergeCell ref="I25:K25"/>
    <mergeCell ref="T26:W26"/>
    <mergeCell ref="T27:W27"/>
    <mergeCell ref="T28:W28"/>
    <mergeCell ref="T29:W29"/>
    <mergeCell ref="T30:W30"/>
    <mergeCell ref="AB25:AL25"/>
    <mergeCell ref="AB26:AL26"/>
    <mergeCell ref="AB27:AL27"/>
    <mergeCell ref="AB28:AL28"/>
    <mergeCell ref="AB29:AL29"/>
    <mergeCell ref="T25:W25"/>
    <mergeCell ref="X25:AA25"/>
    <mergeCell ref="AB30:AL30"/>
    <mergeCell ref="X28:AA28"/>
    <mergeCell ref="X29:AA29"/>
    <mergeCell ref="X30:AA30"/>
    <mergeCell ref="X26:AA26"/>
    <mergeCell ref="X27:AA27"/>
    <mergeCell ref="X9:AA9"/>
    <mergeCell ref="X10:AA10"/>
    <mergeCell ref="X11:AA11"/>
    <mergeCell ref="X12:AA12"/>
    <mergeCell ref="AB20:AL20"/>
    <mergeCell ref="AB14:AL14"/>
    <mergeCell ref="AB15:AL15"/>
    <mergeCell ref="AB16:AL16"/>
    <mergeCell ref="AB7:AL7"/>
    <mergeCell ref="AB9:AL9"/>
    <mergeCell ref="X19:AA19"/>
    <mergeCell ref="X20:AA20"/>
    <mergeCell ref="X15:AA15"/>
    <mergeCell ref="X16:AA16"/>
    <mergeCell ref="X17:AA17"/>
    <mergeCell ref="X18:AA18"/>
    <mergeCell ref="AB10:AL10"/>
    <mergeCell ref="AB11:AL11"/>
    <mergeCell ref="AB12:AL12"/>
    <mergeCell ref="AB13:AL13"/>
    <mergeCell ref="X13:AA13"/>
    <mergeCell ref="X14:AA14"/>
    <mergeCell ref="C3:J4"/>
    <mergeCell ref="AP3:AZ4"/>
    <mergeCell ref="AX6:AZ6"/>
    <mergeCell ref="AX7:AZ7"/>
    <mergeCell ref="AX8:AZ8"/>
    <mergeCell ref="AB8:AL8"/>
    <mergeCell ref="T6:W6"/>
    <mergeCell ref="T7:W7"/>
    <mergeCell ref="T8:W8"/>
    <mergeCell ref="AB6:AL6"/>
    <mergeCell ref="C5:H5"/>
    <mergeCell ref="C6:H6"/>
    <mergeCell ref="I5:K5"/>
    <mergeCell ref="I6:K6"/>
    <mergeCell ref="L2:AL4"/>
    <mergeCell ref="X5:AA5"/>
    <mergeCell ref="X6:AA6"/>
    <mergeCell ref="X7:AA7"/>
    <mergeCell ref="X8:AA8"/>
    <mergeCell ref="AX14:AZ14"/>
    <mergeCell ref="BN6:BX6"/>
    <mergeCell ref="BN7:BX7"/>
    <mergeCell ref="BN8:BX8"/>
    <mergeCell ref="BN9:BX9"/>
    <mergeCell ref="BN10:BX10"/>
    <mergeCell ref="BI3:BK3"/>
    <mergeCell ref="AX9:AZ9"/>
    <mergeCell ref="AX10:AZ10"/>
    <mergeCell ref="BH6:BI6"/>
    <mergeCell ref="BH7:BI7"/>
    <mergeCell ref="BH8:BI8"/>
    <mergeCell ref="BH9:BI9"/>
    <mergeCell ref="BN11:BX11"/>
    <mergeCell ref="BN12:BX12"/>
    <mergeCell ref="BN13:BX13"/>
    <mergeCell ref="BN14:BX14"/>
    <mergeCell ref="BN15:BX15"/>
    <mergeCell ref="BN16:BX16"/>
    <mergeCell ref="BH11:BI11"/>
    <mergeCell ref="BH12:BI12"/>
    <mergeCell ref="BH13:BI13"/>
    <mergeCell ref="BN29:BX29"/>
    <mergeCell ref="BN30:BX30"/>
    <mergeCell ref="BN23:BX23"/>
    <mergeCell ref="BN24:BX24"/>
    <mergeCell ref="BN25:BX25"/>
    <mergeCell ref="BN26:BX26"/>
    <mergeCell ref="BN27:BX27"/>
    <mergeCell ref="BN28:BX28"/>
    <mergeCell ref="BN17:BX17"/>
    <mergeCell ref="BN18:BX18"/>
    <mergeCell ref="BN19:BX19"/>
    <mergeCell ref="BN20:BX20"/>
    <mergeCell ref="BN21:BX21"/>
    <mergeCell ref="BN22:BX22"/>
    <mergeCell ref="BH14:BI14"/>
  </mergeCells>
  <conditionalFormatting sqref="AX30:AZ30">
    <cfRule type="expression" dxfId="54" priority="1" stopIfTrue="1">
      <formula>IF(MOD($AX$29,2)=0,FALSE,TRUE)</formula>
    </cfRule>
  </conditionalFormatting>
  <dataValidations disablePrompts="1" count="1">
    <dataValidation type="list" allowBlank="1" showInputMessage="1" showErrorMessage="1" sqref="I13:K16">
      <formula1>"STR,STA,AGL,DEX,FGT,INT,AWE,PRE"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Skills">
                <anchor moveWithCells="1" sizeWithCells="1">
                  <from>
                    <xdr:col>40</xdr:col>
                    <xdr:colOff>137160</xdr:colOff>
                    <xdr:row>17</xdr:row>
                    <xdr:rowOff>45720</xdr:rowOff>
                  </from>
                  <to>
                    <xdr:col>46</xdr:col>
                    <xdr:colOff>152400</xdr:colOff>
                    <xdr:row>19</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499984740745262"/>
  </sheetPr>
  <dimension ref="B1:DX73"/>
  <sheetViews>
    <sheetView showGridLines="0" zoomScaleNormal="100" workbookViewId="0">
      <selection activeCell="C13" sqref="C13:J13"/>
    </sheetView>
  </sheetViews>
  <sheetFormatPr defaultColWidth="2.6640625" defaultRowHeight="13.5" customHeight="1"/>
  <cols>
    <col min="1" max="85" width="2.6640625" style="12"/>
    <col min="86" max="86" width="2.6640625" style="12" customWidth="1"/>
    <col min="87" max="16384" width="2.6640625" style="12"/>
  </cols>
  <sheetData>
    <row r="1" spans="2:120" ht="13.5" customHeight="1" thickBot="1"/>
    <row r="2" spans="2:120" ht="13.5" customHeight="1">
      <c r="B2" s="15"/>
      <c r="C2" s="16"/>
      <c r="D2" s="16"/>
      <c r="E2" s="16"/>
      <c r="F2" s="16"/>
      <c r="G2" s="16"/>
      <c r="H2" s="16"/>
      <c r="I2" s="16"/>
      <c r="J2" s="16"/>
      <c r="K2" s="300" t="s">
        <v>1247</v>
      </c>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16"/>
      <c r="AL2" s="16"/>
      <c r="AM2" s="16"/>
      <c r="AN2" s="16"/>
      <c r="AO2" s="16"/>
      <c r="AP2" s="16"/>
      <c r="AQ2" s="16"/>
      <c r="AR2" s="16"/>
      <c r="AS2" s="16"/>
      <c r="AT2" s="17"/>
      <c r="AU2" s="14"/>
      <c r="AV2" s="15"/>
      <c r="AW2" s="16"/>
      <c r="AX2" s="16"/>
      <c r="AY2" s="16"/>
      <c r="AZ2" s="16"/>
      <c r="BA2" s="16"/>
      <c r="BB2" s="16"/>
      <c r="BC2" s="16"/>
      <c r="BD2" s="16"/>
      <c r="BE2" s="16"/>
      <c r="BF2" s="16"/>
      <c r="BG2" s="16"/>
      <c r="BH2" s="17"/>
    </row>
    <row r="3" spans="2:120" ht="13.5" customHeight="1">
      <c r="B3" s="18"/>
      <c r="C3" s="224" t="s">
        <v>228</v>
      </c>
      <c r="D3" s="224"/>
      <c r="E3" s="224"/>
      <c r="F3" s="224"/>
      <c r="G3" s="224"/>
      <c r="H3" s="224"/>
      <c r="I3" s="224"/>
      <c r="J3" s="224"/>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19"/>
      <c r="AL3" s="19"/>
      <c r="AM3" s="19"/>
      <c r="AN3" s="19"/>
      <c r="AO3" s="19"/>
      <c r="AP3" s="19"/>
      <c r="AQ3" s="19"/>
      <c r="AR3" s="19"/>
      <c r="AS3" s="19"/>
      <c r="AT3" s="20"/>
      <c r="AU3" s="14"/>
      <c r="AV3" s="18"/>
      <c r="AW3" s="224" t="s">
        <v>131</v>
      </c>
      <c r="AX3" s="224"/>
      <c r="AY3" s="224"/>
      <c r="AZ3" s="224"/>
      <c r="BA3" s="224"/>
      <c r="BB3" s="224"/>
      <c r="BC3" s="224"/>
      <c r="BD3" s="224"/>
      <c r="BE3" s="224"/>
      <c r="BF3" s="224"/>
      <c r="BG3" s="224"/>
      <c r="BH3" s="20"/>
      <c r="BJ3" s="12" t="s">
        <v>383</v>
      </c>
    </row>
    <row r="4" spans="2:120" ht="13.5" customHeight="1">
      <c r="B4" s="18"/>
      <c r="C4" s="225"/>
      <c r="D4" s="225"/>
      <c r="E4" s="225"/>
      <c r="F4" s="225"/>
      <c r="G4" s="225"/>
      <c r="H4" s="225"/>
      <c r="I4" s="225"/>
      <c r="J4" s="225"/>
      <c r="K4" s="302"/>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9"/>
      <c r="AL4" s="39"/>
      <c r="AM4" s="39"/>
      <c r="AN4" s="39"/>
      <c r="AO4" s="39"/>
      <c r="AP4" s="39"/>
      <c r="AQ4" s="39"/>
      <c r="AR4" s="39"/>
      <c r="AS4" s="39"/>
      <c r="AT4" s="20"/>
      <c r="AU4" s="14"/>
      <c r="AV4" s="18"/>
      <c r="AW4" s="225"/>
      <c r="AX4" s="225"/>
      <c r="AY4" s="225"/>
      <c r="AZ4" s="225"/>
      <c r="BA4" s="225"/>
      <c r="BB4" s="225"/>
      <c r="BC4" s="225"/>
      <c r="BD4" s="225"/>
      <c r="BE4" s="225"/>
      <c r="BF4" s="225"/>
      <c r="BG4" s="225"/>
      <c r="BH4" s="20"/>
      <c r="BJ4" s="329" t="s">
        <v>329</v>
      </c>
      <c r="BK4" s="329"/>
      <c r="BL4" s="329"/>
      <c r="BM4" s="329"/>
      <c r="BN4" s="329" t="s">
        <v>238</v>
      </c>
      <c r="BO4" s="329"/>
      <c r="BP4" s="329"/>
      <c r="BQ4" s="329"/>
      <c r="BR4" s="329" t="s">
        <v>509</v>
      </c>
      <c r="BS4" s="329"/>
      <c r="BT4" s="329"/>
      <c r="BU4" s="329"/>
      <c r="BV4" s="329" t="s">
        <v>236</v>
      </c>
      <c r="BW4" s="329"/>
      <c r="BX4" s="329"/>
      <c r="BY4" s="329"/>
      <c r="BZ4" s="329" t="s">
        <v>604</v>
      </c>
      <c r="CA4" s="329"/>
      <c r="CB4" s="329"/>
      <c r="CC4" s="329"/>
      <c r="CD4" s="329" t="s">
        <v>318</v>
      </c>
      <c r="CE4" s="329"/>
      <c r="CF4" s="329"/>
      <c r="CG4" s="329"/>
      <c r="CH4" s="329" t="s">
        <v>619</v>
      </c>
      <c r="CI4" s="329"/>
      <c r="CJ4" s="329"/>
      <c r="CK4" s="329"/>
      <c r="CW4" s="329" t="s">
        <v>810</v>
      </c>
      <c r="CX4" s="329"/>
      <c r="CY4" s="329"/>
      <c r="CZ4" s="329"/>
      <c r="DA4" s="329" t="s">
        <v>1257</v>
      </c>
      <c r="DB4" s="329"/>
      <c r="DC4" s="329"/>
      <c r="DD4" s="329"/>
      <c r="DM4" s="329" t="s">
        <v>1268</v>
      </c>
      <c r="DN4" s="329"/>
      <c r="DO4" s="329"/>
      <c r="DP4" s="329"/>
    </row>
    <row r="5" spans="2:120" ht="13.5" customHeight="1" thickBot="1">
      <c r="B5" s="18"/>
      <c r="C5" s="297" t="s">
        <v>229</v>
      </c>
      <c r="D5" s="297"/>
      <c r="E5" s="297"/>
      <c r="F5" s="297"/>
      <c r="G5" s="297"/>
      <c r="H5" s="297"/>
      <c r="I5" s="297"/>
      <c r="J5" s="297"/>
      <c r="K5" s="262" t="s">
        <v>36</v>
      </c>
      <c r="L5" s="262"/>
      <c r="M5" s="262"/>
      <c r="N5" s="297" t="s">
        <v>231</v>
      </c>
      <c r="O5" s="297"/>
      <c r="P5" s="297"/>
      <c r="Q5" s="297"/>
      <c r="R5" s="297"/>
      <c r="S5" s="297"/>
      <c r="T5" s="297"/>
      <c r="U5" s="297"/>
      <c r="V5" s="297"/>
      <c r="W5" s="297" t="s">
        <v>232</v>
      </c>
      <c r="X5" s="297"/>
      <c r="Y5" s="297"/>
      <c r="Z5" s="297"/>
      <c r="AA5" s="297"/>
      <c r="AB5" s="297"/>
      <c r="AC5" s="297"/>
      <c r="AD5" s="297"/>
      <c r="AE5" s="297"/>
      <c r="AF5" s="297"/>
      <c r="AG5" s="297"/>
      <c r="AH5" s="297"/>
      <c r="AI5" s="297"/>
      <c r="AJ5" s="297"/>
      <c r="AK5" s="297"/>
      <c r="AL5" s="297"/>
      <c r="AM5" s="297"/>
      <c r="AN5" s="344" t="s">
        <v>1246</v>
      </c>
      <c r="AO5" s="344"/>
      <c r="AP5" s="344"/>
      <c r="AQ5" s="345" t="s">
        <v>300</v>
      </c>
      <c r="AR5" s="345"/>
      <c r="AS5" s="345"/>
      <c r="AT5" s="20"/>
      <c r="AU5" s="14"/>
      <c r="AV5" s="18"/>
      <c r="AW5" s="19"/>
      <c r="AX5" s="19"/>
      <c r="AY5" s="19"/>
      <c r="AZ5" s="19"/>
      <c r="BA5" s="19"/>
      <c r="BB5" s="19"/>
      <c r="BC5" s="19"/>
      <c r="BD5" s="19"/>
      <c r="BE5" s="19"/>
      <c r="BF5" s="19"/>
      <c r="BG5" s="19"/>
      <c r="BH5" s="20"/>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W5" s="329"/>
      <c r="CX5" s="329"/>
      <c r="CY5" s="329"/>
      <c r="CZ5" s="329"/>
      <c r="DA5" s="329"/>
      <c r="DB5" s="329"/>
      <c r="DC5" s="329"/>
      <c r="DD5" s="329"/>
      <c r="DM5" s="329"/>
      <c r="DN5" s="329"/>
      <c r="DO5" s="329"/>
      <c r="DP5" s="329"/>
    </row>
    <row r="6" spans="2:120" ht="13.5" customHeight="1" thickBot="1">
      <c r="B6" s="18"/>
      <c r="C6" s="249" t="s">
        <v>238</v>
      </c>
      <c r="D6" s="250"/>
      <c r="E6" s="250"/>
      <c r="F6" s="250"/>
      <c r="G6" s="250"/>
      <c r="H6" s="250"/>
      <c r="I6" s="250"/>
      <c r="J6" s="251"/>
      <c r="K6" s="289">
        <v>6</v>
      </c>
      <c r="L6" s="290"/>
      <c r="M6" s="290"/>
      <c r="N6" s="342"/>
      <c r="O6" s="343"/>
      <c r="P6" s="343"/>
      <c r="Q6" s="343"/>
      <c r="R6" s="343"/>
      <c r="S6" s="343"/>
      <c r="T6" s="343"/>
      <c r="U6" s="343"/>
      <c r="V6" s="343"/>
      <c r="W6" s="339" t="str">
        <f t="shared" ref="W6:W39" si="0">IF(C6="","",VLOOKUP(C6,AdvantageChart,8,FALSE))</f>
        <v>+1 active defense bonus to Toughness per rank.</v>
      </c>
      <c r="X6" s="340"/>
      <c r="Y6" s="340"/>
      <c r="Z6" s="340"/>
      <c r="AA6" s="340"/>
      <c r="AB6" s="340"/>
      <c r="AC6" s="340"/>
      <c r="AD6" s="340"/>
      <c r="AE6" s="340"/>
      <c r="AF6" s="340"/>
      <c r="AG6" s="340"/>
      <c r="AH6" s="340"/>
      <c r="AI6" s="340"/>
      <c r="AJ6" s="340"/>
      <c r="AK6" s="340"/>
      <c r="AL6" s="340"/>
      <c r="AM6" s="341"/>
      <c r="AN6" s="325"/>
      <c r="AO6" s="326"/>
      <c r="AP6" s="327"/>
      <c r="AQ6" s="268" t="str">
        <f t="shared" ref="AQ6:AQ39" si="1">IF(C6="","",VLOOKUP(C6,AdvantageChart,32,FALSE))</f>
        <v>YES</v>
      </c>
      <c r="AR6" s="269"/>
      <c r="AS6" s="269"/>
      <c r="AT6" s="20"/>
      <c r="AU6" s="14"/>
      <c r="AV6" s="18"/>
      <c r="AW6" s="19" t="s">
        <v>27</v>
      </c>
      <c r="AX6" s="19"/>
      <c r="AY6" s="19"/>
      <c r="AZ6" s="19"/>
      <c r="BA6" s="19"/>
      <c r="BB6" s="19"/>
      <c r="BC6" s="19"/>
      <c r="BD6" s="19"/>
      <c r="BE6" s="252">
        <f>Abilities!$BF$6</f>
        <v>36</v>
      </c>
      <c r="BF6" s="253"/>
      <c r="BG6" s="254"/>
      <c r="BH6" s="20"/>
      <c r="BJ6" s="293">
        <f>IF($C6="Jack-of-All-Trades",1,0)</f>
        <v>0</v>
      </c>
      <c r="BK6" s="293"/>
      <c r="BL6" s="293"/>
      <c r="BM6" s="293"/>
      <c r="BN6" s="293">
        <f>IF($C6="Defensive Roll",VALUE($K6),0)</f>
        <v>6</v>
      </c>
      <c r="BO6" s="293"/>
      <c r="BP6" s="293"/>
      <c r="BQ6" s="293"/>
      <c r="BR6" s="328">
        <f>IF($C6="",0,IF(AN6="YES",0,IF(K6="",1,VALUE(K6))))</f>
        <v>6</v>
      </c>
      <c r="BS6" s="328"/>
      <c r="BT6" s="328"/>
      <c r="BU6" s="328"/>
      <c r="BV6" s="293">
        <f>IF($C6="Close Attack",VALUE($K6),0)</f>
        <v>0</v>
      </c>
      <c r="BW6" s="293"/>
      <c r="BX6" s="293"/>
      <c r="BY6" s="293"/>
      <c r="BZ6" s="293">
        <f>IF($C6="Ranged Attack",VALUE($K6),0)</f>
        <v>0</v>
      </c>
      <c r="CA6" s="293"/>
      <c r="CB6" s="293"/>
      <c r="CC6" s="293"/>
      <c r="CD6" s="293">
        <f>IF($C6="Equipment",VALUE($K6),0)</f>
        <v>0</v>
      </c>
      <c r="CE6" s="293"/>
      <c r="CF6" s="293"/>
      <c r="CG6" s="293"/>
      <c r="CH6" s="12" t="str">
        <f>IF(AN6="YES","*","")&amp;IF(C6="","",C6)&amp;IF(K6="",""," "&amp;K6)&amp;IF(N6="",""," ["&amp;N6&amp;"]")</f>
        <v>Defensive Roll 6</v>
      </c>
      <c r="CW6" s="293">
        <f>IF($C6="Improved Initiative",VALUE($K6),0)</f>
        <v>0</v>
      </c>
      <c r="CX6" s="293"/>
      <c r="CY6" s="293"/>
      <c r="CZ6" s="293"/>
      <c r="DA6" s="12" t="str">
        <f>IF(AN6="YES","[i]","")&amp;IF(C6="","",C6)&amp;IF(K6="",""," "&amp;K6)&amp;IF(N6="",""," ["&amp;N6&amp;"]")&amp;IF(AN6="YES","[/i]","")</f>
        <v>Defensive Roll 6</v>
      </c>
      <c r="DM6" s="12" t="str">
        <f>IF(AN6="YES","//","")&amp;IF(C6="","",C6)&amp;IF(K6="",""," "&amp;K6)&amp;IF(N6="",""," ["&amp;N6&amp;"]")&amp;IF(AN6="YES","//","")</f>
        <v>Defensive Roll 6</v>
      </c>
    </row>
    <row r="7" spans="2:120" ht="13.5" customHeight="1" thickBot="1">
      <c r="B7" s="18"/>
      <c r="C7" s="249" t="s">
        <v>312</v>
      </c>
      <c r="D7" s="250"/>
      <c r="E7" s="250"/>
      <c r="F7" s="250"/>
      <c r="G7" s="250"/>
      <c r="H7" s="250"/>
      <c r="I7" s="250"/>
      <c r="J7" s="251"/>
      <c r="K7" s="289">
        <v>3</v>
      </c>
      <c r="L7" s="290"/>
      <c r="M7" s="290"/>
      <c r="N7" s="342" t="s">
        <v>1320</v>
      </c>
      <c r="O7" s="343"/>
      <c r="P7" s="343"/>
      <c r="Q7" s="343"/>
      <c r="R7" s="343"/>
      <c r="S7" s="343"/>
      <c r="T7" s="343"/>
      <c r="U7" s="343"/>
      <c r="V7" s="343"/>
      <c r="W7" s="339" t="str">
        <f t="shared" si="0"/>
        <v>Gain a significant perquisite or fringe benefit.</v>
      </c>
      <c r="X7" s="340"/>
      <c r="Y7" s="340"/>
      <c r="Z7" s="340"/>
      <c r="AA7" s="340"/>
      <c r="AB7" s="340"/>
      <c r="AC7" s="340"/>
      <c r="AD7" s="340"/>
      <c r="AE7" s="340"/>
      <c r="AF7" s="340"/>
      <c r="AG7" s="340"/>
      <c r="AH7" s="340"/>
      <c r="AI7" s="340"/>
      <c r="AJ7" s="340"/>
      <c r="AK7" s="340"/>
      <c r="AL7" s="340"/>
      <c r="AM7" s="341"/>
      <c r="AN7" s="325"/>
      <c r="AO7" s="326"/>
      <c r="AP7" s="327"/>
      <c r="AQ7" s="268" t="str">
        <f t="shared" si="1"/>
        <v>YES</v>
      </c>
      <c r="AR7" s="269"/>
      <c r="AS7" s="269"/>
      <c r="AT7" s="20"/>
      <c r="AU7" s="14"/>
      <c r="AV7" s="18"/>
      <c r="AW7" s="19" t="s">
        <v>508</v>
      </c>
      <c r="AX7" s="19"/>
      <c r="AY7" s="19"/>
      <c r="AZ7" s="19"/>
      <c r="BA7" s="19"/>
      <c r="BB7" s="19"/>
      <c r="BC7" s="19"/>
      <c r="BD7" s="19"/>
      <c r="BE7" s="252">
        <f>Abilities!$BF$7</f>
        <v>31</v>
      </c>
      <c r="BF7" s="253"/>
      <c r="BG7" s="254"/>
      <c r="BH7" s="20"/>
      <c r="BJ7" s="293">
        <f t="shared" ref="BJ7:BJ39" si="2">IF($C7="Jack-of-All-Trades",1,0)</f>
        <v>0</v>
      </c>
      <c r="BK7" s="293"/>
      <c r="BL7" s="293"/>
      <c r="BM7" s="293"/>
      <c r="BN7" s="293">
        <f t="shared" ref="BN7:BN39" si="3">IF($C7="Defensive Roll",VALUE($K7),0)</f>
        <v>0</v>
      </c>
      <c r="BO7" s="293"/>
      <c r="BP7" s="293"/>
      <c r="BQ7" s="293"/>
      <c r="BR7" s="328">
        <f t="shared" ref="BR7:BR39" si="4">IF($C7="",0,IF(AN7="YES",0,IF(K7="",1,VALUE(K7))))</f>
        <v>3</v>
      </c>
      <c r="BS7" s="328"/>
      <c r="BT7" s="328"/>
      <c r="BU7" s="328"/>
      <c r="BV7" s="293">
        <f t="shared" ref="BV7:BV39" si="5">IF($C7="Close Attack",VALUE($K7),0)</f>
        <v>0</v>
      </c>
      <c r="BW7" s="293"/>
      <c r="BX7" s="293"/>
      <c r="BY7" s="293"/>
      <c r="BZ7" s="293">
        <f t="shared" ref="BZ7:BZ39" si="6">IF($C7="Ranged Attack",VALUE($K7),0)</f>
        <v>0</v>
      </c>
      <c r="CA7" s="293"/>
      <c r="CB7" s="293"/>
      <c r="CC7" s="293"/>
      <c r="CD7" s="293">
        <f t="shared" ref="CD7:CD39" si="7">IF($C7="Equipment",VALUE($K7),0)</f>
        <v>0</v>
      </c>
      <c r="CE7" s="293"/>
      <c r="CF7" s="293"/>
      <c r="CG7" s="293"/>
      <c r="CH7" s="12" t="str">
        <f>IF(C7="","",", "&amp;IF(AN7="YES","*","")&amp;C7)&amp;IF(K7="",""," "&amp;K7)&amp;IF(N7="",""," ["&amp;N7&amp;"]")</f>
        <v>, Benefit 3 [Yakuza Leader]</v>
      </c>
      <c r="CW7" s="293">
        <f t="shared" ref="CW7:CW39" si="8">IF($C7="Improved Initiative",VALUE($K7),0)</f>
        <v>0</v>
      </c>
      <c r="CX7" s="293"/>
      <c r="CY7" s="293"/>
      <c r="CZ7" s="293"/>
      <c r="DA7" s="12" t="str">
        <f>IF(C7="","",", "&amp;IF(AN7="YES","[i]","")&amp;C7)&amp;IF(K7="",""," "&amp;K7)&amp;IF(N7="",""," ["&amp;N7&amp;"]")&amp;IF(AN7="YES","[/i]","")</f>
        <v>, Benefit 3 [Yakuza Leader]</v>
      </c>
      <c r="DM7" s="12" t="str">
        <f>IF(C7="","",", "&amp;IF(AN7="YES","//","")&amp;C7)&amp;IF(K7="",""," "&amp;K7)&amp;IF(N7="",""," ["&amp;N7&amp;"]")&amp;IF(AN7="YES","//","")</f>
        <v>, Benefit 3 [Yakuza Leader]</v>
      </c>
    </row>
    <row r="8" spans="2:120" ht="13.5" customHeight="1" thickBot="1">
      <c r="B8" s="18"/>
      <c r="C8" s="249" t="s">
        <v>306</v>
      </c>
      <c r="D8" s="250"/>
      <c r="E8" s="250"/>
      <c r="F8" s="250"/>
      <c r="G8" s="250"/>
      <c r="H8" s="250"/>
      <c r="I8" s="250"/>
      <c r="J8" s="251"/>
      <c r="K8" s="289">
        <v>2</v>
      </c>
      <c r="L8" s="290"/>
      <c r="M8" s="290"/>
      <c r="N8" s="342"/>
      <c r="O8" s="343"/>
      <c r="P8" s="343"/>
      <c r="Q8" s="343"/>
      <c r="R8" s="343"/>
      <c r="S8" s="343"/>
      <c r="T8" s="343"/>
      <c r="U8" s="343"/>
      <c r="V8" s="343"/>
      <c r="W8" s="339" t="str">
        <f t="shared" si="0"/>
        <v>Circumstance bonus to interaction based on your looks.</v>
      </c>
      <c r="X8" s="340"/>
      <c r="Y8" s="340"/>
      <c r="Z8" s="340"/>
      <c r="AA8" s="340"/>
      <c r="AB8" s="340"/>
      <c r="AC8" s="340"/>
      <c r="AD8" s="340"/>
      <c r="AE8" s="340"/>
      <c r="AF8" s="340"/>
      <c r="AG8" s="340"/>
      <c r="AH8" s="340"/>
      <c r="AI8" s="340"/>
      <c r="AJ8" s="340"/>
      <c r="AK8" s="340"/>
      <c r="AL8" s="340"/>
      <c r="AM8" s="341"/>
      <c r="AN8" s="325"/>
      <c r="AO8" s="326"/>
      <c r="AP8" s="327"/>
      <c r="AQ8" s="268" t="str">
        <f t="shared" si="1"/>
        <v>YES</v>
      </c>
      <c r="AR8" s="269"/>
      <c r="AS8" s="269"/>
      <c r="AT8" s="20"/>
      <c r="AU8" s="14"/>
      <c r="AV8" s="18"/>
      <c r="AW8" s="19" t="str">
        <f>Skills!$AP$8</f>
        <v>Skills (66 ranks)</v>
      </c>
      <c r="AX8" s="19"/>
      <c r="AY8" s="19"/>
      <c r="AZ8" s="19"/>
      <c r="BA8" s="19"/>
      <c r="BB8" s="19"/>
      <c r="BC8" s="19"/>
      <c r="BD8" s="19"/>
      <c r="BE8" s="252">
        <f>Skills!$AX$8</f>
        <v>33</v>
      </c>
      <c r="BF8" s="253"/>
      <c r="BG8" s="254"/>
      <c r="BH8" s="20"/>
      <c r="BJ8" s="293">
        <f t="shared" si="2"/>
        <v>0</v>
      </c>
      <c r="BK8" s="293"/>
      <c r="BL8" s="293"/>
      <c r="BM8" s="293"/>
      <c r="BN8" s="293">
        <f t="shared" si="3"/>
        <v>0</v>
      </c>
      <c r="BO8" s="293"/>
      <c r="BP8" s="293"/>
      <c r="BQ8" s="293"/>
      <c r="BR8" s="328">
        <f t="shared" si="4"/>
        <v>2</v>
      </c>
      <c r="BS8" s="328"/>
      <c r="BT8" s="328"/>
      <c r="BU8" s="328"/>
      <c r="BV8" s="293">
        <f t="shared" si="5"/>
        <v>0</v>
      </c>
      <c r="BW8" s="293"/>
      <c r="BX8" s="293"/>
      <c r="BY8" s="293"/>
      <c r="BZ8" s="293">
        <f t="shared" si="6"/>
        <v>0</v>
      </c>
      <c r="CA8" s="293"/>
      <c r="CB8" s="293"/>
      <c r="CC8" s="293"/>
      <c r="CD8" s="293">
        <f t="shared" si="7"/>
        <v>0</v>
      </c>
      <c r="CE8" s="293"/>
      <c r="CF8" s="293"/>
      <c r="CG8" s="293"/>
      <c r="CH8" s="12" t="str">
        <f t="shared" ref="CH8:CH39" si="9">IF(C8="","",", "&amp;IF(AN8="YES","*","")&amp;C8)&amp;IF(K8="",""," "&amp;K8)&amp;IF(N8="",""," ["&amp;N8&amp;"]")</f>
        <v>, Attractive 2</v>
      </c>
      <c r="CW8" s="293">
        <f t="shared" si="8"/>
        <v>0</v>
      </c>
      <c r="CX8" s="293"/>
      <c r="CY8" s="293"/>
      <c r="CZ8" s="293"/>
      <c r="DA8" s="12" t="str">
        <f t="shared" ref="DA8:DA39" si="10">IF(C8="","",", "&amp;IF(AN8="YES","[i]","")&amp;C8)&amp;IF(K8="",""," "&amp;K8)&amp;IF(N8="",""," ["&amp;N8&amp;"]")&amp;IF(AN8="YES","[/i]","")</f>
        <v>, Attractive 2</v>
      </c>
      <c r="DM8" s="12" t="str">
        <f t="shared" ref="DM8:DM39" si="11">IF(C8="","",", "&amp;IF(AN8="YES","//","")&amp;C8)&amp;IF(K8="",""," "&amp;K8)&amp;IF(N8="",""," ["&amp;N8&amp;"]")&amp;IF(AN8="YES","//","")</f>
        <v>, Attractive 2</v>
      </c>
    </row>
    <row r="9" spans="2:120" ht="13.5" customHeight="1" thickBot="1">
      <c r="B9" s="18"/>
      <c r="C9" s="249" t="s">
        <v>320</v>
      </c>
      <c r="D9" s="250"/>
      <c r="E9" s="250"/>
      <c r="F9" s="250"/>
      <c r="G9" s="250"/>
      <c r="H9" s="250"/>
      <c r="I9" s="250"/>
      <c r="J9" s="251"/>
      <c r="K9" s="289">
        <v>2</v>
      </c>
      <c r="L9" s="290"/>
      <c r="M9" s="290"/>
      <c r="N9" s="342" t="s">
        <v>1321</v>
      </c>
      <c r="O9" s="343"/>
      <c r="P9" s="343"/>
      <c r="Q9" s="343"/>
      <c r="R9" s="343"/>
      <c r="S9" s="343"/>
      <c r="T9" s="343"/>
      <c r="U9" s="343"/>
      <c r="V9" s="343"/>
      <c r="W9" s="339" t="str">
        <f t="shared" si="0"/>
        <v>Use an interaction skill to entrance others.</v>
      </c>
      <c r="X9" s="340"/>
      <c r="Y9" s="340"/>
      <c r="Z9" s="340"/>
      <c r="AA9" s="340"/>
      <c r="AB9" s="340"/>
      <c r="AC9" s="340"/>
      <c r="AD9" s="340"/>
      <c r="AE9" s="340"/>
      <c r="AF9" s="340"/>
      <c r="AG9" s="340"/>
      <c r="AH9" s="340"/>
      <c r="AI9" s="340"/>
      <c r="AJ9" s="340"/>
      <c r="AK9" s="340"/>
      <c r="AL9" s="340"/>
      <c r="AM9" s="341"/>
      <c r="AN9" s="325"/>
      <c r="AO9" s="326"/>
      <c r="AP9" s="327"/>
      <c r="AQ9" s="268" t="str">
        <f t="shared" si="1"/>
        <v>YES</v>
      </c>
      <c r="AR9" s="269"/>
      <c r="AS9" s="269"/>
      <c r="AT9" s="20"/>
      <c r="AU9" s="14"/>
      <c r="AV9" s="18"/>
      <c r="AW9" s="19" t="s">
        <v>228</v>
      </c>
      <c r="AX9" s="19"/>
      <c r="AY9" s="19"/>
      <c r="AZ9" s="19"/>
      <c r="BA9" s="19"/>
      <c r="BB9" s="19"/>
      <c r="BC9" s="19"/>
      <c r="BD9" s="19"/>
      <c r="BE9" s="252">
        <f>BR40</f>
        <v>18</v>
      </c>
      <c r="BF9" s="253"/>
      <c r="BG9" s="254"/>
      <c r="BH9" s="20"/>
      <c r="BJ9" s="293">
        <f t="shared" si="2"/>
        <v>0</v>
      </c>
      <c r="BK9" s="293"/>
      <c r="BL9" s="293"/>
      <c r="BM9" s="293"/>
      <c r="BN9" s="293">
        <f t="shared" si="3"/>
        <v>0</v>
      </c>
      <c r="BO9" s="293"/>
      <c r="BP9" s="293"/>
      <c r="BQ9" s="293"/>
      <c r="BR9" s="328">
        <f t="shared" si="4"/>
        <v>2</v>
      </c>
      <c r="BS9" s="328"/>
      <c r="BT9" s="328"/>
      <c r="BU9" s="328"/>
      <c r="BV9" s="293">
        <f t="shared" si="5"/>
        <v>0</v>
      </c>
      <c r="BW9" s="293"/>
      <c r="BX9" s="293"/>
      <c r="BY9" s="293"/>
      <c r="BZ9" s="293">
        <f t="shared" si="6"/>
        <v>0</v>
      </c>
      <c r="CA9" s="293"/>
      <c r="CB9" s="293"/>
      <c r="CC9" s="293"/>
      <c r="CD9" s="293">
        <f t="shared" si="7"/>
        <v>0</v>
      </c>
      <c r="CE9" s="293"/>
      <c r="CF9" s="293"/>
      <c r="CG9" s="293"/>
      <c r="CH9" s="12" t="str">
        <f t="shared" si="9"/>
        <v>, Fascinate 2 [Persuasion/Deception]</v>
      </c>
      <c r="CW9" s="293">
        <f t="shared" si="8"/>
        <v>0</v>
      </c>
      <c r="CX9" s="293"/>
      <c r="CY9" s="293"/>
      <c r="CZ9" s="293"/>
      <c r="DA9" s="12" t="str">
        <f t="shared" si="10"/>
        <v>, Fascinate 2 [Persuasion/Deception]</v>
      </c>
      <c r="DM9" s="12" t="str">
        <f t="shared" si="11"/>
        <v>, Fascinate 2 [Persuasion/Deception]</v>
      </c>
    </row>
    <row r="10" spans="2:120" ht="13.5" customHeight="1" thickBot="1">
      <c r="B10" s="18"/>
      <c r="C10" s="249" t="s">
        <v>330</v>
      </c>
      <c r="D10" s="250"/>
      <c r="E10" s="250"/>
      <c r="F10" s="250"/>
      <c r="G10" s="250"/>
      <c r="H10" s="250"/>
      <c r="I10" s="250"/>
      <c r="J10" s="251"/>
      <c r="K10" s="289">
        <v>3</v>
      </c>
      <c r="L10" s="290"/>
      <c r="M10" s="290"/>
      <c r="N10" s="342" t="s">
        <v>1322</v>
      </c>
      <c r="O10" s="343"/>
      <c r="P10" s="343"/>
      <c r="Q10" s="343"/>
      <c r="R10" s="343"/>
      <c r="S10" s="343"/>
      <c r="T10" s="343"/>
      <c r="U10" s="343"/>
      <c r="V10" s="343"/>
      <c r="W10" s="339" t="str">
        <f t="shared" si="0"/>
        <v>Speak and understand additional languages.</v>
      </c>
      <c r="X10" s="340"/>
      <c r="Y10" s="340"/>
      <c r="Z10" s="340"/>
      <c r="AA10" s="340"/>
      <c r="AB10" s="340"/>
      <c r="AC10" s="340"/>
      <c r="AD10" s="340"/>
      <c r="AE10" s="340"/>
      <c r="AF10" s="340"/>
      <c r="AG10" s="340"/>
      <c r="AH10" s="340"/>
      <c r="AI10" s="340"/>
      <c r="AJ10" s="340"/>
      <c r="AK10" s="340"/>
      <c r="AL10" s="340"/>
      <c r="AM10" s="341"/>
      <c r="AN10" s="325"/>
      <c r="AO10" s="326"/>
      <c r="AP10" s="327"/>
      <c r="AQ10" s="268" t="str">
        <f t="shared" si="1"/>
        <v>YES</v>
      </c>
      <c r="AR10" s="269"/>
      <c r="AS10" s="269"/>
      <c r="AT10" s="20"/>
      <c r="AU10" s="14"/>
      <c r="AV10" s="18"/>
      <c r="AW10" s="19" t="s">
        <v>384</v>
      </c>
      <c r="AX10" s="19"/>
      <c r="AY10" s="19"/>
      <c r="AZ10" s="19"/>
      <c r="BA10" s="19"/>
      <c r="BB10" s="19"/>
      <c r="BC10" s="19"/>
      <c r="BD10" s="19"/>
      <c r="BE10" s="252">
        <f>Powers!AT10</f>
        <v>0</v>
      </c>
      <c r="BF10" s="253"/>
      <c r="BG10" s="254"/>
      <c r="BH10" s="20"/>
      <c r="BJ10" s="293">
        <f t="shared" si="2"/>
        <v>0</v>
      </c>
      <c r="BK10" s="293"/>
      <c r="BL10" s="293"/>
      <c r="BM10" s="293"/>
      <c r="BN10" s="293">
        <f t="shared" si="3"/>
        <v>0</v>
      </c>
      <c r="BO10" s="293"/>
      <c r="BP10" s="293"/>
      <c r="BQ10" s="293"/>
      <c r="BR10" s="328">
        <f t="shared" si="4"/>
        <v>3</v>
      </c>
      <c r="BS10" s="328"/>
      <c r="BT10" s="328"/>
      <c r="BU10" s="328"/>
      <c r="BV10" s="293">
        <f t="shared" si="5"/>
        <v>0</v>
      </c>
      <c r="BW10" s="293"/>
      <c r="BX10" s="293"/>
      <c r="BY10" s="293"/>
      <c r="BZ10" s="293">
        <f t="shared" si="6"/>
        <v>0</v>
      </c>
      <c r="CA10" s="293"/>
      <c r="CB10" s="293"/>
      <c r="CC10" s="293"/>
      <c r="CD10" s="293">
        <f t="shared" si="7"/>
        <v>0</v>
      </c>
      <c r="CE10" s="293"/>
      <c r="CF10" s="293"/>
      <c r="CG10" s="293"/>
      <c r="CH10" s="12" t="str">
        <f t="shared" si="9"/>
        <v>, Languages 3 [Japanese, English, Various]</v>
      </c>
      <c r="CW10" s="293">
        <f t="shared" si="8"/>
        <v>0</v>
      </c>
      <c r="CX10" s="293"/>
      <c r="CY10" s="293"/>
      <c r="CZ10" s="293"/>
      <c r="DA10" s="12" t="str">
        <f t="shared" si="10"/>
        <v>, Languages 3 [Japanese, English, Various]</v>
      </c>
      <c r="DM10" s="12" t="str">
        <f t="shared" si="11"/>
        <v>, Languages 3 [Japanese, English, Various]</v>
      </c>
    </row>
    <row r="11" spans="2:120" ht="13.5" customHeight="1" thickBot="1">
      <c r="B11" s="18"/>
      <c r="C11" s="249" t="s">
        <v>313</v>
      </c>
      <c r="D11" s="250"/>
      <c r="E11" s="250"/>
      <c r="F11" s="250"/>
      <c r="G11" s="250"/>
      <c r="H11" s="250"/>
      <c r="I11" s="250"/>
      <c r="J11" s="251"/>
      <c r="K11" s="289"/>
      <c r="L11" s="290"/>
      <c r="M11" s="290"/>
      <c r="N11" s="342"/>
      <c r="O11" s="343"/>
      <c r="P11" s="343"/>
      <c r="Q11" s="343"/>
      <c r="R11" s="343"/>
      <c r="S11" s="343"/>
      <c r="T11" s="343"/>
      <c r="U11" s="343"/>
      <c r="V11" s="343"/>
      <c r="W11" s="339" t="str">
        <f t="shared" si="0"/>
        <v>Call in assistance or favors with a Persuasion check.</v>
      </c>
      <c r="X11" s="340"/>
      <c r="Y11" s="340"/>
      <c r="Z11" s="340"/>
      <c r="AA11" s="340"/>
      <c r="AB11" s="340"/>
      <c r="AC11" s="340"/>
      <c r="AD11" s="340"/>
      <c r="AE11" s="340"/>
      <c r="AF11" s="340"/>
      <c r="AG11" s="340"/>
      <c r="AH11" s="340"/>
      <c r="AI11" s="340"/>
      <c r="AJ11" s="340"/>
      <c r="AK11" s="340"/>
      <c r="AL11" s="340"/>
      <c r="AM11" s="341"/>
      <c r="AN11" s="325"/>
      <c r="AO11" s="326"/>
      <c r="AP11" s="327"/>
      <c r="AQ11" s="268" t="str">
        <f t="shared" si="1"/>
        <v>NO</v>
      </c>
      <c r="AR11" s="269"/>
      <c r="AS11" s="269"/>
      <c r="AT11" s="20"/>
      <c r="AU11" s="14"/>
      <c r="AV11" s="18"/>
      <c r="AW11" s="19"/>
      <c r="AX11" s="19"/>
      <c r="AY11" s="19"/>
      <c r="AZ11" s="19"/>
      <c r="BA11" s="19"/>
      <c r="BB11" s="19"/>
      <c r="BC11" s="19"/>
      <c r="BD11" s="19"/>
      <c r="BE11" s="19"/>
      <c r="BF11" s="19"/>
      <c r="BG11" s="19"/>
      <c r="BH11" s="20"/>
      <c r="BJ11" s="293">
        <f t="shared" si="2"/>
        <v>0</v>
      </c>
      <c r="BK11" s="293"/>
      <c r="BL11" s="293"/>
      <c r="BM11" s="293"/>
      <c r="BN11" s="293">
        <f t="shared" si="3"/>
        <v>0</v>
      </c>
      <c r="BO11" s="293"/>
      <c r="BP11" s="293"/>
      <c r="BQ11" s="293"/>
      <c r="BR11" s="328">
        <f t="shared" si="4"/>
        <v>1</v>
      </c>
      <c r="BS11" s="328"/>
      <c r="BT11" s="328"/>
      <c r="BU11" s="328"/>
      <c r="BV11" s="293">
        <f t="shared" si="5"/>
        <v>0</v>
      </c>
      <c r="BW11" s="293"/>
      <c r="BX11" s="293"/>
      <c r="BY11" s="293"/>
      <c r="BZ11" s="293">
        <f t="shared" si="6"/>
        <v>0</v>
      </c>
      <c r="CA11" s="293"/>
      <c r="CB11" s="293"/>
      <c r="CC11" s="293"/>
      <c r="CD11" s="293">
        <f t="shared" si="7"/>
        <v>0</v>
      </c>
      <c r="CE11" s="293"/>
      <c r="CF11" s="293"/>
      <c r="CG11" s="293"/>
      <c r="CH11" s="12" t="str">
        <f t="shared" si="9"/>
        <v>, Connected</v>
      </c>
      <c r="CW11" s="293">
        <f t="shared" si="8"/>
        <v>0</v>
      </c>
      <c r="CX11" s="293"/>
      <c r="CY11" s="293"/>
      <c r="CZ11" s="293"/>
      <c r="DA11" s="12" t="str">
        <f t="shared" si="10"/>
        <v>, Connected</v>
      </c>
      <c r="DM11" s="12" t="str">
        <f t="shared" si="11"/>
        <v>, Connected</v>
      </c>
    </row>
    <row r="12" spans="2:120" ht="13.5" customHeight="1" thickBot="1">
      <c r="B12" s="18"/>
      <c r="C12" s="249" t="s">
        <v>345</v>
      </c>
      <c r="D12" s="250"/>
      <c r="E12" s="250"/>
      <c r="F12" s="250"/>
      <c r="G12" s="250"/>
      <c r="H12" s="250"/>
      <c r="I12" s="250"/>
      <c r="J12" s="251"/>
      <c r="K12" s="289"/>
      <c r="L12" s="290"/>
      <c r="M12" s="290"/>
      <c r="N12" s="342"/>
      <c r="O12" s="343"/>
      <c r="P12" s="343"/>
      <c r="Q12" s="343"/>
      <c r="R12" s="343"/>
      <c r="S12" s="343"/>
      <c r="T12" s="343"/>
      <c r="U12" s="343"/>
      <c r="V12" s="343"/>
      <c r="W12" s="339" t="str">
        <f t="shared" si="0"/>
        <v>Immediate Investigation or Persuasion check to know something.</v>
      </c>
      <c r="X12" s="340"/>
      <c r="Y12" s="340"/>
      <c r="Z12" s="340"/>
      <c r="AA12" s="340"/>
      <c r="AB12" s="340"/>
      <c r="AC12" s="340"/>
      <c r="AD12" s="340"/>
      <c r="AE12" s="340"/>
      <c r="AF12" s="340"/>
      <c r="AG12" s="340"/>
      <c r="AH12" s="340"/>
      <c r="AI12" s="340"/>
      <c r="AJ12" s="340"/>
      <c r="AK12" s="340"/>
      <c r="AL12" s="340"/>
      <c r="AM12" s="341"/>
      <c r="AN12" s="325"/>
      <c r="AO12" s="326"/>
      <c r="AP12" s="327"/>
      <c r="AQ12" s="268" t="str">
        <f t="shared" si="1"/>
        <v>NO</v>
      </c>
      <c r="AR12" s="269"/>
      <c r="AS12" s="269"/>
      <c r="AT12" s="20"/>
      <c r="AU12" s="14"/>
      <c r="AV12" s="18"/>
      <c r="AW12" s="19"/>
      <c r="AX12" s="19"/>
      <c r="AY12" s="19"/>
      <c r="AZ12" s="19"/>
      <c r="BA12" s="19"/>
      <c r="BB12" s="19"/>
      <c r="BC12" s="19"/>
      <c r="BD12" s="19"/>
      <c r="BE12" s="19"/>
      <c r="BF12" s="19"/>
      <c r="BG12" s="19"/>
      <c r="BH12" s="20"/>
      <c r="BJ12" s="293">
        <f t="shared" si="2"/>
        <v>0</v>
      </c>
      <c r="BK12" s="293"/>
      <c r="BL12" s="293"/>
      <c r="BM12" s="293"/>
      <c r="BN12" s="293">
        <f t="shared" si="3"/>
        <v>0</v>
      </c>
      <c r="BO12" s="293"/>
      <c r="BP12" s="293"/>
      <c r="BQ12" s="293"/>
      <c r="BR12" s="328">
        <f t="shared" si="4"/>
        <v>1</v>
      </c>
      <c r="BS12" s="328"/>
      <c r="BT12" s="328"/>
      <c r="BU12" s="328"/>
      <c r="BV12" s="293">
        <f t="shared" si="5"/>
        <v>0</v>
      </c>
      <c r="BW12" s="293"/>
      <c r="BX12" s="293"/>
      <c r="BY12" s="293"/>
      <c r="BZ12" s="293">
        <f t="shared" si="6"/>
        <v>0</v>
      </c>
      <c r="CA12" s="293"/>
      <c r="CB12" s="293"/>
      <c r="CC12" s="293"/>
      <c r="CD12" s="293">
        <f t="shared" si="7"/>
        <v>0</v>
      </c>
      <c r="CE12" s="293"/>
      <c r="CF12" s="293"/>
      <c r="CG12" s="293"/>
      <c r="CH12" s="12" t="str">
        <f t="shared" si="9"/>
        <v>, Well-Informed</v>
      </c>
      <c r="CW12" s="293">
        <f t="shared" si="8"/>
        <v>0</v>
      </c>
      <c r="CX12" s="293"/>
      <c r="CY12" s="293"/>
      <c r="CZ12" s="293"/>
      <c r="DA12" s="12" t="str">
        <f t="shared" si="10"/>
        <v>, Well-Informed</v>
      </c>
      <c r="DM12" s="12" t="str">
        <f t="shared" si="11"/>
        <v>, Well-Informed</v>
      </c>
    </row>
    <row r="13" spans="2:120" ht="13.5" customHeight="1" thickBot="1">
      <c r="B13" s="18"/>
      <c r="C13" s="249"/>
      <c r="D13" s="250"/>
      <c r="E13" s="250"/>
      <c r="F13" s="250"/>
      <c r="G13" s="250"/>
      <c r="H13" s="250"/>
      <c r="I13" s="250"/>
      <c r="J13" s="251"/>
      <c r="K13" s="289"/>
      <c r="L13" s="290"/>
      <c r="M13" s="290"/>
      <c r="N13" s="342"/>
      <c r="O13" s="343"/>
      <c r="P13" s="343"/>
      <c r="Q13" s="343"/>
      <c r="R13" s="343"/>
      <c r="S13" s="343"/>
      <c r="T13" s="343"/>
      <c r="U13" s="343"/>
      <c r="V13" s="343"/>
      <c r="W13" s="339" t="str">
        <f t="shared" si="0"/>
        <v/>
      </c>
      <c r="X13" s="340"/>
      <c r="Y13" s="340"/>
      <c r="Z13" s="340"/>
      <c r="AA13" s="340"/>
      <c r="AB13" s="340"/>
      <c r="AC13" s="340"/>
      <c r="AD13" s="340"/>
      <c r="AE13" s="340"/>
      <c r="AF13" s="340"/>
      <c r="AG13" s="340"/>
      <c r="AH13" s="340"/>
      <c r="AI13" s="340"/>
      <c r="AJ13" s="340"/>
      <c r="AK13" s="340"/>
      <c r="AL13" s="340"/>
      <c r="AM13" s="341"/>
      <c r="AN13" s="325"/>
      <c r="AO13" s="326"/>
      <c r="AP13" s="327"/>
      <c r="AQ13" s="268" t="str">
        <f t="shared" si="1"/>
        <v/>
      </c>
      <c r="AR13" s="269"/>
      <c r="AS13" s="269"/>
      <c r="AT13" s="20"/>
      <c r="AU13" s="14"/>
      <c r="AV13" s="18"/>
      <c r="AW13" s="19"/>
      <c r="AX13" s="19"/>
      <c r="AY13" s="19"/>
      <c r="AZ13" s="19"/>
      <c r="BA13" s="19"/>
      <c r="BB13" s="19"/>
      <c r="BC13" s="19"/>
      <c r="BD13" s="19"/>
      <c r="BE13" s="19"/>
      <c r="BF13" s="19"/>
      <c r="BG13" s="19"/>
      <c r="BH13" s="20"/>
      <c r="BJ13" s="293">
        <f t="shared" si="2"/>
        <v>0</v>
      </c>
      <c r="BK13" s="293"/>
      <c r="BL13" s="293"/>
      <c r="BM13" s="293"/>
      <c r="BN13" s="293">
        <f t="shared" si="3"/>
        <v>0</v>
      </c>
      <c r="BO13" s="293"/>
      <c r="BP13" s="293"/>
      <c r="BQ13" s="293"/>
      <c r="BR13" s="328">
        <f t="shared" si="4"/>
        <v>0</v>
      </c>
      <c r="BS13" s="328"/>
      <c r="BT13" s="328"/>
      <c r="BU13" s="328"/>
      <c r="BV13" s="293">
        <f t="shared" si="5"/>
        <v>0</v>
      </c>
      <c r="BW13" s="293"/>
      <c r="BX13" s="293"/>
      <c r="BY13" s="293"/>
      <c r="BZ13" s="293">
        <f t="shared" si="6"/>
        <v>0</v>
      </c>
      <c r="CA13" s="293"/>
      <c r="CB13" s="293"/>
      <c r="CC13" s="293"/>
      <c r="CD13" s="293">
        <f t="shared" si="7"/>
        <v>0</v>
      </c>
      <c r="CE13" s="293"/>
      <c r="CF13" s="293"/>
      <c r="CG13" s="293"/>
      <c r="CH13" s="12" t="str">
        <f t="shared" si="9"/>
        <v/>
      </c>
      <c r="CW13" s="293">
        <f t="shared" si="8"/>
        <v>0</v>
      </c>
      <c r="CX13" s="293"/>
      <c r="CY13" s="293"/>
      <c r="CZ13" s="293"/>
      <c r="DA13" s="12" t="str">
        <f t="shared" si="10"/>
        <v/>
      </c>
      <c r="DM13" s="12" t="str">
        <f t="shared" si="11"/>
        <v/>
      </c>
    </row>
    <row r="14" spans="2:120" ht="13.5" customHeight="1" thickBot="1">
      <c r="B14" s="18"/>
      <c r="C14" s="249"/>
      <c r="D14" s="250"/>
      <c r="E14" s="250"/>
      <c r="F14" s="250"/>
      <c r="G14" s="250"/>
      <c r="H14" s="250"/>
      <c r="I14" s="250"/>
      <c r="J14" s="251"/>
      <c r="K14" s="289"/>
      <c r="L14" s="290"/>
      <c r="M14" s="290"/>
      <c r="N14" s="342"/>
      <c r="O14" s="343"/>
      <c r="P14" s="343"/>
      <c r="Q14" s="343"/>
      <c r="R14" s="343"/>
      <c r="S14" s="343"/>
      <c r="T14" s="343"/>
      <c r="U14" s="343"/>
      <c r="V14" s="343"/>
      <c r="W14" s="339" t="str">
        <f t="shared" si="0"/>
        <v/>
      </c>
      <c r="X14" s="340"/>
      <c r="Y14" s="340"/>
      <c r="Z14" s="340"/>
      <c r="AA14" s="340"/>
      <c r="AB14" s="340"/>
      <c r="AC14" s="340"/>
      <c r="AD14" s="340"/>
      <c r="AE14" s="340"/>
      <c r="AF14" s="340"/>
      <c r="AG14" s="340"/>
      <c r="AH14" s="340"/>
      <c r="AI14" s="340"/>
      <c r="AJ14" s="340"/>
      <c r="AK14" s="340"/>
      <c r="AL14" s="340"/>
      <c r="AM14" s="341"/>
      <c r="AN14" s="325"/>
      <c r="AO14" s="326"/>
      <c r="AP14" s="327"/>
      <c r="AQ14" s="268" t="str">
        <f t="shared" si="1"/>
        <v/>
      </c>
      <c r="AR14" s="269"/>
      <c r="AS14" s="269"/>
      <c r="AT14" s="20"/>
      <c r="AU14" s="14"/>
      <c r="AV14" s="18"/>
      <c r="AW14" s="19" t="s">
        <v>615</v>
      </c>
      <c r="AX14" s="19"/>
      <c r="AY14" s="19"/>
      <c r="AZ14" s="19"/>
      <c r="BA14" s="19"/>
      <c r="BB14" s="19"/>
      <c r="BC14" s="19"/>
      <c r="BD14" s="19"/>
      <c r="BE14" s="252">
        <f>SUM(BE6:BG10)</f>
        <v>118</v>
      </c>
      <c r="BF14" s="253"/>
      <c r="BG14" s="254"/>
      <c r="BH14" s="20"/>
      <c r="BJ14" s="293">
        <f t="shared" si="2"/>
        <v>0</v>
      </c>
      <c r="BK14" s="293"/>
      <c r="BL14" s="293"/>
      <c r="BM14" s="293"/>
      <c r="BN14" s="293">
        <f t="shared" si="3"/>
        <v>0</v>
      </c>
      <c r="BO14" s="293"/>
      <c r="BP14" s="293"/>
      <c r="BQ14" s="293"/>
      <c r="BR14" s="328">
        <f t="shared" si="4"/>
        <v>0</v>
      </c>
      <c r="BS14" s="328"/>
      <c r="BT14" s="328"/>
      <c r="BU14" s="328"/>
      <c r="BV14" s="293">
        <f t="shared" si="5"/>
        <v>0</v>
      </c>
      <c r="BW14" s="293"/>
      <c r="BX14" s="293"/>
      <c r="BY14" s="293"/>
      <c r="BZ14" s="293">
        <f t="shared" si="6"/>
        <v>0</v>
      </c>
      <c r="CA14" s="293"/>
      <c r="CB14" s="293"/>
      <c r="CC14" s="293"/>
      <c r="CD14" s="293">
        <f t="shared" si="7"/>
        <v>0</v>
      </c>
      <c r="CE14" s="293"/>
      <c r="CF14" s="293"/>
      <c r="CG14" s="293"/>
      <c r="CH14" s="12" t="str">
        <f t="shared" si="9"/>
        <v/>
      </c>
      <c r="CW14" s="293">
        <f t="shared" si="8"/>
        <v>0</v>
      </c>
      <c r="CX14" s="293"/>
      <c r="CY14" s="293"/>
      <c r="CZ14" s="293"/>
      <c r="DA14" s="12" t="str">
        <f t="shared" si="10"/>
        <v/>
      </c>
      <c r="DM14" s="12" t="str">
        <f t="shared" si="11"/>
        <v/>
      </c>
    </row>
    <row r="15" spans="2:120" ht="13.5" customHeight="1" thickBot="1">
      <c r="B15" s="18"/>
      <c r="C15" s="249"/>
      <c r="D15" s="250"/>
      <c r="E15" s="250"/>
      <c r="F15" s="250"/>
      <c r="G15" s="250"/>
      <c r="H15" s="250"/>
      <c r="I15" s="250"/>
      <c r="J15" s="251"/>
      <c r="K15" s="289"/>
      <c r="L15" s="290"/>
      <c r="M15" s="290"/>
      <c r="N15" s="342"/>
      <c r="O15" s="343"/>
      <c r="P15" s="343"/>
      <c r="Q15" s="343"/>
      <c r="R15" s="343"/>
      <c r="S15" s="343"/>
      <c r="T15" s="343"/>
      <c r="U15" s="343"/>
      <c r="V15" s="343"/>
      <c r="W15" s="339" t="str">
        <f t="shared" si="0"/>
        <v/>
      </c>
      <c r="X15" s="340"/>
      <c r="Y15" s="340"/>
      <c r="Z15" s="340"/>
      <c r="AA15" s="340"/>
      <c r="AB15" s="340"/>
      <c r="AC15" s="340"/>
      <c r="AD15" s="340"/>
      <c r="AE15" s="340"/>
      <c r="AF15" s="340"/>
      <c r="AG15" s="340"/>
      <c r="AH15" s="340"/>
      <c r="AI15" s="340"/>
      <c r="AJ15" s="340"/>
      <c r="AK15" s="340"/>
      <c r="AL15" s="340"/>
      <c r="AM15" s="341"/>
      <c r="AN15" s="325"/>
      <c r="AO15" s="326"/>
      <c r="AP15" s="327"/>
      <c r="AQ15" s="268" t="str">
        <f t="shared" si="1"/>
        <v/>
      </c>
      <c r="AR15" s="269"/>
      <c r="AS15" s="269"/>
      <c r="AT15" s="20"/>
      <c r="AU15" s="14"/>
      <c r="AV15" s="21"/>
      <c r="AW15" s="22"/>
      <c r="AX15" s="22"/>
      <c r="AY15" s="22"/>
      <c r="AZ15" s="22"/>
      <c r="BA15" s="22"/>
      <c r="BB15" s="22"/>
      <c r="BC15" s="22"/>
      <c r="BD15" s="22"/>
      <c r="BE15" s="22"/>
      <c r="BF15" s="22"/>
      <c r="BG15" s="22"/>
      <c r="BH15" s="23"/>
      <c r="BJ15" s="293">
        <f t="shared" si="2"/>
        <v>0</v>
      </c>
      <c r="BK15" s="293"/>
      <c r="BL15" s="293"/>
      <c r="BM15" s="293"/>
      <c r="BN15" s="293">
        <f t="shared" si="3"/>
        <v>0</v>
      </c>
      <c r="BO15" s="293"/>
      <c r="BP15" s="293"/>
      <c r="BQ15" s="293"/>
      <c r="BR15" s="328">
        <f t="shared" si="4"/>
        <v>0</v>
      </c>
      <c r="BS15" s="328"/>
      <c r="BT15" s="328"/>
      <c r="BU15" s="328"/>
      <c r="BV15" s="293">
        <f t="shared" si="5"/>
        <v>0</v>
      </c>
      <c r="BW15" s="293"/>
      <c r="BX15" s="293"/>
      <c r="BY15" s="293"/>
      <c r="BZ15" s="293">
        <f t="shared" si="6"/>
        <v>0</v>
      </c>
      <c r="CA15" s="293"/>
      <c r="CB15" s="293"/>
      <c r="CC15" s="293"/>
      <c r="CD15" s="293">
        <f t="shared" si="7"/>
        <v>0</v>
      </c>
      <c r="CE15" s="293"/>
      <c r="CF15" s="293"/>
      <c r="CG15" s="293"/>
      <c r="CH15" s="12" t="str">
        <f t="shared" si="9"/>
        <v/>
      </c>
      <c r="CW15" s="293">
        <f t="shared" si="8"/>
        <v>0</v>
      </c>
      <c r="CX15" s="293"/>
      <c r="CY15" s="293"/>
      <c r="CZ15" s="293"/>
      <c r="DA15" s="12" t="str">
        <f t="shared" si="10"/>
        <v/>
      </c>
      <c r="DM15" s="12" t="str">
        <f t="shared" si="11"/>
        <v/>
      </c>
    </row>
    <row r="16" spans="2:120" ht="13.5" customHeight="1" thickBot="1">
      <c r="B16" s="18"/>
      <c r="C16" s="249"/>
      <c r="D16" s="250"/>
      <c r="E16" s="250"/>
      <c r="F16" s="250"/>
      <c r="G16" s="250"/>
      <c r="H16" s="250"/>
      <c r="I16" s="250"/>
      <c r="J16" s="251"/>
      <c r="K16" s="289"/>
      <c r="L16" s="290"/>
      <c r="M16" s="290"/>
      <c r="N16" s="342"/>
      <c r="O16" s="343"/>
      <c r="P16" s="343"/>
      <c r="Q16" s="343"/>
      <c r="R16" s="343"/>
      <c r="S16" s="343"/>
      <c r="T16" s="343"/>
      <c r="U16" s="343"/>
      <c r="V16" s="343"/>
      <c r="W16" s="339" t="str">
        <f t="shared" si="0"/>
        <v/>
      </c>
      <c r="X16" s="340"/>
      <c r="Y16" s="340"/>
      <c r="Z16" s="340"/>
      <c r="AA16" s="340"/>
      <c r="AB16" s="340"/>
      <c r="AC16" s="340"/>
      <c r="AD16" s="340"/>
      <c r="AE16" s="340"/>
      <c r="AF16" s="340"/>
      <c r="AG16" s="340"/>
      <c r="AH16" s="340"/>
      <c r="AI16" s="340"/>
      <c r="AJ16" s="340"/>
      <c r="AK16" s="340"/>
      <c r="AL16" s="340"/>
      <c r="AM16" s="341"/>
      <c r="AN16" s="325"/>
      <c r="AO16" s="326"/>
      <c r="AP16" s="327"/>
      <c r="AQ16" s="268" t="str">
        <f t="shared" si="1"/>
        <v/>
      </c>
      <c r="AR16" s="269"/>
      <c r="AS16" s="269"/>
      <c r="AT16" s="20"/>
      <c r="AU16" s="14"/>
      <c r="AV16" s="14"/>
      <c r="AW16" s="14"/>
      <c r="AX16" s="14"/>
      <c r="AY16" s="14"/>
      <c r="AZ16" s="14"/>
      <c r="BA16" s="14"/>
      <c r="BB16" s="14"/>
      <c r="BC16" s="14"/>
      <c r="BD16" s="14"/>
      <c r="BE16" s="14"/>
      <c r="BF16" s="14"/>
      <c r="BG16" s="14"/>
      <c r="BH16" s="14"/>
      <c r="BJ16" s="293">
        <f t="shared" si="2"/>
        <v>0</v>
      </c>
      <c r="BK16" s="293"/>
      <c r="BL16" s="293"/>
      <c r="BM16" s="293"/>
      <c r="BN16" s="293">
        <f t="shared" si="3"/>
        <v>0</v>
      </c>
      <c r="BO16" s="293"/>
      <c r="BP16" s="293"/>
      <c r="BQ16" s="293"/>
      <c r="BR16" s="328">
        <f t="shared" si="4"/>
        <v>0</v>
      </c>
      <c r="BS16" s="328"/>
      <c r="BT16" s="328"/>
      <c r="BU16" s="328"/>
      <c r="BV16" s="293">
        <f t="shared" si="5"/>
        <v>0</v>
      </c>
      <c r="BW16" s="293"/>
      <c r="BX16" s="293"/>
      <c r="BY16" s="293"/>
      <c r="BZ16" s="293">
        <f t="shared" si="6"/>
        <v>0</v>
      </c>
      <c r="CA16" s="293"/>
      <c r="CB16" s="293"/>
      <c r="CC16" s="293"/>
      <c r="CD16" s="293">
        <f t="shared" si="7"/>
        <v>0</v>
      </c>
      <c r="CE16" s="293"/>
      <c r="CF16" s="293"/>
      <c r="CG16" s="293"/>
      <c r="CH16" s="12" t="str">
        <f t="shared" si="9"/>
        <v/>
      </c>
      <c r="CW16" s="293">
        <f t="shared" si="8"/>
        <v>0</v>
      </c>
      <c r="CX16" s="293"/>
      <c r="CY16" s="293"/>
      <c r="CZ16" s="293"/>
      <c r="DA16" s="12" t="str">
        <f t="shared" si="10"/>
        <v/>
      </c>
      <c r="DM16" s="12" t="str">
        <f t="shared" si="11"/>
        <v/>
      </c>
    </row>
    <row r="17" spans="2:117" ht="13.5" customHeight="1" thickBot="1">
      <c r="B17" s="18"/>
      <c r="C17" s="249"/>
      <c r="D17" s="250"/>
      <c r="E17" s="250"/>
      <c r="F17" s="250"/>
      <c r="G17" s="250"/>
      <c r="H17" s="250"/>
      <c r="I17" s="250"/>
      <c r="J17" s="251"/>
      <c r="K17" s="289"/>
      <c r="L17" s="290"/>
      <c r="M17" s="290"/>
      <c r="N17" s="342"/>
      <c r="O17" s="343"/>
      <c r="P17" s="343"/>
      <c r="Q17" s="343"/>
      <c r="R17" s="343"/>
      <c r="S17" s="343"/>
      <c r="T17" s="343"/>
      <c r="U17" s="343"/>
      <c r="V17" s="343"/>
      <c r="W17" s="339" t="str">
        <f t="shared" si="0"/>
        <v/>
      </c>
      <c r="X17" s="340"/>
      <c r="Y17" s="340"/>
      <c r="Z17" s="340"/>
      <c r="AA17" s="340"/>
      <c r="AB17" s="340"/>
      <c r="AC17" s="340"/>
      <c r="AD17" s="340"/>
      <c r="AE17" s="340"/>
      <c r="AF17" s="340"/>
      <c r="AG17" s="340"/>
      <c r="AH17" s="340"/>
      <c r="AI17" s="340"/>
      <c r="AJ17" s="340"/>
      <c r="AK17" s="340"/>
      <c r="AL17" s="340"/>
      <c r="AM17" s="341"/>
      <c r="AN17" s="325"/>
      <c r="AO17" s="326"/>
      <c r="AP17" s="327"/>
      <c r="AQ17" s="268" t="str">
        <f t="shared" si="1"/>
        <v/>
      </c>
      <c r="AR17" s="269"/>
      <c r="AS17" s="269"/>
      <c r="AT17" s="20"/>
      <c r="AU17" s="14"/>
      <c r="AV17" s="14"/>
      <c r="AW17" s="14"/>
      <c r="AX17" s="14"/>
      <c r="AY17" s="14"/>
      <c r="AZ17" s="14"/>
      <c r="BA17" s="14"/>
      <c r="BB17" s="14"/>
      <c r="BC17" s="14"/>
      <c r="BD17" s="14"/>
      <c r="BE17" s="14"/>
      <c r="BF17" s="14"/>
      <c r="BG17" s="14"/>
      <c r="BH17" s="14"/>
      <c r="BJ17" s="293">
        <f t="shared" si="2"/>
        <v>0</v>
      </c>
      <c r="BK17" s="293"/>
      <c r="BL17" s="293"/>
      <c r="BM17" s="293"/>
      <c r="BN17" s="293">
        <f t="shared" si="3"/>
        <v>0</v>
      </c>
      <c r="BO17" s="293"/>
      <c r="BP17" s="293"/>
      <c r="BQ17" s="293"/>
      <c r="BR17" s="328">
        <f t="shared" si="4"/>
        <v>0</v>
      </c>
      <c r="BS17" s="328"/>
      <c r="BT17" s="328"/>
      <c r="BU17" s="328"/>
      <c r="BV17" s="293">
        <f t="shared" si="5"/>
        <v>0</v>
      </c>
      <c r="BW17" s="293"/>
      <c r="BX17" s="293"/>
      <c r="BY17" s="293"/>
      <c r="BZ17" s="293">
        <f t="shared" si="6"/>
        <v>0</v>
      </c>
      <c r="CA17" s="293"/>
      <c r="CB17" s="293"/>
      <c r="CC17" s="293"/>
      <c r="CD17" s="293">
        <f t="shared" si="7"/>
        <v>0</v>
      </c>
      <c r="CE17" s="293"/>
      <c r="CF17" s="293"/>
      <c r="CG17" s="293"/>
      <c r="CH17" s="12" t="str">
        <f t="shared" si="9"/>
        <v/>
      </c>
      <c r="CW17" s="293">
        <f t="shared" si="8"/>
        <v>0</v>
      </c>
      <c r="CX17" s="293"/>
      <c r="CY17" s="293"/>
      <c r="CZ17" s="293"/>
      <c r="DA17" s="12" t="str">
        <f t="shared" si="10"/>
        <v/>
      </c>
      <c r="DM17" s="12" t="str">
        <f t="shared" si="11"/>
        <v/>
      </c>
    </row>
    <row r="18" spans="2:117" ht="13.5" customHeight="1" thickBot="1">
      <c r="B18" s="18"/>
      <c r="C18" s="249"/>
      <c r="D18" s="250"/>
      <c r="E18" s="250"/>
      <c r="F18" s="250"/>
      <c r="G18" s="250"/>
      <c r="H18" s="250"/>
      <c r="I18" s="250"/>
      <c r="J18" s="251"/>
      <c r="K18" s="289"/>
      <c r="L18" s="290"/>
      <c r="M18" s="290"/>
      <c r="N18" s="342"/>
      <c r="O18" s="343"/>
      <c r="P18" s="343"/>
      <c r="Q18" s="343"/>
      <c r="R18" s="343"/>
      <c r="S18" s="343"/>
      <c r="T18" s="343"/>
      <c r="U18" s="343"/>
      <c r="V18" s="343"/>
      <c r="W18" s="339" t="str">
        <f t="shared" si="0"/>
        <v/>
      </c>
      <c r="X18" s="340"/>
      <c r="Y18" s="340"/>
      <c r="Z18" s="340"/>
      <c r="AA18" s="340"/>
      <c r="AB18" s="340"/>
      <c r="AC18" s="340"/>
      <c r="AD18" s="340"/>
      <c r="AE18" s="340"/>
      <c r="AF18" s="340"/>
      <c r="AG18" s="340"/>
      <c r="AH18" s="340"/>
      <c r="AI18" s="340"/>
      <c r="AJ18" s="340"/>
      <c r="AK18" s="340"/>
      <c r="AL18" s="340"/>
      <c r="AM18" s="341"/>
      <c r="AN18" s="325"/>
      <c r="AO18" s="326"/>
      <c r="AP18" s="327"/>
      <c r="AQ18" s="268" t="str">
        <f t="shared" si="1"/>
        <v/>
      </c>
      <c r="AR18" s="269"/>
      <c r="AS18" s="269"/>
      <c r="AT18" s="20"/>
      <c r="AU18" s="14"/>
      <c r="AV18" s="14"/>
      <c r="AW18" s="14"/>
      <c r="AX18" s="14"/>
      <c r="AY18" s="14"/>
      <c r="AZ18" s="14"/>
      <c r="BA18" s="14"/>
      <c r="BB18" s="14"/>
      <c r="BC18" s="14"/>
      <c r="BD18" s="14"/>
      <c r="BE18" s="14"/>
      <c r="BF18" s="14"/>
      <c r="BG18" s="14"/>
      <c r="BH18" s="14"/>
      <c r="BJ18" s="293">
        <f t="shared" si="2"/>
        <v>0</v>
      </c>
      <c r="BK18" s="293"/>
      <c r="BL18" s="293"/>
      <c r="BM18" s="293"/>
      <c r="BN18" s="293">
        <f t="shared" si="3"/>
        <v>0</v>
      </c>
      <c r="BO18" s="293"/>
      <c r="BP18" s="293"/>
      <c r="BQ18" s="293"/>
      <c r="BR18" s="328">
        <f t="shared" si="4"/>
        <v>0</v>
      </c>
      <c r="BS18" s="328"/>
      <c r="BT18" s="328"/>
      <c r="BU18" s="328"/>
      <c r="BV18" s="293">
        <f t="shared" si="5"/>
        <v>0</v>
      </c>
      <c r="BW18" s="293"/>
      <c r="BX18" s="293"/>
      <c r="BY18" s="293"/>
      <c r="BZ18" s="293">
        <f t="shared" si="6"/>
        <v>0</v>
      </c>
      <c r="CA18" s="293"/>
      <c r="CB18" s="293"/>
      <c r="CC18" s="293"/>
      <c r="CD18" s="293">
        <f t="shared" si="7"/>
        <v>0</v>
      </c>
      <c r="CE18" s="293"/>
      <c r="CF18" s="293"/>
      <c r="CG18" s="293"/>
      <c r="CH18" s="12" t="str">
        <f t="shared" si="9"/>
        <v/>
      </c>
      <c r="CW18" s="293">
        <f t="shared" si="8"/>
        <v>0</v>
      </c>
      <c r="CX18" s="293"/>
      <c r="CY18" s="293"/>
      <c r="CZ18" s="293"/>
      <c r="DA18" s="12" t="str">
        <f t="shared" si="10"/>
        <v/>
      </c>
      <c r="DM18" s="12" t="str">
        <f t="shared" si="11"/>
        <v/>
      </c>
    </row>
    <row r="19" spans="2:117" ht="13.5" customHeight="1" thickBot="1">
      <c r="B19" s="18"/>
      <c r="C19" s="249"/>
      <c r="D19" s="250"/>
      <c r="E19" s="250"/>
      <c r="F19" s="250"/>
      <c r="G19" s="250"/>
      <c r="H19" s="250"/>
      <c r="I19" s="250"/>
      <c r="J19" s="251"/>
      <c r="K19" s="289"/>
      <c r="L19" s="290"/>
      <c r="M19" s="290"/>
      <c r="N19" s="342"/>
      <c r="O19" s="343"/>
      <c r="P19" s="343"/>
      <c r="Q19" s="343"/>
      <c r="R19" s="343"/>
      <c r="S19" s="343"/>
      <c r="T19" s="343"/>
      <c r="U19" s="343"/>
      <c r="V19" s="343"/>
      <c r="W19" s="339" t="str">
        <f t="shared" si="0"/>
        <v/>
      </c>
      <c r="X19" s="340"/>
      <c r="Y19" s="340"/>
      <c r="Z19" s="340"/>
      <c r="AA19" s="340"/>
      <c r="AB19" s="340"/>
      <c r="AC19" s="340"/>
      <c r="AD19" s="340"/>
      <c r="AE19" s="340"/>
      <c r="AF19" s="340"/>
      <c r="AG19" s="340"/>
      <c r="AH19" s="340"/>
      <c r="AI19" s="340"/>
      <c r="AJ19" s="340"/>
      <c r="AK19" s="340"/>
      <c r="AL19" s="340"/>
      <c r="AM19" s="341"/>
      <c r="AN19" s="325"/>
      <c r="AO19" s="326"/>
      <c r="AP19" s="327"/>
      <c r="AQ19" s="268" t="str">
        <f t="shared" si="1"/>
        <v/>
      </c>
      <c r="AR19" s="269"/>
      <c r="AS19" s="269"/>
      <c r="AT19" s="20"/>
      <c r="AU19" s="14"/>
      <c r="AV19" s="14"/>
      <c r="AW19" s="14"/>
      <c r="AX19" s="14"/>
      <c r="AY19" s="14"/>
      <c r="AZ19" s="14"/>
      <c r="BA19" s="14"/>
      <c r="BB19" s="14"/>
      <c r="BC19" s="14"/>
      <c r="BD19" s="14"/>
      <c r="BE19" s="14"/>
      <c r="BF19" s="14"/>
      <c r="BG19" s="14"/>
      <c r="BH19" s="14"/>
      <c r="BJ19" s="293">
        <f t="shared" si="2"/>
        <v>0</v>
      </c>
      <c r="BK19" s="293"/>
      <c r="BL19" s="293"/>
      <c r="BM19" s="293"/>
      <c r="BN19" s="293">
        <f t="shared" si="3"/>
        <v>0</v>
      </c>
      <c r="BO19" s="293"/>
      <c r="BP19" s="293"/>
      <c r="BQ19" s="293"/>
      <c r="BR19" s="328">
        <f t="shared" si="4"/>
        <v>0</v>
      </c>
      <c r="BS19" s="328"/>
      <c r="BT19" s="328"/>
      <c r="BU19" s="328"/>
      <c r="BV19" s="293">
        <f t="shared" si="5"/>
        <v>0</v>
      </c>
      <c r="BW19" s="293"/>
      <c r="BX19" s="293"/>
      <c r="BY19" s="293"/>
      <c r="BZ19" s="293">
        <f t="shared" si="6"/>
        <v>0</v>
      </c>
      <c r="CA19" s="293"/>
      <c r="CB19" s="293"/>
      <c r="CC19" s="293"/>
      <c r="CD19" s="293">
        <f t="shared" si="7"/>
        <v>0</v>
      </c>
      <c r="CE19" s="293"/>
      <c r="CF19" s="293"/>
      <c r="CG19" s="293"/>
      <c r="CH19" s="12" t="str">
        <f t="shared" si="9"/>
        <v/>
      </c>
      <c r="CW19" s="293">
        <f t="shared" si="8"/>
        <v>0</v>
      </c>
      <c r="CX19" s="293"/>
      <c r="CY19" s="293"/>
      <c r="CZ19" s="293"/>
      <c r="DA19" s="12" t="str">
        <f t="shared" si="10"/>
        <v/>
      </c>
      <c r="DM19" s="12" t="str">
        <f t="shared" si="11"/>
        <v/>
      </c>
    </row>
    <row r="20" spans="2:117" ht="13.5" customHeight="1" thickBot="1">
      <c r="B20" s="18"/>
      <c r="C20" s="249"/>
      <c r="D20" s="250"/>
      <c r="E20" s="250"/>
      <c r="F20" s="250"/>
      <c r="G20" s="250"/>
      <c r="H20" s="250"/>
      <c r="I20" s="250"/>
      <c r="J20" s="251"/>
      <c r="K20" s="289"/>
      <c r="L20" s="290"/>
      <c r="M20" s="290"/>
      <c r="N20" s="342"/>
      <c r="O20" s="343"/>
      <c r="P20" s="343"/>
      <c r="Q20" s="343"/>
      <c r="R20" s="343"/>
      <c r="S20" s="343"/>
      <c r="T20" s="343"/>
      <c r="U20" s="343"/>
      <c r="V20" s="343"/>
      <c r="W20" s="339" t="str">
        <f t="shared" si="0"/>
        <v/>
      </c>
      <c r="X20" s="340"/>
      <c r="Y20" s="340"/>
      <c r="Z20" s="340"/>
      <c r="AA20" s="340"/>
      <c r="AB20" s="340"/>
      <c r="AC20" s="340"/>
      <c r="AD20" s="340"/>
      <c r="AE20" s="340"/>
      <c r="AF20" s="340"/>
      <c r="AG20" s="340"/>
      <c r="AH20" s="340"/>
      <c r="AI20" s="340"/>
      <c r="AJ20" s="340"/>
      <c r="AK20" s="340"/>
      <c r="AL20" s="340"/>
      <c r="AM20" s="341"/>
      <c r="AN20" s="325"/>
      <c r="AO20" s="326"/>
      <c r="AP20" s="327"/>
      <c r="AQ20" s="268" t="str">
        <f t="shared" si="1"/>
        <v/>
      </c>
      <c r="AR20" s="269"/>
      <c r="AS20" s="269"/>
      <c r="AT20" s="20"/>
      <c r="AU20" s="14"/>
      <c r="AV20" s="14"/>
      <c r="AW20" s="14"/>
      <c r="AX20" s="14"/>
      <c r="AY20" s="14"/>
      <c r="AZ20" s="14"/>
      <c r="BA20" s="14"/>
      <c r="BB20" s="14"/>
      <c r="BC20" s="14"/>
      <c r="BD20" s="14"/>
      <c r="BE20" s="14"/>
      <c r="BF20" s="14"/>
      <c r="BG20" s="14"/>
      <c r="BH20" s="14"/>
      <c r="BJ20" s="293">
        <f t="shared" si="2"/>
        <v>0</v>
      </c>
      <c r="BK20" s="293"/>
      <c r="BL20" s="293"/>
      <c r="BM20" s="293"/>
      <c r="BN20" s="293">
        <f t="shared" si="3"/>
        <v>0</v>
      </c>
      <c r="BO20" s="293"/>
      <c r="BP20" s="293"/>
      <c r="BQ20" s="293"/>
      <c r="BR20" s="328">
        <f t="shared" si="4"/>
        <v>0</v>
      </c>
      <c r="BS20" s="328"/>
      <c r="BT20" s="328"/>
      <c r="BU20" s="328"/>
      <c r="BV20" s="293">
        <f t="shared" si="5"/>
        <v>0</v>
      </c>
      <c r="BW20" s="293"/>
      <c r="BX20" s="293"/>
      <c r="BY20" s="293"/>
      <c r="BZ20" s="293">
        <f t="shared" si="6"/>
        <v>0</v>
      </c>
      <c r="CA20" s="293"/>
      <c r="CB20" s="293"/>
      <c r="CC20" s="293"/>
      <c r="CD20" s="293">
        <f t="shared" si="7"/>
        <v>0</v>
      </c>
      <c r="CE20" s="293"/>
      <c r="CF20" s="293"/>
      <c r="CG20" s="293"/>
      <c r="CH20" s="12" t="str">
        <f t="shared" si="9"/>
        <v/>
      </c>
      <c r="CW20" s="293">
        <f t="shared" si="8"/>
        <v>0</v>
      </c>
      <c r="CX20" s="293"/>
      <c r="CY20" s="293"/>
      <c r="CZ20" s="293"/>
      <c r="DA20" s="12" t="str">
        <f t="shared" si="10"/>
        <v/>
      </c>
      <c r="DM20" s="12" t="str">
        <f t="shared" si="11"/>
        <v/>
      </c>
    </row>
    <row r="21" spans="2:117" ht="13.5" customHeight="1" thickBot="1">
      <c r="B21" s="18"/>
      <c r="C21" s="249"/>
      <c r="D21" s="250"/>
      <c r="E21" s="250"/>
      <c r="F21" s="250"/>
      <c r="G21" s="250"/>
      <c r="H21" s="250"/>
      <c r="I21" s="250"/>
      <c r="J21" s="251"/>
      <c r="K21" s="289"/>
      <c r="L21" s="290"/>
      <c r="M21" s="290"/>
      <c r="N21" s="342"/>
      <c r="O21" s="343"/>
      <c r="P21" s="343"/>
      <c r="Q21" s="343"/>
      <c r="R21" s="343"/>
      <c r="S21" s="343"/>
      <c r="T21" s="343"/>
      <c r="U21" s="343"/>
      <c r="V21" s="343"/>
      <c r="W21" s="339" t="str">
        <f t="shared" si="0"/>
        <v/>
      </c>
      <c r="X21" s="340"/>
      <c r="Y21" s="340"/>
      <c r="Z21" s="340"/>
      <c r="AA21" s="340"/>
      <c r="AB21" s="340"/>
      <c r="AC21" s="340"/>
      <c r="AD21" s="340"/>
      <c r="AE21" s="340"/>
      <c r="AF21" s="340"/>
      <c r="AG21" s="340"/>
      <c r="AH21" s="340"/>
      <c r="AI21" s="340"/>
      <c r="AJ21" s="340"/>
      <c r="AK21" s="340"/>
      <c r="AL21" s="340"/>
      <c r="AM21" s="341"/>
      <c r="AN21" s="325"/>
      <c r="AO21" s="326"/>
      <c r="AP21" s="327"/>
      <c r="AQ21" s="268" t="str">
        <f t="shared" si="1"/>
        <v/>
      </c>
      <c r="AR21" s="269"/>
      <c r="AS21" s="269"/>
      <c r="AT21" s="20"/>
      <c r="AU21" s="14"/>
      <c r="AV21" s="14"/>
      <c r="AW21" s="14"/>
      <c r="AX21" s="14"/>
      <c r="AY21" s="14"/>
      <c r="AZ21" s="14"/>
      <c r="BA21" s="14"/>
      <c r="BB21" s="14"/>
      <c r="BC21" s="14"/>
      <c r="BD21" s="14"/>
      <c r="BE21" s="14"/>
      <c r="BF21" s="14"/>
      <c r="BG21" s="14"/>
      <c r="BH21" s="14"/>
      <c r="BJ21" s="293">
        <f t="shared" si="2"/>
        <v>0</v>
      </c>
      <c r="BK21" s="293"/>
      <c r="BL21" s="293"/>
      <c r="BM21" s="293"/>
      <c r="BN21" s="293">
        <f t="shared" si="3"/>
        <v>0</v>
      </c>
      <c r="BO21" s="293"/>
      <c r="BP21" s="293"/>
      <c r="BQ21" s="293"/>
      <c r="BR21" s="328">
        <f t="shared" si="4"/>
        <v>0</v>
      </c>
      <c r="BS21" s="328"/>
      <c r="BT21" s="328"/>
      <c r="BU21" s="328"/>
      <c r="BV21" s="293">
        <f t="shared" si="5"/>
        <v>0</v>
      </c>
      <c r="BW21" s="293"/>
      <c r="BX21" s="293"/>
      <c r="BY21" s="293"/>
      <c r="BZ21" s="293">
        <f t="shared" si="6"/>
        <v>0</v>
      </c>
      <c r="CA21" s="293"/>
      <c r="CB21" s="293"/>
      <c r="CC21" s="293"/>
      <c r="CD21" s="293">
        <f t="shared" si="7"/>
        <v>0</v>
      </c>
      <c r="CE21" s="293"/>
      <c r="CF21" s="293"/>
      <c r="CG21" s="293"/>
      <c r="CH21" s="12" t="str">
        <f t="shared" si="9"/>
        <v/>
      </c>
      <c r="CW21" s="293">
        <f t="shared" si="8"/>
        <v>0</v>
      </c>
      <c r="CX21" s="293"/>
      <c r="CY21" s="293"/>
      <c r="CZ21" s="293"/>
      <c r="DA21" s="12" t="str">
        <f t="shared" si="10"/>
        <v/>
      </c>
      <c r="DM21" s="12" t="str">
        <f t="shared" si="11"/>
        <v/>
      </c>
    </row>
    <row r="22" spans="2:117" ht="13.5" customHeight="1" thickBot="1">
      <c r="B22" s="18"/>
      <c r="C22" s="249"/>
      <c r="D22" s="250"/>
      <c r="E22" s="250"/>
      <c r="F22" s="250"/>
      <c r="G22" s="250"/>
      <c r="H22" s="250"/>
      <c r="I22" s="250"/>
      <c r="J22" s="251"/>
      <c r="K22" s="289"/>
      <c r="L22" s="290"/>
      <c r="M22" s="290"/>
      <c r="N22" s="342"/>
      <c r="O22" s="343"/>
      <c r="P22" s="343"/>
      <c r="Q22" s="343"/>
      <c r="R22" s="343"/>
      <c r="S22" s="343"/>
      <c r="T22" s="343"/>
      <c r="U22" s="343"/>
      <c r="V22" s="343"/>
      <c r="W22" s="339" t="str">
        <f t="shared" si="0"/>
        <v/>
      </c>
      <c r="X22" s="340"/>
      <c r="Y22" s="340"/>
      <c r="Z22" s="340"/>
      <c r="AA22" s="340"/>
      <c r="AB22" s="340"/>
      <c r="AC22" s="340"/>
      <c r="AD22" s="340"/>
      <c r="AE22" s="340"/>
      <c r="AF22" s="340"/>
      <c r="AG22" s="340"/>
      <c r="AH22" s="340"/>
      <c r="AI22" s="340"/>
      <c r="AJ22" s="340"/>
      <c r="AK22" s="340"/>
      <c r="AL22" s="340"/>
      <c r="AM22" s="341"/>
      <c r="AN22" s="325"/>
      <c r="AO22" s="326"/>
      <c r="AP22" s="327"/>
      <c r="AQ22" s="268" t="str">
        <f t="shared" si="1"/>
        <v/>
      </c>
      <c r="AR22" s="269"/>
      <c r="AS22" s="269"/>
      <c r="AT22" s="20"/>
      <c r="AU22" s="14"/>
      <c r="AV22" s="14"/>
      <c r="AW22" s="14"/>
      <c r="AX22" s="14"/>
      <c r="AY22" s="14"/>
      <c r="AZ22" s="14"/>
      <c r="BA22" s="14"/>
      <c r="BB22" s="14"/>
      <c r="BC22" s="14"/>
      <c r="BD22" s="14"/>
      <c r="BE22" s="14"/>
      <c r="BF22" s="14"/>
      <c r="BG22" s="14"/>
      <c r="BH22" s="14"/>
      <c r="BJ22" s="293">
        <f t="shared" si="2"/>
        <v>0</v>
      </c>
      <c r="BK22" s="293"/>
      <c r="BL22" s="293"/>
      <c r="BM22" s="293"/>
      <c r="BN22" s="293">
        <f t="shared" si="3"/>
        <v>0</v>
      </c>
      <c r="BO22" s="293"/>
      <c r="BP22" s="293"/>
      <c r="BQ22" s="293"/>
      <c r="BR22" s="328">
        <f t="shared" si="4"/>
        <v>0</v>
      </c>
      <c r="BS22" s="328"/>
      <c r="BT22" s="328"/>
      <c r="BU22" s="328"/>
      <c r="BV22" s="293">
        <f t="shared" si="5"/>
        <v>0</v>
      </c>
      <c r="BW22" s="293"/>
      <c r="BX22" s="293"/>
      <c r="BY22" s="293"/>
      <c r="BZ22" s="293">
        <f t="shared" si="6"/>
        <v>0</v>
      </c>
      <c r="CA22" s="293"/>
      <c r="CB22" s="293"/>
      <c r="CC22" s="293"/>
      <c r="CD22" s="293">
        <f t="shared" si="7"/>
        <v>0</v>
      </c>
      <c r="CE22" s="293"/>
      <c r="CF22" s="293"/>
      <c r="CG22" s="293"/>
      <c r="CH22" s="12" t="str">
        <f t="shared" si="9"/>
        <v/>
      </c>
      <c r="CW22" s="293">
        <f t="shared" si="8"/>
        <v>0</v>
      </c>
      <c r="CX22" s="293"/>
      <c r="CY22" s="293"/>
      <c r="CZ22" s="293"/>
      <c r="DA22" s="12" t="str">
        <f t="shared" si="10"/>
        <v/>
      </c>
      <c r="DM22" s="12" t="str">
        <f t="shared" si="11"/>
        <v/>
      </c>
    </row>
    <row r="23" spans="2:117" ht="13.5" customHeight="1" thickBot="1">
      <c r="B23" s="18"/>
      <c r="C23" s="249"/>
      <c r="D23" s="250"/>
      <c r="E23" s="250"/>
      <c r="F23" s="250"/>
      <c r="G23" s="250"/>
      <c r="H23" s="250"/>
      <c r="I23" s="250"/>
      <c r="J23" s="251"/>
      <c r="K23" s="289"/>
      <c r="L23" s="290"/>
      <c r="M23" s="290"/>
      <c r="N23" s="342"/>
      <c r="O23" s="343"/>
      <c r="P23" s="343"/>
      <c r="Q23" s="343"/>
      <c r="R23" s="343"/>
      <c r="S23" s="343"/>
      <c r="T23" s="343"/>
      <c r="U23" s="343"/>
      <c r="V23" s="343"/>
      <c r="W23" s="339" t="str">
        <f t="shared" si="0"/>
        <v/>
      </c>
      <c r="X23" s="340"/>
      <c r="Y23" s="340"/>
      <c r="Z23" s="340"/>
      <c r="AA23" s="340"/>
      <c r="AB23" s="340"/>
      <c r="AC23" s="340"/>
      <c r="AD23" s="340"/>
      <c r="AE23" s="340"/>
      <c r="AF23" s="340"/>
      <c r="AG23" s="340"/>
      <c r="AH23" s="340"/>
      <c r="AI23" s="340"/>
      <c r="AJ23" s="340"/>
      <c r="AK23" s="340"/>
      <c r="AL23" s="340"/>
      <c r="AM23" s="341"/>
      <c r="AN23" s="325"/>
      <c r="AO23" s="326"/>
      <c r="AP23" s="327"/>
      <c r="AQ23" s="268" t="str">
        <f t="shared" si="1"/>
        <v/>
      </c>
      <c r="AR23" s="269"/>
      <c r="AS23" s="269"/>
      <c r="AT23" s="20"/>
      <c r="AU23" s="14"/>
      <c r="AV23" s="14"/>
      <c r="AW23" s="14"/>
      <c r="AX23" s="14"/>
      <c r="AY23" s="14"/>
      <c r="AZ23" s="14"/>
      <c r="BA23" s="14"/>
      <c r="BB23" s="14"/>
      <c r="BC23" s="14"/>
      <c r="BD23" s="14"/>
      <c r="BE23" s="14"/>
      <c r="BF23" s="14"/>
      <c r="BG23" s="14"/>
      <c r="BH23" s="14"/>
      <c r="BJ23" s="293">
        <f t="shared" si="2"/>
        <v>0</v>
      </c>
      <c r="BK23" s="293"/>
      <c r="BL23" s="293"/>
      <c r="BM23" s="293"/>
      <c r="BN23" s="293">
        <f t="shared" si="3"/>
        <v>0</v>
      </c>
      <c r="BO23" s="293"/>
      <c r="BP23" s="293"/>
      <c r="BQ23" s="293"/>
      <c r="BR23" s="328">
        <f t="shared" si="4"/>
        <v>0</v>
      </c>
      <c r="BS23" s="328"/>
      <c r="BT23" s="328"/>
      <c r="BU23" s="328"/>
      <c r="BV23" s="293">
        <f t="shared" si="5"/>
        <v>0</v>
      </c>
      <c r="BW23" s="293"/>
      <c r="BX23" s="293"/>
      <c r="BY23" s="293"/>
      <c r="BZ23" s="293">
        <f t="shared" si="6"/>
        <v>0</v>
      </c>
      <c r="CA23" s="293"/>
      <c r="CB23" s="293"/>
      <c r="CC23" s="293"/>
      <c r="CD23" s="293">
        <f t="shared" si="7"/>
        <v>0</v>
      </c>
      <c r="CE23" s="293"/>
      <c r="CF23" s="293"/>
      <c r="CG23" s="293"/>
      <c r="CH23" s="12" t="str">
        <f t="shared" si="9"/>
        <v/>
      </c>
      <c r="CW23" s="293">
        <f t="shared" si="8"/>
        <v>0</v>
      </c>
      <c r="CX23" s="293"/>
      <c r="CY23" s="293"/>
      <c r="CZ23" s="293"/>
      <c r="DA23" s="12" t="str">
        <f t="shared" si="10"/>
        <v/>
      </c>
      <c r="DM23" s="12" t="str">
        <f t="shared" si="11"/>
        <v/>
      </c>
    </row>
    <row r="24" spans="2:117" ht="13.5" customHeight="1" thickBot="1">
      <c r="B24" s="18"/>
      <c r="C24" s="249"/>
      <c r="D24" s="250"/>
      <c r="E24" s="250"/>
      <c r="F24" s="250"/>
      <c r="G24" s="250"/>
      <c r="H24" s="250"/>
      <c r="I24" s="250"/>
      <c r="J24" s="251"/>
      <c r="K24" s="289"/>
      <c r="L24" s="290"/>
      <c r="M24" s="290"/>
      <c r="N24" s="342"/>
      <c r="O24" s="343"/>
      <c r="P24" s="343"/>
      <c r="Q24" s="343"/>
      <c r="R24" s="343"/>
      <c r="S24" s="343"/>
      <c r="T24" s="343"/>
      <c r="U24" s="343"/>
      <c r="V24" s="343"/>
      <c r="W24" s="339" t="str">
        <f t="shared" si="0"/>
        <v/>
      </c>
      <c r="X24" s="340"/>
      <c r="Y24" s="340"/>
      <c r="Z24" s="340"/>
      <c r="AA24" s="340"/>
      <c r="AB24" s="340"/>
      <c r="AC24" s="340"/>
      <c r="AD24" s="340"/>
      <c r="AE24" s="340"/>
      <c r="AF24" s="340"/>
      <c r="AG24" s="340"/>
      <c r="AH24" s="340"/>
      <c r="AI24" s="340"/>
      <c r="AJ24" s="340"/>
      <c r="AK24" s="340"/>
      <c r="AL24" s="340"/>
      <c r="AM24" s="341"/>
      <c r="AN24" s="325"/>
      <c r="AO24" s="326"/>
      <c r="AP24" s="327"/>
      <c r="AQ24" s="268" t="str">
        <f t="shared" si="1"/>
        <v/>
      </c>
      <c r="AR24" s="269"/>
      <c r="AS24" s="269"/>
      <c r="AT24" s="20"/>
      <c r="AU24" s="14"/>
      <c r="AV24" s="14"/>
      <c r="AW24" s="14"/>
      <c r="AX24" s="14"/>
      <c r="AY24" s="14"/>
      <c r="AZ24" s="14"/>
      <c r="BA24" s="14"/>
      <c r="BB24" s="14"/>
      <c r="BC24" s="14"/>
      <c r="BD24" s="14"/>
      <c r="BE24" s="14"/>
      <c r="BF24" s="14"/>
      <c r="BG24" s="14"/>
      <c r="BH24" s="14"/>
      <c r="BJ24" s="293">
        <f t="shared" si="2"/>
        <v>0</v>
      </c>
      <c r="BK24" s="293"/>
      <c r="BL24" s="293"/>
      <c r="BM24" s="293"/>
      <c r="BN24" s="293">
        <f t="shared" si="3"/>
        <v>0</v>
      </c>
      <c r="BO24" s="293"/>
      <c r="BP24" s="293"/>
      <c r="BQ24" s="293"/>
      <c r="BR24" s="328">
        <f t="shared" si="4"/>
        <v>0</v>
      </c>
      <c r="BS24" s="328"/>
      <c r="BT24" s="328"/>
      <c r="BU24" s="328"/>
      <c r="BV24" s="293">
        <f t="shared" si="5"/>
        <v>0</v>
      </c>
      <c r="BW24" s="293"/>
      <c r="BX24" s="293"/>
      <c r="BY24" s="293"/>
      <c r="BZ24" s="293">
        <f t="shared" si="6"/>
        <v>0</v>
      </c>
      <c r="CA24" s="293"/>
      <c r="CB24" s="293"/>
      <c r="CC24" s="293"/>
      <c r="CD24" s="293">
        <f t="shared" si="7"/>
        <v>0</v>
      </c>
      <c r="CE24" s="293"/>
      <c r="CF24" s="293"/>
      <c r="CG24" s="293"/>
      <c r="CH24" s="12" t="str">
        <f t="shared" si="9"/>
        <v/>
      </c>
      <c r="CW24" s="293">
        <f t="shared" si="8"/>
        <v>0</v>
      </c>
      <c r="CX24" s="293"/>
      <c r="CY24" s="293"/>
      <c r="CZ24" s="293"/>
      <c r="DA24" s="12" t="str">
        <f t="shared" si="10"/>
        <v/>
      </c>
      <c r="DM24" s="12" t="str">
        <f t="shared" si="11"/>
        <v/>
      </c>
    </row>
    <row r="25" spans="2:117" ht="13.5" customHeight="1" thickBot="1">
      <c r="B25" s="18"/>
      <c r="C25" s="249"/>
      <c r="D25" s="250"/>
      <c r="E25" s="250"/>
      <c r="F25" s="250"/>
      <c r="G25" s="250"/>
      <c r="H25" s="250"/>
      <c r="I25" s="250"/>
      <c r="J25" s="251"/>
      <c r="K25" s="289"/>
      <c r="L25" s="290"/>
      <c r="M25" s="290"/>
      <c r="N25" s="342"/>
      <c r="O25" s="343"/>
      <c r="P25" s="343"/>
      <c r="Q25" s="343"/>
      <c r="R25" s="343"/>
      <c r="S25" s="343"/>
      <c r="T25" s="343"/>
      <c r="U25" s="343"/>
      <c r="V25" s="343"/>
      <c r="W25" s="339" t="str">
        <f t="shared" si="0"/>
        <v/>
      </c>
      <c r="X25" s="340"/>
      <c r="Y25" s="340"/>
      <c r="Z25" s="340"/>
      <c r="AA25" s="340"/>
      <c r="AB25" s="340"/>
      <c r="AC25" s="340"/>
      <c r="AD25" s="340"/>
      <c r="AE25" s="340"/>
      <c r="AF25" s="340"/>
      <c r="AG25" s="340"/>
      <c r="AH25" s="340"/>
      <c r="AI25" s="340"/>
      <c r="AJ25" s="340"/>
      <c r="AK25" s="340"/>
      <c r="AL25" s="340"/>
      <c r="AM25" s="341"/>
      <c r="AN25" s="325"/>
      <c r="AO25" s="326"/>
      <c r="AP25" s="327"/>
      <c r="AQ25" s="268" t="str">
        <f t="shared" si="1"/>
        <v/>
      </c>
      <c r="AR25" s="269"/>
      <c r="AS25" s="269"/>
      <c r="AT25" s="20"/>
      <c r="AU25" s="14"/>
      <c r="AV25" s="14"/>
      <c r="AW25" s="14"/>
      <c r="AX25" s="14"/>
      <c r="AY25" s="14"/>
      <c r="AZ25" s="14"/>
      <c r="BA25" s="14"/>
      <c r="BB25" s="14"/>
      <c r="BC25" s="14"/>
      <c r="BD25" s="14"/>
      <c r="BE25" s="14"/>
      <c r="BF25" s="14"/>
      <c r="BG25" s="14"/>
      <c r="BH25" s="14"/>
      <c r="BJ25" s="293">
        <f t="shared" si="2"/>
        <v>0</v>
      </c>
      <c r="BK25" s="293"/>
      <c r="BL25" s="293"/>
      <c r="BM25" s="293"/>
      <c r="BN25" s="293">
        <f t="shared" si="3"/>
        <v>0</v>
      </c>
      <c r="BO25" s="293"/>
      <c r="BP25" s="293"/>
      <c r="BQ25" s="293"/>
      <c r="BR25" s="328">
        <f t="shared" si="4"/>
        <v>0</v>
      </c>
      <c r="BS25" s="328"/>
      <c r="BT25" s="328"/>
      <c r="BU25" s="328"/>
      <c r="BV25" s="293">
        <f t="shared" si="5"/>
        <v>0</v>
      </c>
      <c r="BW25" s="293"/>
      <c r="BX25" s="293"/>
      <c r="BY25" s="293"/>
      <c r="BZ25" s="293">
        <f t="shared" si="6"/>
        <v>0</v>
      </c>
      <c r="CA25" s="293"/>
      <c r="CB25" s="293"/>
      <c r="CC25" s="293"/>
      <c r="CD25" s="293">
        <f t="shared" si="7"/>
        <v>0</v>
      </c>
      <c r="CE25" s="293"/>
      <c r="CF25" s="293"/>
      <c r="CG25" s="293"/>
      <c r="CH25" s="12" t="str">
        <f t="shared" si="9"/>
        <v/>
      </c>
      <c r="CW25" s="293">
        <f t="shared" si="8"/>
        <v>0</v>
      </c>
      <c r="CX25" s="293"/>
      <c r="CY25" s="293"/>
      <c r="CZ25" s="293"/>
      <c r="DA25" s="12" t="str">
        <f t="shared" si="10"/>
        <v/>
      </c>
      <c r="DM25" s="12" t="str">
        <f t="shared" si="11"/>
        <v/>
      </c>
    </row>
    <row r="26" spans="2:117" ht="13.5" customHeight="1" thickBot="1">
      <c r="B26" s="18"/>
      <c r="C26" s="249"/>
      <c r="D26" s="250"/>
      <c r="E26" s="250"/>
      <c r="F26" s="250"/>
      <c r="G26" s="250"/>
      <c r="H26" s="250"/>
      <c r="I26" s="250"/>
      <c r="J26" s="251"/>
      <c r="K26" s="289"/>
      <c r="L26" s="290"/>
      <c r="M26" s="290"/>
      <c r="N26" s="342"/>
      <c r="O26" s="343"/>
      <c r="P26" s="343"/>
      <c r="Q26" s="343"/>
      <c r="R26" s="343"/>
      <c r="S26" s="343"/>
      <c r="T26" s="343"/>
      <c r="U26" s="343"/>
      <c r="V26" s="343"/>
      <c r="W26" s="339" t="str">
        <f t="shared" si="0"/>
        <v/>
      </c>
      <c r="X26" s="340"/>
      <c r="Y26" s="340"/>
      <c r="Z26" s="340"/>
      <c r="AA26" s="340"/>
      <c r="AB26" s="340"/>
      <c r="AC26" s="340"/>
      <c r="AD26" s="340"/>
      <c r="AE26" s="340"/>
      <c r="AF26" s="340"/>
      <c r="AG26" s="340"/>
      <c r="AH26" s="340"/>
      <c r="AI26" s="340"/>
      <c r="AJ26" s="340"/>
      <c r="AK26" s="340"/>
      <c r="AL26" s="340"/>
      <c r="AM26" s="341"/>
      <c r="AN26" s="325"/>
      <c r="AO26" s="326"/>
      <c r="AP26" s="327"/>
      <c r="AQ26" s="268" t="str">
        <f t="shared" si="1"/>
        <v/>
      </c>
      <c r="AR26" s="269"/>
      <c r="AS26" s="269"/>
      <c r="AT26" s="20"/>
      <c r="AU26" s="14"/>
      <c r="AV26" s="14"/>
      <c r="AW26" s="14"/>
      <c r="AX26" s="14"/>
      <c r="AY26" s="14"/>
      <c r="AZ26" s="14"/>
      <c r="BA26" s="14"/>
      <c r="BB26" s="14"/>
      <c r="BC26" s="14"/>
      <c r="BD26" s="14"/>
      <c r="BE26" s="14"/>
      <c r="BF26" s="14"/>
      <c r="BG26" s="14"/>
      <c r="BH26" s="14"/>
      <c r="BJ26" s="293">
        <f t="shared" si="2"/>
        <v>0</v>
      </c>
      <c r="BK26" s="293"/>
      <c r="BL26" s="293"/>
      <c r="BM26" s="293"/>
      <c r="BN26" s="293">
        <f t="shared" si="3"/>
        <v>0</v>
      </c>
      <c r="BO26" s="293"/>
      <c r="BP26" s="293"/>
      <c r="BQ26" s="293"/>
      <c r="BR26" s="328">
        <f t="shared" si="4"/>
        <v>0</v>
      </c>
      <c r="BS26" s="328"/>
      <c r="BT26" s="328"/>
      <c r="BU26" s="328"/>
      <c r="BV26" s="293">
        <f t="shared" si="5"/>
        <v>0</v>
      </c>
      <c r="BW26" s="293"/>
      <c r="BX26" s="293"/>
      <c r="BY26" s="293"/>
      <c r="BZ26" s="293">
        <f t="shared" si="6"/>
        <v>0</v>
      </c>
      <c r="CA26" s="293"/>
      <c r="CB26" s="293"/>
      <c r="CC26" s="293"/>
      <c r="CD26" s="293">
        <f t="shared" si="7"/>
        <v>0</v>
      </c>
      <c r="CE26" s="293"/>
      <c r="CF26" s="293"/>
      <c r="CG26" s="293"/>
      <c r="CH26" s="12" t="str">
        <f t="shared" si="9"/>
        <v/>
      </c>
      <c r="CW26" s="293">
        <f t="shared" si="8"/>
        <v>0</v>
      </c>
      <c r="CX26" s="293"/>
      <c r="CY26" s="293"/>
      <c r="CZ26" s="293"/>
      <c r="DA26" s="12" t="str">
        <f t="shared" si="10"/>
        <v/>
      </c>
      <c r="DM26" s="12" t="str">
        <f t="shared" si="11"/>
        <v/>
      </c>
    </row>
    <row r="27" spans="2:117" ht="13.5" customHeight="1" thickBot="1">
      <c r="B27" s="18"/>
      <c r="C27" s="249"/>
      <c r="D27" s="250"/>
      <c r="E27" s="250"/>
      <c r="F27" s="250"/>
      <c r="G27" s="250"/>
      <c r="H27" s="250"/>
      <c r="I27" s="250"/>
      <c r="J27" s="251"/>
      <c r="K27" s="289"/>
      <c r="L27" s="290"/>
      <c r="M27" s="290"/>
      <c r="N27" s="342"/>
      <c r="O27" s="343"/>
      <c r="P27" s="343"/>
      <c r="Q27" s="343"/>
      <c r="R27" s="343"/>
      <c r="S27" s="343"/>
      <c r="T27" s="343"/>
      <c r="U27" s="343"/>
      <c r="V27" s="343"/>
      <c r="W27" s="339" t="str">
        <f t="shared" si="0"/>
        <v/>
      </c>
      <c r="X27" s="340"/>
      <c r="Y27" s="340"/>
      <c r="Z27" s="340"/>
      <c r="AA27" s="340"/>
      <c r="AB27" s="340"/>
      <c r="AC27" s="340"/>
      <c r="AD27" s="340"/>
      <c r="AE27" s="340"/>
      <c r="AF27" s="340"/>
      <c r="AG27" s="340"/>
      <c r="AH27" s="340"/>
      <c r="AI27" s="340"/>
      <c r="AJ27" s="340"/>
      <c r="AK27" s="340"/>
      <c r="AL27" s="340"/>
      <c r="AM27" s="341"/>
      <c r="AN27" s="325"/>
      <c r="AO27" s="326"/>
      <c r="AP27" s="327"/>
      <c r="AQ27" s="268" t="str">
        <f t="shared" si="1"/>
        <v/>
      </c>
      <c r="AR27" s="269"/>
      <c r="AS27" s="269"/>
      <c r="AT27" s="20"/>
      <c r="AU27" s="14"/>
      <c r="AV27" s="14"/>
      <c r="AW27" s="14"/>
      <c r="AX27" s="14"/>
      <c r="AY27" s="14"/>
      <c r="AZ27" s="14"/>
      <c r="BA27" s="14"/>
      <c r="BB27" s="14"/>
      <c r="BC27" s="14"/>
      <c r="BD27" s="14"/>
      <c r="BE27" s="14"/>
      <c r="BF27" s="14"/>
      <c r="BG27" s="14"/>
      <c r="BH27" s="14"/>
      <c r="BJ27" s="293">
        <f t="shared" si="2"/>
        <v>0</v>
      </c>
      <c r="BK27" s="293"/>
      <c r="BL27" s="293"/>
      <c r="BM27" s="293"/>
      <c r="BN27" s="293">
        <f t="shared" si="3"/>
        <v>0</v>
      </c>
      <c r="BO27" s="293"/>
      <c r="BP27" s="293"/>
      <c r="BQ27" s="293"/>
      <c r="BR27" s="328">
        <f t="shared" si="4"/>
        <v>0</v>
      </c>
      <c r="BS27" s="328"/>
      <c r="BT27" s="328"/>
      <c r="BU27" s="328"/>
      <c r="BV27" s="293">
        <f t="shared" si="5"/>
        <v>0</v>
      </c>
      <c r="BW27" s="293"/>
      <c r="BX27" s="293"/>
      <c r="BY27" s="293"/>
      <c r="BZ27" s="293">
        <f t="shared" si="6"/>
        <v>0</v>
      </c>
      <c r="CA27" s="293"/>
      <c r="CB27" s="293"/>
      <c r="CC27" s="293"/>
      <c r="CD27" s="293">
        <f t="shared" si="7"/>
        <v>0</v>
      </c>
      <c r="CE27" s="293"/>
      <c r="CF27" s="293"/>
      <c r="CG27" s="293"/>
      <c r="CH27" s="12" t="str">
        <f t="shared" si="9"/>
        <v/>
      </c>
      <c r="CW27" s="293">
        <f t="shared" si="8"/>
        <v>0</v>
      </c>
      <c r="CX27" s="293"/>
      <c r="CY27" s="293"/>
      <c r="CZ27" s="293"/>
      <c r="DA27" s="12" t="str">
        <f t="shared" si="10"/>
        <v/>
      </c>
      <c r="DM27" s="12" t="str">
        <f t="shared" si="11"/>
        <v/>
      </c>
    </row>
    <row r="28" spans="2:117" ht="13.5" customHeight="1" thickBot="1">
      <c r="B28" s="18"/>
      <c r="C28" s="249"/>
      <c r="D28" s="250"/>
      <c r="E28" s="250"/>
      <c r="F28" s="250"/>
      <c r="G28" s="250"/>
      <c r="H28" s="250"/>
      <c r="I28" s="250"/>
      <c r="J28" s="251"/>
      <c r="K28" s="289"/>
      <c r="L28" s="290"/>
      <c r="M28" s="290"/>
      <c r="N28" s="342"/>
      <c r="O28" s="343"/>
      <c r="P28" s="343"/>
      <c r="Q28" s="343"/>
      <c r="R28" s="343"/>
      <c r="S28" s="343"/>
      <c r="T28" s="343"/>
      <c r="U28" s="343"/>
      <c r="V28" s="343"/>
      <c r="W28" s="339" t="str">
        <f t="shared" si="0"/>
        <v/>
      </c>
      <c r="X28" s="340"/>
      <c r="Y28" s="340"/>
      <c r="Z28" s="340"/>
      <c r="AA28" s="340"/>
      <c r="AB28" s="340"/>
      <c r="AC28" s="340"/>
      <c r="AD28" s="340"/>
      <c r="AE28" s="340"/>
      <c r="AF28" s="340"/>
      <c r="AG28" s="340"/>
      <c r="AH28" s="340"/>
      <c r="AI28" s="340"/>
      <c r="AJ28" s="340"/>
      <c r="AK28" s="340"/>
      <c r="AL28" s="340"/>
      <c r="AM28" s="341"/>
      <c r="AN28" s="325"/>
      <c r="AO28" s="326"/>
      <c r="AP28" s="327"/>
      <c r="AQ28" s="268" t="str">
        <f t="shared" si="1"/>
        <v/>
      </c>
      <c r="AR28" s="269"/>
      <c r="AS28" s="269"/>
      <c r="AT28" s="20"/>
      <c r="AU28" s="14"/>
      <c r="AV28" s="14"/>
      <c r="AW28" s="14"/>
      <c r="AX28" s="14"/>
      <c r="AY28" s="14"/>
      <c r="AZ28" s="14"/>
      <c r="BA28" s="14"/>
      <c r="BB28" s="14"/>
      <c r="BC28" s="14"/>
      <c r="BD28" s="14"/>
      <c r="BE28" s="14"/>
      <c r="BF28" s="14"/>
      <c r="BG28" s="14"/>
      <c r="BH28" s="14"/>
      <c r="BJ28" s="293">
        <f t="shared" si="2"/>
        <v>0</v>
      </c>
      <c r="BK28" s="293"/>
      <c r="BL28" s="293"/>
      <c r="BM28" s="293"/>
      <c r="BN28" s="293">
        <f t="shared" si="3"/>
        <v>0</v>
      </c>
      <c r="BO28" s="293"/>
      <c r="BP28" s="293"/>
      <c r="BQ28" s="293"/>
      <c r="BR28" s="328">
        <f t="shared" si="4"/>
        <v>0</v>
      </c>
      <c r="BS28" s="328"/>
      <c r="BT28" s="328"/>
      <c r="BU28" s="328"/>
      <c r="BV28" s="293">
        <f t="shared" si="5"/>
        <v>0</v>
      </c>
      <c r="BW28" s="293"/>
      <c r="BX28" s="293"/>
      <c r="BY28" s="293"/>
      <c r="BZ28" s="293">
        <f t="shared" si="6"/>
        <v>0</v>
      </c>
      <c r="CA28" s="293"/>
      <c r="CB28" s="293"/>
      <c r="CC28" s="293"/>
      <c r="CD28" s="293">
        <f t="shared" si="7"/>
        <v>0</v>
      </c>
      <c r="CE28" s="293"/>
      <c r="CF28" s="293"/>
      <c r="CG28" s="293"/>
      <c r="CH28" s="12" t="str">
        <f t="shared" si="9"/>
        <v/>
      </c>
      <c r="CW28" s="293">
        <f t="shared" si="8"/>
        <v>0</v>
      </c>
      <c r="CX28" s="293"/>
      <c r="CY28" s="293"/>
      <c r="CZ28" s="293"/>
      <c r="DA28" s="12" t="str">
        <f t="shared" si="10"/>
        <v/>
      </c>
      <c r="DM28" s="12" t="str">
        <f t="shared" si="11"/>
        <v/>
      </c>
    </row>
    <row r="29" spans="2:117" ht="13.5" customHeight="1" thickBot="1">
      <c r="B29" s="18"/>
      <c r="C29" s="249"/>
      <c r="D29" s="250"/>
      <c r="E29" s="250"/>
      <c r="F29" s="250"/>
      <c r="G29" s="250"/>
      <c r="H29" s="250"/>
      <c r="I29" s="250"/>
      <c r="J29" s="251"/>
      <c r="K29" s="289"/>
      <c r="L29" s="290"/>
      <c r="M29" s="290"/>
      <c r="N29" s="342"/>
      <c r="O29" s="343"/>
      <c r="P29" s="343"/>
      <c r="Q29" s="343"/>
      <c r="R29" s="343"/>
      <c r="S29" s="343"/>
      <c r="T29" s="343"/>
      <c r="U29" s="343"/>
      <c r="V29" s="343"/>
      <c r="W29" s="339" t="str">
        <f t="shared" si="0"/>
        <v/>
      </c>
      <c r="X29" s="340"/>
      <c r="Y29" s="340"/>
      <c r="Z29" s="340"/>
      <c r="AA29" s="340"/>
      <c r="AB29" s="340"/>
      <c r="AC29" s="340"/>
      <c r="AD29" s="340"/>
      <c r="AE29" s="340"/>
      <c r="AF29" s="340"/>
      <c r="AG29" s="340"/>
      <c r="AH29" s="340"/>
      <c r="AI29" s="340"/>
      <c r="AJ29" s="340"/>
      <c r="AK29" s="340"/>
      <c r="AL29" s="340"/>
      <c r="AM29" s="341"/>
      <c r="AN29" s="325"/>
      <c r="AO29" s="326"/>
      <c r="AP29" s="327"/>
      <c r="AQ29" s="268" t="str">
        <f t="shared" si="1"/>
        <v/>
      </c>
      <c r="AR29" s="269"/>
      <c r="AS29" s="269"/>
      <c r="AT29" s="20"/>
      <c r="AU29" s="14"/>
      <c r="AV29" s="14"/>
      <c r="AW29" s="14"/>
      <c r="AX29" s="14"/>
      <c r="AY29" s="14"/>
      <c r="AZ29" s="14"/>
      <c r="BA29" s="14"/>
      <c r="BB29" s="14"/>
      <c r="BC29" s="14"/>
      <c r="BD29" s="14"/>
      <c r="BE29" s="14"/>
      <c r="BF29" s="14"/>
      <c r="BG29" s="14"/>
      <c r="BH29" s="14"/>
      <c r="BJ29" s="293">
        <f t="shared" si="2"/>
        <v>0</v>
      </c>
      <c r="BK29" s="293"/>
      <c r="BL29" s="293"/>
      <c r="BM29" s="293"/>
      <c r="BN29" s="293">
        <f t="shared" si="3"/>
        <v>0</v>
      </c>
      <c r="BO29" s="293"/>
      <c r="BP29" s="293"/>
      <c r="BQ29" s="293"/>
      <c r="BR29" s="328">
        <f t="shared" si="4"/>
        <v>0</v>
      </c>
      <c r="BS29" s="328"/>
      <c r="BT29" s="328"/>
      <c r="BU29" s="328"/>
      <c r="BV29" s="293">
        <f t="shared" si="5"/>
        <v>0</v>
      </c>
      <c r="BW29" s="293"/>
      <c r="BX29" s="293"/>
      <c r="BY29" s="293"/>
      <c r="BZ29" s="293">
        <f t="shared" si="6"/>
        <v>0</v>
      </c>
      <c r="CA29" s="293"/>
      <c r="CB29" s="293"/>
      <c r="CC29" s="293"/>
      <c r="CD29" s="293">
        <f t="shared" si="7"/>
        <v>0</v>
      </c>
      <c r="CE29" s="293"/>
      <c r="CF29" s="293"/>
      <c r="CG29" s="293"/>
      <c r="CH29" s="12" t="str">
        <f t="shared" si="9"/>
        <v/>
      </c>
      <c r="CW29" s="293">
        <f t="shared" si="8"/>
        <v>0</v>
      </c>
      <c r="CX29" s="293"/>
      <c r="CY29" s="293"/>
      <c r="CZ29" s="293"/>
      <c r="DA29" s="12" t="str">
        <f t="shared" si="10"/>
        <v/>
      </c>
      <c r="DM29" s="12" t="str">
        <f t="shared" si="11"/>
        <v/>
      </c>
    </row>
    <row r="30" spans="2:117" ht="13.5" customHeight="1" thickBot="1">
      <c r="B30" s="18"/>
      <c r="C30" s="249"/>
      <c r="D30" s="250"/>
      <c r="E30" s="250"/>
      <c r="F30" s="250"/>
      <c r="G30" s="250"/>
      <c r="H30" s="250"/>
      <c r="I30" s="250"/>
      <c r="J30" s="251"/>
      <c r="K30" s="289"/>
      <c r="L30" s="290"/>
      <c r="M30" s="290"/>
      <c r="N30" s="342"/>
      <c r="O30" s="343"/>
      <c r="P30" s="343"/>
      <c r="Q30" s="343"/>
      <c r="R30" s="343"/>
      <c r="S30" s="343"/>
      <c r="T30" s="343"/>
      <c r="U30" s="343"/>
      <c r="V30" s="343"/>
      <c r="W30" s="339" t="str">
        <f t="shared" si="0"/>
        <v/>
      </c>
      <c r="X30" s="340"/>
      <c r="Y30" s="340"/>
      <c r="Z30" s="340"/>
      <c r="AA30" s="340"/>
      <c r="AB30" s="340"/>
      <c r="AC30" s="340"/>
      <c r="AD30" s="340"/>
      <c r="AE30" s="340"/>
      <c r="AF30" s="340"/>
      <c r="AG30" s="340"/>
      <c r="AH30" s="340"/>
      <c r="AI30" s="340"/>
      <c r="AJ30" s="340"/>
      <c r="AK30" s="340"/>
      <c r="AL30" s="340"/>
      <c r="AM30" s="341"/>
      <c r="AN30" s="325"/>
      <c r="AO30" s="326"/>
      <c r="AP30" s="327"/>
      <c r="AQ30" s="268" t="str">
        <f t="shared" si="1"/>
        <v/>
      </c>
      <c r="AR30" s="269"/>
      <c r="AS30" s="269"/>
      <c r="AT30" s="20"/>
      <c r="AU30" s="14"/>
      <c r="AV30" s="14"/>
      <c r="AW30" s="14"/>
      <c r="AX30" s="14"/>
      <c r="AY30" s="14"/>
      <c r="AZ30" s="14"/>
      <c r="BA30" s="14"/>
      <c r="BB30" s="14"/>
      <c r="BC30" s="14"/>
      <c r="BD30" s="14"/>
      <c r="BE30" s="14"/>
      <c r="BF30" s="14"/>
      <c r="BG30" s="14"/>
      <c r="BH30" s="14"/>
      <c r="BJ30" s="293">
        <f t="shared" si="2"/>
        <v>0</v>
      </c>
      <c r="BK30" s="293"/>
      <c r="BL30" s="293"/>
      <c r="BM30" s="293"/>
      <c r="BN30" s="293">
        <f t="shared" si="3"/>
        <v>0</v>
      </c>
      <c r="BO30" s="293"/>
      <c r="BP30" s="293"/>
      <c r="BQ30" s="293"/>
      <c r="BR30" s="328">
        <f t="shared" si="4"/>
        <v>0</v>
      </c>
      <c r="BS30" s="328"/>
      <c r="BT30" s="328"/>
      <c r="BU30" s="328"/>
      <c r="BV30" s="293">
        <f t="shared" si="5"/>
        <v>0</v>
      </c>
      <c r="BW30" s="293"/>
      <c r="BX30" s="293"/>
      <c r="BY30" s="293"/>
      <c r="BZ30" s="293">
        <f t="shared" si="6"/>
        <v>0</v>
      </c>
      <c r="CA30" s="293"/>
      <c r="CB30" s="293"/>
      <c r="CC30" s="293"/>
      <c r="CD30" s="293">
        <f t="shared" si="7"/>
        <v>0</v>
      </c>
      <c r="CE30" s="293"/>
      <c r="CF30" s="293"/>
      <c r="CG30" s="293"/>
      <c r="CH30" s="12" t="str">
        <f t="shared" si="9"/>
        <v/>
      </c>
      <c r="CW30" s="293">
        <f t="shared" si="8"/>
        <v>0</v>
      </c>
      <c r="CX30" s="293"/>
      <c r="CY30" s="293"/>
      <c r="CZ30" s="293"/>
      <c r="DA30" s="12" t="str">
        <f t="shared" si="10"/>
        <v/>
      </c>
      <c r="DM30" s="12" t="str">
        <f t="shared" si="11"/>
        <v/>
      </c>
    </row>
    <row r="31" spans="2:117" ht="13.5" customHeight="1" thickBot="1">
      <c r="B31" s="18"/>
      <c r="C31" s="249"/>
      <c r="D31" s="250"/>
      <c r="E31" s="250"/>
      <c r="F31" s="250"/>
      <c r="G31" s="250"/>
      <c r="H31" s="250"/>
      <c r="I31" s="250"/>
      <c r="J31" s="251"/>
      <c r="K31" s="289"/>
      <c r="L31" s="290"/>
      <c r="M31" s="290"/>
      <c r="N31" s="342"/>
      <c r="O31" s="343"/>
      <c r="P31" s="343"/>
      <c r="Q31" s="343"/>
      <c r="R31" s="343"/>
      <c r="S31" s="343"/>
      <c r="T31" s="343"/>
      <c r="U31" s="343"/>
      <c r="V31" s="343"/>
      <c r="W31" s="339" t="str">
        <f t="shared" si="0"/>
        <v/>
      </c>
      <c r="X31" s="340"/>
      <c r="Y31" s="340"/>
      <c r="Z31" s="340"/>
      <c r="AA31" s="340"/>
      <c r="AB31" s="340"/>
      <c r="AC31" s="340"/>
      <c r="AD31" s="340"/>
      <c r="AE31" s="340"/>
      <c r="AF31" s="340"/>
      <c r="AG31" s="340"/>
      <c r="AH31" s="340"/>
      <c r="AI31" s="340"/>
      <c r="AJ31" s="340"/>
      <c r="AK31" s="340"/>
      <c r="AL31" s="340"/>
      <c r="AM31" s="341"/>
      <c r="AN31" s="325"/>
      <c r="AO31" s="326"/>
      <c r="AP31" s="327"/>
      <c r="AQ31" s="268" t="str">
        <f t="shared" si="1"/>
        <v/>
      </c>
      <c r="AR31" s="269"/>
      <c r="AS31" s="269"/>
      <c r="AT31" s="20"/>
      <c r="AU31" s="14"/>
      <c r="AV31" s="14"/>
      <c r="AW31" s="14"/>
      <c r="AX31" s="14"/>
      <c r="AY31" s="14"/>
      <c r="AZ31" s="14"/>
      <c r="BA31" s="14"/>
      <c r="BB31" s="14"/>
      <c r="BC31" s="14"/>
      <c r="BD31" s="14"/>
      <c r="BE31" s="14"/>
      <c r="BF31" s="14"/>
      <c r="BG31" s="14"/>
      <c r="BH31" s="14"/>
      <c r="BJ31" s="293">
        <f t="shared" si="2"/>
        <v>0</v>
      </c>
      <c r="BK31" s="293"/>
      <c r="BL31" s="293"/>
      <c r="BM31" s="293"/>
      <c r="BN31" s="293">
        <f t="shared" si="3"/>
        <v>0</v>
      </c>
      <c r="BO31" s="293"/>
      <c r="BP31" s="293"/>
      <c r="BQ31" s="293"/>
      <c r="BR31" s="328">
        <f t="shared" si="4"/>
        <v>0</v>
      </c>
      <c r="BS31" s="328"/>
      <c r="BT31" s="328"/>
      <c r="BU31" s="328"/>
      <c r="BV31" s="293">
        <f t="shared" si="5"/>
        <v>0</v>
      </c>
      <c r="BW31" s="293"/>
      <c r="BX31" s="293"/>
      <c r="BY31" s="293"/>
      <c r="BZ31" s="293">
        <f t="shared" si="6"/>
        <v>0</v>
      </c>
      <c r="CA31" s="293"/>
      <c r="CB31" s="293"/>
      <c r="CC31" s="293"/>
      <c r="CD31" s="293">
        <f t="shared" si="7"/>
        <v>0</v>
      </c>
      <c r="CE31" s="293"/>
      <c r="CF31" s="293"/>
      <c r="CG31" s="293"/>
      <c r="CH31" s="12" t="str">
        <f t="shared" si="9"/>
        <v/>
      </c>
      <c r="CW31" s="293">
        <f t="shared" si="8"/>
        <v>0</v>
      </c>
      <c r="CX31" s="293"/>
      <c r="CY31" s="293"/>
      <c r="CZ31" s="293"/>
      <c r="DA31" s="12" t="str">
        <f t="shared" si="10"/>
        <v/>
      </c>
      <c r="DM31" s="12" t="str">
        <f t="shared" si="11"/>
        <v/>
      </c>
    </row>
    <row r="32" spans="2:117" ht="13.5" customHeight="1" thickBot="1">
      <c r="B32" s="18"/>
      <c r="C32" s="249"/>
      <c r="D32" s="250"/>
      <c r="E32" s="250"/>
      <c r="F32" s="250"/>
      <c r="G32" s="250"/>
      <c r="H32" s="250"/>
      <c r="I32" s="250"/>
      <c r="J32" s="251"/>
      <c r="K32" s="289"/>
      <c r="L32" s="290"/>
      <c r="M32" s="290"/>
      <c r="N32" s="342"/>
      <c r="O32" s="343"/>
      <c r="P32" s="343"/>
      <c r="Q32" s="343"/>
      <c r="R32" s="343"/>
      <c r="S32" s="343"/>
      <c r="T32" s="343"/>
      <c r="U32" s="343"/>
      <c r="V32" s="343"/>
      <c r="W32" s="339" t="str">
        <f t="shared" si="0"/>
        <v/>
      </c>
      <c r="X32" s="340"/>
      <c r="Y32" s="340"/>
      <c r="Z32" s="340"/>
      <c r="AA32" s="340"/>
      <c r="AB32" s="340"/>
      <c r="AC32" s="340"/>
      <c r="AD32" s="340"/>
      <c r="AE32" s="340"/>
      <c r="AF32" s="340"/>
      <c r="AG32" s="340"/>
      <c r="AH32" s="340"/>
      <c r="AI32" s="340"/>
      <c r="AJ32" s="340"/>
      <c r="AK32" s="340"/>
      <c r="AL32" s="340"/>
      <c r="AM32" s="341"/>
      <c r="AN32" s="325"/>
      <c r="AO32" s="326"/>
      <c r="AP32" s="327"/>
      <c r="AQ32" s="268" t="str">
        <f t="shared" si="1"/>
        <v/>
      </c>
      <c r="AR32" s="269"/>
      <c r="AS32" s="269"/>
      <c r="AT32" s="20"/>
      <c r="AU32" s="14"/>
      <c r="AV32" s="14"/>
      <c r="AW32" s="14"/>
      <c r="AX32" s="14"/>
      <c r="AY32" s="14"/>
      <c r="AZ32" s="14"/>
      <c r="BA32" s="14"/>
      <c r="BB32" s="14"/>
      <c r="BC32" s="14"/>
      <c r="BD32" s="14"/>
      <c r="BE32" s="14"/>
      <c r="BF32" s="14"/>
      <c r="BG32" s="14"/>
      <c r="BH32" s="14"/>
      <c r="BJ32" s="293">
        <f t="shared" si="2"/>
        <v>0</v>
      </c>
      <c r="BK32" s="293"/>
      <c r="BL32" s="293"/>
      <c r="BM32" s="293"/>
      <c r="BN32" s="293">
        <f t="shared" si="3"/>
        <v>0</v>
      </c>
      <c r="BO32" s="293"/>
      <c r="BP32" s="293"/>
      <c r="BQ32" s="293"/>
      <c r="BR32" s="328">
        <f t="shared" si="4"/>
        <v>0</v>
      </c>
      <c r="BS32" s="328"/>
      <c r="BT32" s="328"/>
      <c r="BU32" s="328"/>
      <c r="BV32" s="293">
        <f t="shared" si="5"/>
        <v>0</v>
      </c>
      <c r="BW32" s="293"/>
      <c r="BX32" s="293"/>
      <c r="BY32" s="293"/>
      <c r="BZ32" s="293">
        <f t="shared" si="6"/>
        <v>0</v>
      </c>
      <c r="CA32" s="293"/>
      <c r="CB32" s="293"/>
      <c r="CC32" s="293"/>
      <c r="CD32" s="293">
        <f t="shared" si="7"/>
        <v>0</v>
      </c>
      <c r="CE32" s="293"/>
      <c r="CF32" s="293"/>
      <c r="CG32" s="293"/>
      <c r="CH32" s="12" t="str">
        <f t="shared" si="9"/>
        <v/>
      </c>
      <c r="CW32" s="293">
        <f t="shared" si="8"/>
        <v>0</v>
      </c>
      <c r="CX32" s="293"/>
      <c r="CY32" s="293"/>
      <c r="CZ32" s="293"/>
      <c r="DA32" s="12" t="str">
        <f t="shared" si="10"/>
        <v/>
      </c>
      <c r="DM32" s="12" t="str">
        <f t="shared" si="11"/>
        <v/>
      </c>
    </row>
    <row r="33" spans="2:128" ht="13.5" customHeight="1" thickBot="1">
      <c r="B33" s="18"/>
      <c r="C33" s="249"/>
      <c r="D33" s="250"/>
      <c r="E33" s="250"/>
      <c r="F33" s="250"/>
      <c r="G33" s="250"/>
      <c r="H33" s="250"/>
      <c r="I33" s="250"/>
      <c r="J33" s="251"/>
      <c r="K33" s="289"/>
      <c r="L33" s="290"/>
      <c r="M33" s="290"/>
      <c r="N33" s="342"/>
      <c r="O33" s="343"/>
      <c r="P33" s="343"/>
      <c r="Q33" s="343"/>
      <c r="R33" s="343"/>
      <c r="S33" s="343"/>
      <c r="T33" s="343"/>
      <c r="U33" s="343"/>
      <c r="V33" s="343"/>
      <c r="W33" s="339" t="str">
        <f t="shared" si="0"/>
        <v/>
      </c>
      <c r="X33" s="340"/>
      <c r="Y33" s="340"/>
      <c r="Z33" s="340"/>
      <c r="AA33" s="340"/>
      <c r="AB33" s="340"/>
      <c r="AC33" s="340"/>
      <c r="AD33" s="340"/>
      <c r="AE33" s="340"/>
      <c r="AF33" s="340"/>
      <c r="AG33" s="340"/>
      <c r="AH33" s="340"/>
      <c r="AI33" s="340"/>
      <c r="AJ33" s="340"/>
      <c r="AK33" s="340"/>
      <c r="AL33" s="340"/>
      <c r="AM33" s="341"/>
      <c r="AN33" s="325"/>
      <c r="AO33" s="326"/>
      <c r="AP33" s="327"/>
      <c r="AQ33" s="268" t="str">
        <f t="shared" si="1"/>
        <v/>
      </c>
      <c r="AR33" s="269"/>
      <c r="AS33" s="269"/>
      <c r="AT33" s="20"/>
      <c r="AU33" s="14"/>
      <c r="AV33" s="14"/>
      <c r="AW33" s="14"/>
      <c r="AX33" s="14"/>
      <c r="AY33" s="14"/>
      <c r="AZ33" s="14"/>
      <c r="BA33" s="14"/>
      <c r="BB33" s="14"/>
      <c r="BC33" s="14"/>
      <c r="BD33" s="14"/>
      <c r="BE33" s="14"/>
      <c r="BF33" s="14"/>
      <c r="BG33" s="14"/>
      <c r="BH33" s="14"/>
      <c r="BJ33" s="293">
        <f t="shared" si="2"/>
        <v>0</v>
      </c>
      <c r="BK33" s="293"/>
      <c r="BL33" s="293"/>
      <c r="BM33" s="293"/>
      <c r="BN33" s="293">
        <f t="shared" si="3"/>
        <v>0</v>
      </c>
      <c r="BO33" s="293"/>
      <c r="BP33" s="293"/>
      <c r="BQ33" s="293"/>
      <c r="BR33" s="328">
        <f t="shared" si="4"/>
        <v>0</v>
      </c>
      <c r="BS33" s="328"/>
      <c r="BT33" s="328"/>
      <c r="BU33" s="328"/>
      <c r="BV33" s="293">
        <f t="shared" si="5"/>
        <v>0</v>
      </c>
      <c r="BW33" s="293"/>
      <c r="BX33" s="293"/>
      <c r="BY33" s="293"/>
      <c r="BZ33" s="293">
        <f t="shared" si="6"/>
        <v>0</v>
      </c>
      <c r="CA33" s="293"/>
      <c r="CB33" s="293"/>
      <c r="CC33" s="293"/>
      <c r="CD33" s="293">
        <f t="shared" si="7"/>
        <v>0</v>
      </c>
      <c r="CE33" s="293"/>
      <c r="CF33" s="293"/>
      <c r="CG33" s="293"/>
      <c r="CH33" s="12" t="str">
        <f t="shared" si="9"/>
        <v/>
      </c>
      <c r="CW33" s="293">
        <f t="shared" si="8"/>
        <v>0</v>
      </c>
      <c r="CX33" s="293"/>
      <c r="CY33" s="293"/>
      <c r="CZ33" s="293"/>
      <c r="DA33" s="12" t="str">
        <f t="shared" si="10"/>
        <v/>
      </c>
      <c r="DM33" s="12" t="str">
        <f t="shared" si="11"/>
        <v/>
      </c>
    </row>
    <row r="34" spans="2:128" ht="13.5" customHeight="1" thickBot="1">
      <c r="B34" s="18"/>
      <c r="C34" s="249"/>
      <c r="D34" s="250"/>
      <c r="E34" s="250"/>
      <c r="F34" s="250"/>
      <c r="G34" s="250"/>
      <c r="H34" s="250"/>
      <c r="I34" s="250"/>
      <c r="J34" s="251"/>
      <c r="K34" s="289"/>
      <c r="L34" s="290"/>
      <c r="M34" s="290"/>
      <c r="N34" s="342"/>
      <c r="O34" s="343"/>
      <c r="P34" s="343"/>
      <c r="Q34" s="343"/>
      <c r="R34" s="343"/>
      <c r="S34" s="343"/>
      <c r="T34" s="343"/>
      <c r="U34" s="343"/>
      <c r="V34" s="343"/>
      <c r="W34" s="339" t="str">
        <f t="shared" si="0"/>
        <v/>
      </c>
      <c r="X34" s="340"/>
      <c r="Y34" s="340"/>
      <c r="Z34" s="340"/>
      <c r="AA34" s="340"/>
      <c r="AB34" s="340"/>
      <c r="AC34" s="340"/>
      <c r="AD34" s="340"/>
      <c r="AE34" s="340"/>
      <c r="AF34" s="340"/>
      <c r="AG34" s="340"/>
      <c r="AH34" s="340"/>
      <c r="AI34" s="340"/>
      <c r="AJ34" s="340"/>
      <c r="AK34" s="340"/>
      <c r="AL34" s="340"/>
      <c r="AM34" s="341"/>
      <c r="AN34" s="325"/>
      <c r="AO34" s="326"/>
      <c r="AP34" s="327"/>
      <c r="AQ34" s="268" t="str">
        <f t="shared" si="1"/>
        <v/>
      </c>
      <c r="AR34" s="269"/>
      <c r="AS34" s="269"/>
      <c r="AT34" s="20"/>
      <c r="AU34" s="14"/>
      <c r="AV34" s="14"/>
      <c r="AW34" s="14"/>
      <c r="AX34" s="14"/>
      <c r="AY34" s="14"/>
      <c r="AZ34" s="14"/>
      <c r="BA34" s="14"/>
      <c r="BB34" s="14"/>
      <c r="BC34" s="14"/>
      <c r="BD34" s="14"/>
      <c r="BE34" s="14"/>
      <c r="BF34" s="14"/>
      <c r="BG34" s="14"/>
      <c r="BH34" s="14"/>
      <c r="BJ34" s="293">
        <f t="shared" si="2"/>
        <v>0</v>
      </c>
      <c r="BK34" s="293"/>
      <c r="BL34" s="293"/>
      <c r="BM34" s="293"/>
      <c r="BN34" s="293">
        <f t="shared" si="3"/>
        <v>0</v>
      </c>
      <c r="BO34" s="293"/>
      <c r="BP34" s="293"/>
      <c r="BQ34" s="293"/>
      <c r="BR34" s="328">
        <f t="shared" si="4"/>
        <v>0</v>
      </c>
      <c r="BS34" s="328"/>
      <c r="BT34" s="328"/>
      <c r="BU34" s="328"/>
      <c r="BV34" s="293">
        <f t="shared" si="5"/>
        <v>0</v>
      </c>
      <c r="BW34" s="293"/>
      <c r="BX34" s="293"/>
      <c r="BY34" s="293"/>
      <c r="BZ34" s="293">
        <f t="shared" si="6"/>
        <v>0</v>
      </c>
      <c r="CA34" s="293"/>
      <c r="CB34" s="293"/>
      <c r="CC34" s="293"/>
      <c r="CD34" s="293">
        <f t="shared" si="7"/>
        <v>0</v>
      </c>
      <c r="CE34" s="293"/>
      <c r="CF34" s="293"/>
      <c r="CG34" s="293"/>
      <c r="CH34" s="12" t="str">
        <f t="shared" si="9"/>
        <v/>
      </c>
      <c r="CW34" s="293">
        <f t="shared" si="8"/>
        <v>0</v>
      </c>
      <c r="CX34" s="293"/>
      <c r="CY34" s="293"/>
      <c r="CZ34" s="293"/>
      <c r="DA34" s="12" t="str">
        <f t="shared" si="10"/>
        <v/>
      </c>
      <c r="DM34" s="12" t="str">
        <f t="shared" si="11"/>
        <v/>
      </c>
    </row>
    <row r="35" spans="2:128" ht="13.5" customHeight="1" thickBot="1">
      <c r="B35" s="18"/>
      <c r="C35" s="249"/>
      <c r="D35" s="250"/>
      <c r="E35" s="250"/>
      <c r="F35" s="250"/>
      <c r="G35" s="250"/>
      <c r="H35" s="250"/>
      <c r="I35" s="250"/>
      <c r="J35" s="251"/>
      <c r="K35" s="289"/>
      <c r="L35" s="290"/>
      <c r="M35" s="290"/>
      <c r="N35" s="342"/>
      <c r="O35" s="343"/>
      <c r="P35" s="343"/>
      <c r="Q35" s="343"/>
      <c r="R35" s="343"/>
      <c r="S35" s="343"/>
      <c r="T35" s="343"/>
      <c r="U35" s="343"/>
      <c r="V35" s="343"/>
      <c r="W35" s="339" t="str">
        <f t="shared" si="0"/>
        <v/>
      </c>
      <c r="X35" s="340"/>
      <c r="Y35" s="340"/>
      <c r="Z35" s="340"/>
      <c r="AA35" s="340"/>
      <c r="AB35" s="340"/>
      <c r="AC35" s="340"/>
      <c r="AD35" s="340"/>
      <c r="AE35" s="340"/>
      <c r="AF35" s="340"/>
      <c r="AG35" s="340"/>
      <c r="AH35" s="340"/>
      <c r="AI35" s="340"/>
      <c r="AJ35" s="340"/>
      <c r="AK35" s="340"/>
      <c r="AL35" s="340"/>
      <c r="AM35" s="341"/>
      <c r="AN35" s="325"/>
      <c r="AO35" s="326"/>
      <c r="AP35" s="327"/>
      <c r="AQ35" s="268" t="str">
        <f t="shared" si="1"/>
        <v/>
      </c>
      <c r="AR35" s="269"/>
      <c r="AS35" s="269"/>
      <c r="AT35" s="20"/>
      <c r="AU35" s="14"/>
      <c r="AV35" s="14"/>
      <c r="AW35" s="14"/>
      <c r="AX35" s="14"/>
      <c r="AY35" s="14"/>
      <c r="AZ35" s="14"/>
      <c r="BA35" s="14"/>
      <c r="BB35" s="14"/>
      <c r="BC35" s="14"/>
      <c r="BD35" s="14"/>
      <c r="BE35" s="14"/>
      <c r="BF35" s="14"/>
      <c r="BG35" s="14"/>
      <c r="BH35" s="14"/>
      <c r="BJ35" s="293">
        <f t="shared" si="2"/>
        <v>0</v>
      </c>
      <c r="BK35" s="293"/>
      <c r="BL35" s="293"/>
      <c r="BM35" s="293"/>
      <c r="BN35" s="293">
        <f t="shared" si="3"/>
        <v>0</v>
      </c>
      <c r="BO35" s="293"/>
      <c r="BP35" s="293"/>
      <c r="BQ35" s="293"/>
      <c r="BR35" s="328">
        <f t="shared" si="4"/>
        <v>0</v>
      </c>
      <c r="BS35" s="328"/>
      <c r="BT35" s="328"/>
      <c r="BU35" s="328"/>
      <c r="BV35" s="293">
        <f t="shared" si="5"/>
        <v>0</v>
      </c>
      <c r="BW35" s="293"/>
      <c r="BX35" s="293"/>
      <c r="BY35" s="293"/>
      <c r="BZ35" s="293">
        <f t="shared" si="6"/>
        <v>0</v>
      </c>
      <c r="CA35" s="293"/>
      <c r="CB35" s="293"/>
      <c r="CC35" s="293"/>
      <c r="CD35" s="293">
        <f t="shared" si="7"/>
        <v>0</v>
      </c>
      <c r="CE35" s="293"/>
      <c r="CF35" s="293"/>
      <c r="CG35" s="293"/>
      <c r="CH35" s="12" t="str">
        <f t="shared" si="9"/>
        <v/>
      </c>
      <c r="CW35" s="293">
        <f t="shared" si="8"/>
        <v>0</v>
      </c>
      <c r="CX35" s="293"/>
      <c r="CY35" s="293"/>
      <c r="CZ35" s="293"/>
      <c r="DA35" s="12" t="str">
        <f t="shared" si="10"/>
        <v/>
      </c>
      <c r="DM35" s="12" t="str">
        <f t="shared" si="11"/>
        <v/>
      </c>
    </row>
    <row r="36" spans="2:128" ht="13.5" customHeight="1" thickBot="1">
      <c r="B36" s="18"/>
      <c r="C36" s="249"/>
      <c r="D36" s="250"/>
      <c r="E36" s="250"/>
      <c r="F36" s="250"/>
      <c r="G36" s="250"/>
      <c r="H36" s="250"/>
      <c r="I36" s="250"/>
      <c r="J36" s="251"/>
      <c r="K36" s="289"/>
      <c r="L36" s="290"/>
      <c r="M36" s="290"/>
      <c r="N36" s="342"/>
      <c r="O36" s="343"/>
      <c r="P36" s="343"/>
      <c r="Q36" s="343"/>
      <c r="R36" s="343"/>
      <c r="S36" s="343"/>
      <c r="T36" s="343"/>
      <c r="U36" s="343"/>
      <c r="V36" s="343"/>
      <c r="W36" s="339" t="str">
        <f t="shared" si="0"/>
        <v/>
      </c>
      <c r="X36" s="340"/>
      <c r="Y36" s="340"/>
      <c r="Z36" s="340"/>
      <c r="AA36" s="340"/>
      <c r="AB36" s="340"/>
      <c r="AC36" s="340"/>
      <c r="AD36" s="340"/>
      <c r="AE36" s="340"/>
      <c r="AF36" s="340"/>
      <c r="AG36" s="340"/>
      <c r="AH36" s="340"/>
      <c r="AI36" s="340"/>
      <c r="AJ36" s="340"/>
      <c r="AK36" s="340"/>
      <c r="AL36" s="340"/>
      <c r="AM36" s="341"/>
      <c r="AN36" s="325"/>
      <c r="AO36" s="326"/>
      <c r="AP36" s="327"/>
      <c r="AQ36" s="268" t="str">
        <f t="shared" si="1"/>
        <v/>
      </c>
      <c r="AR36" s="269"/>
      <c r="AS36" s="269"/>
      <c r="AT36" s="20"/>
      <c r="AU36" s="14"/>
      <c r="AV36" s="14"/>
      <c r="AW36" s="14"/>
      <c r="AX36" s="14"/>
      <c r="AY36" s="14"/>
      <c r="AZ36" s="14"/>
      <c r="BA36" s="14"/>
      <c r="BB36" s="14"/>
      <c r="BC36" s="14"/>
      <c r="BD36" s="14"/>
      <c r="BE36" s="14"/>
      <c r="BF36" s="14"/>
      <c r="BG36" s="14"/>
      <c r="BH36" s="14"/>
      <c r="BJ36" s="293">
        <f t="shared" si="2"/>
        <v>0</v>
      </c>
      <c r="BK36" s="293"/>
      <c r="BL36" s="293"/>
      <c r="BM36" s="293"/>
      <c r="BN36" s="293">
        <f t="shared" si="3"/>
        <v>0</v>
      </c>
      <c r="BO36" s="293"/>
      <c r="BP36" s="293"/>
      <c r="BQ36" s="293"/>
      <c r="BR36" s="328">
        <f t="shared" si="4"/>
        <v>0</v>
      </c>
      <c r="BS36" s="328"/>
      <c r="BT36" s="328"/>
      <c r="BU36" s="328"/>
      <c r="BV36" s="293">
        <f t="shared" si="5"/>
        <v>0</v>
      </c>
      <c r="BW36" s="293"/>
      <c r="BX36" s="293"/>
      <c r="BY36" s="293"/>
      <c r="BZ36" s="293">
        <f t="shared" si="6"/>
        <v>0</v>
      </c>
      <c r="CA36" s="293"/>
      <c r="CB36" s="293"/>
      <c r="CC36" s="293"/>
      <c r="CD36" s="293">
        <f t="shared" si="7"/>
        <v>0</v>
      </c>
      <c r="CE36" s="293"/>
      <c r="CF36" s="293"/>
      <c r="CG36" s="293"/>
      <c r="CH36" s="12" t="str">
        <f t="shared" si="9"/>
        <v/>
      </c>
      <c r="CW36" s="293">
        <f t="shared" si="8"/>
        <v>0</v>
      </c>
      <c r="CX36" s="293"/>
      <c r="CY36" s="293"/>
      <c r="CZ36" s="293"/>
      <c r="DA36" s="12" t="str">
        <f t="shared" si="10"/>
        <v/>
      </c>
      <c r="DM36" s="12" t="str">
        <f t="shared" si="11"/>
        <v/>
      </c>
    </row>
    <row r="37" spans="2:128" ht="13.5" customHeight="1" thickBot="1">
      <c r="B37" s="42"/>
      <c r="C37" s="249"/>
      <c r="D37" s="250"/>
      <c r="E37" s="250"/>
      <c r="F37" s="250"/>
      <c r="G37" s="250"/>
      <c r="H37" s="250"/>
      <c r="I37" s="250"/>
      <c r="J37" s="251"/>
      <c r="K37" s="289"/>
      <c r="L37" s="290"/>
      <c r="M37" s="290"/>
      <c r="N37" s="342"/>
      <c r="O37" s="343"/>
      <c r="P37" s="343"/>
      <c r="Q37" s="343"/>
      <c r="R37" s="343"/>
      <c r="S37" s="343"/>
      <c r="T37" s="343"/>
      <c r="U37" s="343"/>
      <c r="V37" s="343"/>
      <c r="W37" s="339" t="str">
        <f t="shared" si="0"/>
        <v/>
      </c>
      <c r="X37" s="340"/>
      <c r="Y37" s="340"/>
      <c r="Z37" s="340"/>
      <c r="AA37" s="340"/>
      <c r="AB37" s="340"/>
      <c r="AC37" s="340"/>
      <c r="AD37" s="340"/>
      <c r="AE37" s="340"/>
      <c r="AF37" s="340"/>
      <c r="AG37" s="340"/>
      <c r="AH37" s="340"/>
      <c r="AI37" s="340"/>
      <c r="AJ37" s="340"/>
      <c r="AK37" s="340"/>
      <c r="AL37" s="340"/>
      <c r="AM37" s="341"/>
      <c r="AN37" s="325"/>
      <c r="AO37" s="326"/>
      <c r="AP37" s="327"/>
      <c r="AQ37" s="268" t="str">
        <f t="shared" si="1"/>
        <v/>
      </c>
      <c r="AR37" s="269"/>
      <c r="AS37" s="269"/>
      <c r="AT37" s="20"/>
      <c r="AU37" s="14"/>
      <c r="AV37" s="14"/>
      <c r="AW37" s="14"/>
      <c r="AX37" s="14"/>
      <c r="AY37" s="14"/>
      <c r="AZ37" s="14"/>
      <c r="BA37" s="14"/>
      <c r="BB37" s="14"/>
      <c r="BC37" s="14"/>
      <c r="BD37" s="14"/>
      <c r="BE37" s="14"/>
      <c r="BF37" s="14"/>
      <c r="BG37" s="14"/>
      <c r="BH37" s="14"/>
      <c r="BJ37" s="293">
        <f t="shared" si="2"/>
        <v>0</v>
      </c>
      <c r="BK37" s="293"/>
      <c r="BL37" s="293"/>
      <c r="BM37" s="293"/>
      <c r="BN37" s="293">
        <f t="shared" si="3"/>
        <v>0</v>
      </c>
      <c r="BO37" s="293"/>
      <c r="BP37" s="293"/>
      <c r="BQ37" s="293"/>
      <c r="BR37" s="328">
        <f t="shared" si="4"/>
        <v>0</v>
      </c>
      <c r="BS37" s="328"/>
      <c r="BT37" s="328"/>
      <c r="BU37" s="328"/>
      <c r="BV37" s="293">
        <f t="shared" si="5"/>
        <v>0</v>
      </c>
      <c r="BW37" s="293"/>
      <c r="BX37" s="293"/>
      <c r="BY37" s="293"/>
      <c r="BZ37" s="293">
        <f t="shared" si="6"/>
        <v>0</v>
      </c>
      <c r="CA37" s="293"/>
      <c r="CB37" s="293"/>
      <c r="CC37" s="293"/>
      <c r="CD37" s="293">
        <f t="shared" si="7"/>
        <v>0</v>
      </c>
      <c r="CE37" s="293"/>
      <c r="CF37" s="293"/>
      <c r="CG37" s="293"/>
      <c r="CH37" s="12" t="str">
        <f t="shared" si="9"/>
        <v/>
      </c>
      <c r="CW37" s="293">
        <f t="shared" si="8"/>
        <v>0</v>
      </c>
      <c r="CX37" s="293"/>
      <c r="CY37" s="293"/>
      <c r="CZ37" s="293"/>
      <c r="DA37" s="12" t="str">
        <f t="shared" si="10"/>
        <v/>
      </c>
      <c r="DM37" s="12" t="str">
        <f t="shared" si="11"/>
        <v/>
      </c>
    </row>
    <row r="38" spans="2:128" ht="13.5" customHeight="1" thickBot="1">
      <c r="B38" s="42"/>
      <c r="C38" s="249"/>
      <c r="D38" s="250"/>
      <c r="E38" s="250"/>
      <c r="F38" s="250"/>
      <c r="G38" s="250"/>
      <c r="H38" s="250"/>
      <c r="I38" s="250"/>
      <c r="J38" s="251"/>
      <c r="K38" s="289"/>
      <c r="L38" s="290"/>
      <c r="M38" s="290"/>
      <c r="N38" s="342"/>
      <c r="O38" s="343"/>
      <c r="P38" s="343"/>
      <c r="Q38" s="343"/>
      <c r="R38" s="343"/>
      <c r="S38" s="343"/>
      <c r="T38" s="343"/>
      <c r="U38" s="343"/>
      <c r="V38" s="343"/>
      <c r="W38" s="339" t="str">
        <f t="shared" si="0"/>
        <v/>
      </c>
      <c r="X38" s="340"/>
      <c r="Y38" s="340"/>
      <c r="Z38" s="340"/>
      <c r="AA38" s="340"/>
      <c r="AB38" s="340"/>
      <c r="AC38" s="340"/>
      <c r="AD38" s="340"/>
      <c r="AE38" s="340"/>
      <c r="AF38" s="340"/>
      <c r="AG38" s="340"/>
      <c r="AH38" s="340"/>
      <c r="AI38" s="340"/>
      <c r="AJ38" s="340"/>
      <c r="AK38" s="340"/>
      <c r="AL38" s="340"/>
      <c r="AM38" s="341"/>
      <c r="AN38" s="325"/>
      <c r="AO38" s="326"/>
      <c r="AP38" s="327"/>
      <c r="AQ38" s="268" t="str">
        <f t="shared" si="1"/>
        <v/>
      </c>
      <c r="AR38" s="269"/>
      <c r="AS38" s="269"/>
      <c r="AT38" s="20"/>
      <c r="AU38" s="14"/>
      <c r="AV38" s="14"/>
      <c r="AW38" s="14"/>
      <c r="AX38" s="14"/>
      <c r="AY38" s="14"/>
      <c r="AZ38" s="14"/>
      <c r="BA38" s="14"/>
      <c r="BB38" s="14"/>
      <c r="BC38" s="14"/>
      <c r="BD38" s="14"/>
      <c r="BE38" s="14"/>
      <c r="BF38" s="14"/>
      <c r="BG38" s="14"/>
      <c r="BH38" s="14"/>
      <c r="BJ38" s="293">
        <f t="shared" si="2"/>
        <v>0</v>
      </c>
      <c r="BK38" s="293"/>
      <c r="BL38" s="293"/>
      <c r="BM38" s="293"/>
      <c r="BN38" s="293">
        <f t="shared" si="3"/>
        <v>0</v>
      </c>
      <c r="BO38" s="293"/>
      <c r="BP38" s="293"/>
      <c r="BQ38" s="293"/>
      <c r="BR38" s="328">
        <f t="shared" si="4"/>
        <v>0</v>
      </c>
      <c r="BS38" s="328"/>
      <c r="BT38" s="328"/>
      <c r="BU38" s="328"/>
      <c r="BV38" s="293">
        <f t="shared" si="5"/>
        <v>0</v>
      </c>
      <c r="BW38" s="293"/>
      <c r="BX38" s="293"/>
      <c r="BY38" s="293"/>
      <c r="BZ38" s="293">
        <f t="shared" si="6"/>
        <v>0</v>
      </c>
      <c r="CA38" s="293"/>
      <c r="CB38" s="293"/>
      <c r="CC38" s="293"/>
      <c r="CD38" s="293">
        <f t="shared" si="7"/>
        <v>0</v>
      </c>
      <c r="CE38" s="293"/>
      <c r="CF38" s="293"/>
      <c r="CG38" s="293"/>
      <c r="CH38" s="12" t="str">
        <f t="shared" si="9"/>
        <v/>
      </c>
      <c r="CW38" s="293">
        <f t="shared" si="8"/>
        <v>0</v>
      </c>
      <c r="CX38" s="293"/>
      <c r="CY38" s="293"/>
      <c r="CZ38" s="293"/>
      <c r="DA38" s="12" t="str">
        <f t="shared" si="10"/>
        <v/>
      </c>
      <c r="DM38" s="12" t="str">
        <f t="shared" si="11"/>
        <v/>
      </c>
    </row>
    <row r="39" spans="2:128" ht="13.5" customHeight="1" thickBot="1">
      <c r="B39" s="42"/>
      <c r="C39" s="249"/>
      <c r="D39" s="250"/>
      <c r="E39" s="250"/>
      <c r="F39" s="250"/>
      <c r="G39" s="250"/>
      <c r="H39" s="250"/>
      <c r="I39" s="250"/>
      <c r="J39" s="251"/>
      <c r="K39" s="289"/>
      <c r="L39" s="290"/>
      <c r="M39" s="290"/>
      <c r="N39" s="342"/>
      <c r="O39" s="343"/>
      <c r="P39" s="343"/>
      <c r="Q39" s="343"/>
      <c r="R39" s="343"/>
      <c r="S39" s="343"/>
      <c r="T39" s="343"/>
      <c r="U39" s="343"/>
      <c r="V39" s="343"/>
      <c r="W39" s="339" t="str">
        <f t="shared" si="0"/>
        <v/>
      </c>
      <c r="X39" s="340"/>
      <c r="Y39" s="340"/>
      <c r="Z39" s="340"/>
      <c r="AA39" s="340"/>
      <c r="AB39" s="340"/>
      <c r="AC39" s="340"/>
      <c r="AD39" s="340"/>
      <c r="AE39" s="340"/>
      <c r="AF39" s="340"/>
      <c r="AG39" s="340"/>
      <c r="AH39" s="340"/>
      <c r="AI39" s="340"/>
      <c r="AJ39" s="340"/>
      <c r="AK39" s="340"/>
      <c r="AL39" s="340"/>
      <c r="AM39" s="341"/>
      <c r="AN39" s="325"/>
      <c r="AO39" s="326"/>
      <c r="AP39" s="327"/>
      <c r="AQ39" s="268" t="str">
        <f t="shared" si="1"/>
        <v/>
      </c>
      <c r="AR39" s="269"/>
      <c r="AS39" s="269"/>
      <c r="AT39" s="20"/>
      <c r="AU39" s="14"/>
      <c r="AV39" s="14"/>
      <c r="AW39" s="14"/>
      <c r="AX39" s="14"/>
      <c r="AY39" s="14"/>
      <c r="AZ39" s="14"/>
      <c r="BA39" s="14"/>
      <c r="BB39" s="14"/>
      <c r="BC39" s="14"/>
      <c r="BD39" s="14"/>
      <c r="BE39" s="14"/>
      <c r="BF39" s="14"/>
      <c r="BG39" s="14"/>
      <c r="BH39" s="14"/>
      <c r="BJ39" s="293">
        <f t="shared" si="2"/>
        <v>0</v>
      </c>
      <c r="BK39" s="293"/>
      <c r="BL39" s="293"/>
      <c r="BM39" s="293"/>
      <c r="BN39" s="293">
        <f t="shared" si="3"/>
        <v>0</v>
      </c>
      <c r="BO39" s="293"/>
      <c r="BP39" s="293"/>
      <c r="BQ39" s="293"/>
      <c r="BR39" s="328">
        <f t="shared" si="4"/>
        <v>0</v>
      </c>
      <c r="BS39" s="328"/>
      <c r="BT39" s="328"/>
      <c r="BU39" s="328"/>
      <c r="BV39" s="293">
        <f t="shared" si="5"/>
        <v>0</v>
      </c>
      <c r="BW39" s="293"/>
      <c r="BX39" s="293"/>
      <c r="BY39" s="293"/>
      <c r="BZ39" s="293">
        <f t="shared" si="6"/>
        <v>0</v>
      </c>
      <c r="CA39" s="293"/>
      <c r="CB39" s="293"/>
      <c r="CC39" s="293"/>
      <c r="CD39" s="293">
        <f t="shared" si="7"/>
        <v>0</v>
      </c>
      <c r="CE39" s="293"/>
      <c r="CF39" s="293"/>
      <c r="CG39" s="293"/>
      <c r="CH39" s="12" t="str">
        <f t="shared" si="9"/>
        <v/>
      </c>
      <c r="CW39" s="293">
        <f t="shared" si="8"/>
        <v>0</v>
      </c>
      <c r="CX39" s="293"/>
      <c r="CY39" s="293"/>
      <c r="CZ39" s="293"/>
      <c r="DA39" s="12" t="str">
        <f t="shared" si="10"/>
        <v/>
      </c>
      <c r="DM39" s="12" t="str">
        <f t="shared" si="11"/>
        <v/>
      </c>
    </row>
    <row r="40" spans="2:128" ht="13.5" customHeight="1" thickBot="1">
      <c r="B40" s="43"/>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3"/>
      <c r="AU40" s="14"/>
      <c r="AV40" s="14"/>
      <c r="AW40" s="14"/>
      <c r="AX40" s="14"/>
      <c r="AY40" s="14"/>
      <c r="AZ40" s="14"/>
      <c r="BA40" s="14"/>
      <c r="BB40" s="14"/>
      <c r="BC40" s="14"/>
      <c r="BD40" s="14"/>
      <c r="BE40" s="14"/>
      <c r="BF40" s="14"/>
      <c r="BG40" s="14"/>
      <c r="BH40" s="14"/>
      <c r="BJ40" s="293">
        <f>SUM(BJ6:BM39)</f>
        <v>0</v>
      </c>
      <c r="BK40" s="293"/>
      <c r="BL40" s="293"/>
      <c r="BM40" s="293"/>
      <c r="BN40" s="293">
        <f>SUM(BN6:BQ39)</f>
        <v>6</v>
      </c>
      <c r="BO40" s="293"/>
      <c r="BP40" s="293"/>
      <c r="BQ40" s="293"/>
      <c r="BR40" s="293">
        <f>SUM(BR6:BU39)</f>
        <v>18</v>
      </c>
      <c r="BS40" s="293"/>
      <c r="BT40" s="293"/>
      <c r="BU40" s="293"/>
      <c r="BV40" s="293">
        <f>SUM(BV6:BY39)</f>
        <v>0</v>
      </c>
      <c r="BW40" s="293"/>
      <c r="BX40" s="293"/>
      <c r="BY40" s="293"/>
      <c r="BZ40" s="293">
        <f>SUM(BZ6:CC39)</f>
        <v>0</v>
      </c>
      <c r="CA40" s="293"/>
      <c r="CB40" s="293"/>
      <c r="CC40" s="293"/>
      <c r="CD40" s="293">
        <f>SUM(CD6:CG39)</f>
        <v>0</v>
      </c>
      <c r="CE40" s="293"/>
      <c r="CF40" s="293"/>
      <c r="CG40" s="293"/>
      <c r="CH40" s="12" t="s">
        <v>490</v>
      </c>
      <c r="CW40" s="293">
        <f>SUM(CW6:CZ39)</f>
        <v>0</v>
      </c>
      <c r="CX40" s="293"/>
      <c r="CY40" s="293"/>
      <c r="CZ40" s="293"/>
      <c r="DA40" s="12" t="s">
        <v>1257</v>
      </c>
      <c r="DM40" s="12" t="s">
        <v>1257</v>
      </c>
    </row>
    <row r="41" spans="2:128" ht="13.5" customHeight="1">
      <c r="BR41" s="328"/>
      <c r="BS41" s="293"/>
      <c r="BT41" s="293"/>
      <c r="BU41" s="293"/>
      <c r="CH41" s="330" t="str">
        <f>CONCATENATE(CH60,CH67)</f>
        <v>Defensive Roll 6, Benefit 3 [Yakuza Leader], Attractive 2, Fascinate 2 [Persuasion/Deception], Languages 3 [Japanese, English, Various], Connected, Well-Informed</v>
      </c>
      <c r="CI41" s="331"/>
      <c r="CJ41" s="331"/>
      <c r="CK41" s="331"/>
      <c r="CL41" s="331"/>
      <c r="CM41" s="331"/>
      <c r="CN41" s="331"/>
      <c r="CO41" s="331"/>
      <c r="CP41" s="331"/>
      <c r="CQ41" s="331"/>
      <c r="CR41" s="331"/>
      <c r="CS41" s="332"/>
      <c r="DA41" s="330" t="str">
        <f>CONCATENATE(DA60,DA67)</f>
        <v>Defensive Roll 6, Benefit 3 [Yakuza Leader], Attractive 2, Fascinate 2 [Persuasion/Deception], Languages 3 [Japanese, English, Various], Connected, Well-Informed</v>
      </c>
      <c r="DB41" s="331"/>
      <c r="DC41" s="331"/>
      <c r="DD41" s="331"/>
      <c r="DE41" s="331"/>
      <c r="DF41" s="331"/>
      <c r="DG41" s="331"/>
      <c r="DH41" s="331"/>
      <c r="DI41" s="331"/>
      <c r="DJ41" s="331"/>
      <c r="DK41" s="331"/>
      <c r="DL41" s="332"/>
      <c r="DM41" s="330" t="str">
        <f>CONCATENATE(DM60,DM67)</f>
        <v>Defensive Roll 6, Benefit 3 [Yakuza Leader], Attractive 2, Fascinate 2 [Persuasion/Deception], Languages 3 [Japanese, English, Various], Connected, Well-Informed</v>
      </c>
      <c r="DN41" s="331"/>
      <c r="DO41" s="331"/>
      <c r="DP41" s="331"/>
      <c r="DQ41" s="331"/>
      <c r="DR41" s="331"/>
      <c r="DS41" s="331"/>
      <c r="DT41" s="331"/>
      <c r="DU41" s="331"/>
      <c r="DV41" s="331"/>
      <c r="DW41" s="331"/>
      <c r="DX41" s="332"/>
    </row>
    <row r="42" spans="2:128" ht="13.5" customHeight="1">
      <c r="CH42" s="333"/>
      <c r="CI42" s="334"/>
      <c r="CJ42" s="334"/>
      <c r="CK42" s="334"/>
      <c r="CL42" s="334"/>
      <c r="CM42" s="334"/>
      <c r="CN42" s="334"/>
      <c r="CO42" s="334"/>
      <c r="CP42" s="334"/>
      <c r="CQ42" s="334"/>
      <c r="CR42" s="334"/>
      <c r="CS42" s="335"/>
      <c r="DA42" s="333"/>
      <c r="DB42" s="334"/>
      <c r="DC42" s="334"/>
      <c r="DD42" s="334"/>
      <c r="DE42" s="334"/>
      <c r="DF42" s="334"/>
      <c r="DG42" s="334"/>
      <c r="DH42" s="334"/>
      <c r="DI42" s="334"/>
      <c r="DJ42" s="334"/>
      <c r="DK42" s="334"/>
      <c r="DL42" s="335"/>
      <c r="DM42" s="333"/>
      <c r="DN42" s="334"/>
      <c r="DO42" s="334"/>
      <c r="DP42" s="334"/>
      <c r="DQ42" s="334"/>
      <c r="DR42" s="334"/>
      <c r="DS42" s="334"/>
      <c r="DT42" s="334"/>
      <c r="DU42" s="334"/>
      <c r="DV42" s="334"/>
      <c r="DW42" s="334"/>
      <c r="DX42" s="335"/>
    </row>
    <row r="43" spans="2:128" ht="13.5" customHeight="1">
      <c r="CH43" s="333"/>
      <c r="CI43" s="334"/>
      <c r="CJ43" s="334"/>
      <c r="CK43" s="334"/>
      <c r="CL43" s="334"/>
      <c r="CM43" s="334"/>
      <c r="CN43" s="334"/>
      <c r="CO43" s="334"/>
      <c r="CP43" s="334"/>
      <c r="CQ43" s="334"/>
      <c r="CR43" s="334"/>
      <c r="CS43" s="335"/>
      <c r="DA43" s="333"/>
      <c r="DB43" s="334"/>
      <c r="DC43" s="334"/>
      <c r="DD43" s="334"/>
      <c r="DE43" s="334"/>
      <c r="DF43" s="334"/>
      <c r="DG43" s="334"/>
      <c r="DH43" s="334"/>
      <c r="DI43" s="334"/>
      <c r="DJ43" s="334"/>
      <c r="DK43" s="334"/>
      <c r="DL43" s="335"/>
      <c r="DM43" s="333"/>
      <c r="DN43" s="334"/>
      <c r="DO43" s="334"/>
      <c r="DP43" s="334"/>
      <c r="DQ43" s="334"/>
      <c r="DR43" s="334"/>
      <c r="DS43" s="334"/>
      <c r="DT43" s="334"/>
      <c r="DU43" s="334"/>
      <c r="DV43" s="334"/>
      <c r="DW43" s="334"/>
      <c r="DX43" s="335"/>
    </row>
    <row r="44" spans="2:128" ht="13.5" customHeight="1">
      <c r="CH44" s="333"/>
      <c r="CI44" s="334"/>
      <c r="CJ44" s="334"/>
      <c r="CK44" s="334"/>
      <c r="CL44" s="334"/>
      <c r="CM44" s="334"/>
      <c r="CN44" s="334"/>
      <c r="CO44" s="334"/>
      <c r="CP44" s="334"/>
      <c r="CQ44" s="334"/>
      <c r="CR44" s="334"/>
      <c r="CS44" s="335"/>
      <c r="DA44" s="333"/>
      <c r="DB44" s="334"/>
      <c r="DC44" s="334"/>
      <c r="DD44" s="334"/>
      <c r="DE44" s="334"/>
      <c r="DF44" s="334"/>
      <c r="DG44" s="334"/>
      <c r="DH44" s="334"/>
      <c r="DI44" s="334"/>
      <c r="DJ44" s="334"/>
      <c r="DK44" s="334"/>
      <c r="DL44" s="335"/>
      <c r="DM44" s="333"/>
      <c r="DN44" s="334"/>
      <c r="DO44" s="334"/>
      <c r="DP44" s="334"/>
      <c r="DQ44" s="334"/>
      <c r="DR44" s="334"/>
      <c r="DS44" s="334"/>
      <c r="DT44" s="334"/>
      <c r="DU44" s="334"/>
      <c r="DV44" s="334"/>
      <c r="DW44" s="334"/>
      <c r="DX44" s="335"/>
    </row>
    <row r="45" spans="2:128" ht="13.5" customHeight="1">
      <c r="CH45" s="333"/>
      <c r="CI45" s="334"/>
      <c r="CJ45" s="334"/>
      <c r="CK45" s="334"/>
      <c r="CL45" s="334"/>
      <c r="CM45" s="334"/>
      <c r="CN45" s="334"/>
      <c r="CO45" s="334"/>
      <c r="CP45" s="334"/>
      <c r="CQ45" s="334"/>
      <c r="CR45" s="334"/>
      <c r="CS45" s="335"/>
      <c r="DA45" s="333"/>
      <c r="DB45" s="334"/>
      <c r="DC45" s="334"/>
      <c r="DD45" s="334"/>
      <c r="DE45" s="334"/>
      <c r="DF45" s="334"/>
      <c r="DG45" s="334"/>
      <c r="DH45" s="334"/>
      <c r="DI45" s="334"/>
      <c r="DJ45" s="334"/>
      <c r="DK45" s="334"/>
      <c r="DL45" s="335"/>
      <c r="DM45" s="333"/>
      <c r="DN45" s="334"/>
      <c r="DO45" s="334"/>
      <c r="DP45" s="334"/>
      <c r="DQ45" s="334"/>
      <c r="DR45" s="334"/>
      <c r="DS45" s="334"/>
      <c r="DT45" s="334"/>
      <c r="DU45" s="334"/>
      <c r="DV45" s="334"/>
      <c r="DW45" s="334"/>
      <c r="DX45" s="335"/>
    </row>
    <row r="46" spans="2:128" ht="13.5" customHeight="1">
      <c r="CH46" s="333"/>
      <c r="CI46" s="334"/>
      <c r="CJ46" s="334"/>
      <c r="CK46" s="334"/>
      <c r="CL46" s="334"/>
      <c r="CM46" s="334"/>
      <c r="CN46" s="334"/>
      <c r="CO46" s="334"/>
      <c r="CP46" s="334"/>
      <c r="CQ46" s="334"/>
      <c r="CR46" s="334"/>
      <c r="CS46" s="335"/>
      <c r="DA46" s="333"/>
      <c r="DB46" s="334"/>
      <c r="DC46" s="334"/>
      <c r="DD46" s="334"/>
      <c r="DE46" s="334"/>
      <c r="DF46" s="334"/>
      <c r="DG46" s="334"/>
      <c r="DH46" s="334"/>
      <c r="DI46" s="334"/>
      <c r="DJ46" s="334"/>
      <c r="DK46" s="334"/>
      <c r="DL46" s="335"/>
      <c r="DM46" s="333"/>
      <c r="DN46" s="334"/>
      <c r="DO46" s="334"/>
      <c r="DP46" s="334"/>
      <c r="DQ46" s="334"/>
      <c r="DR46" s="334"/>
      <c r="DS46" s="334"/>
      <c r="DT46" s="334"/>
      <c r="DU46" s="334"/>
      <c r="DV46" s="334"/>
      <c r="DW46" s="334"/>
      <c r="DX46" s="335"/>
    </row>
    <row r="47" spans="2:128" ht="13.5" customHeight="1">
      <c r="CH47" s="333"/>
      <c r="CI47" s="334"/>
      <c r="CJ47" s="334"/>
      <c r="CK47" s="334"/>
      <c r="CL47" s="334"/>
      <c r="CM47" s="334"/>
      <c r="CN47" s="334"/>
      <c r="CO47" s="334"/>
      <c r="CP47" s="334"/>
      <c r="CQ47" s="334"/>
      <c r="CR47" s="334"/>
      <c r="CS47" s="335"/>
      <c r="DA47" s="333"/>
      <c r="DB47" s="334"/>
      <c r="DC47" s="334"/>
      <c r="DD47" s="334"/>
      <c r="DE47" s="334"/>
      <c r="DF47" s="334"/>
      <c r="DG47" s="334"/>
      <c r="DH47" s="334"/>
      <c r="DI47" s="334"/>
      <c r="DJ47" s="334"/>
      <c r="DK47" s="334"/>
      <c r="DL47" s="335"/>
      <c r="DM47" s="333"/>
      <c r="DN47" s="334"/>
      <c r="DO47" s="334"/>
      <c r="DP47" s="334"/>
      <c r="DQ47" s="334"/>
      <c r="DR47" s="334"/>
      <c r="DS47" s="334"/>
      <c r="DT47" s="334"/>
      <c r="DU47" s="334"/>
      <c r="DV47" s="334"/>
      <c r="DW47" s="334"/>
      <c r="DX47" s="335"/>
    </row>
    <row r="48" spans="2:128" ht="13.5" customHeight="1">
      <c r="CH48" s="333"/>
      <c r="CI48" s="334"/>
      <c r="CJ48" s="334"/>
      <c r="CK48" s="334"/>
      <c r="CL48" s="334"/>
      <c r="CM48" s="334"/>
      <c r="CN48" s="334"/>
      <c r="CO48" s="334"/>
      <c r="CP48" s="334"/>
      <c r="CQ48" s="334"/>
      <c r="CR48" s="334"/>
      <c r="CS48" s="335"/>
      <c r="DA48" s="333"/>
      <c r="DB48" s="334"/>
      <c r="DC48" s="334"/>
      <c r="DD48" s="334"/>
      <c r="DE48" s="334"/>
      <c r="DF48" s="334"/>
      <c r="DG48" s="334"/>
      <c r="DH48" s="334"/>
      <c r="DI48" s="334"/>
      <c r="DJ48" s="334"/>
      <c r="DK48" s="334"/>
      <c r="DL48" s="335"/>
      <c r="DM48" s="333"/>
      <c r="DN48" s="334"/>
      <c r="DO48" s="334"/>
      <c r="DP48" s="334"/>
      <c r="DQ48" s="334"/>
      <c r="DR48" s="334"/>
      <c r="DS48" s="334"/>
      <c r="DT48" s="334"/>
      <c r="DU48" s="334"/>
      <c r="DV48" s="334"/>
      <c r="DW48" s="334"/>
      <c r="DX48" s="335"/>
    </row>
    <row r="49" spans="86:128" ht="13.5" customHeight="1">
      <c r="CH49" s="333"/>
      <c r="CI49" s="334"/>
      <c r="CJ49" s="334"/>
      <c r="CK49" s="334"/>
      <c r="CL49" s="334"/>
      <c r="CM49" s="334"/>
      <c r="CN49" s="334"/>
      <c r="CO49" s="334"/>
      <c r="CP49" s="334"/>
      <c r="CQ49" s="334"/>
      <c r="CR49" s="334"/>
      <c r="CS49" s="335"/>
      <c r="DA49" s="333"/>
      <c r="DB49" s="334"/>
      <c r="DC49" s="334"/>
      <c r="DD49" s="334"/>
      <c r="DE49" s="334"/>
      <c r="DF49" s="334"/>
      <c r="DG49" s="334"/>
      <c r="DH49" s="334"/>
      <c r="DI49" s="334"/>
      <c r="DJ49" s="334"/>
      <c r="DK49" s="334"/>
      <c r="DL49" s="335"/>
      <c r="DM49" s="333"/>
      <c r="DN49" s="334"/>
      <c r="DO49" s="334"/>
      <c r="DP49" s="334"/>
      <c r="DQ49" s="334"/>
      <c r="DR49" s="334"/>
      <c r="DS49" s="334"/>
      <c r="DT49" s="334"/>
      <c r="DU49" s="334"/>
      <c r="DV49" s="334"/>
      <c r="DW49" s="334"/>
      <c r="DX49" s="335"/>
    </row>
    <row r="50" spans="86:128" ht="13.5" customHeight="1">
      <c r="CH50" s="333"/>
      <c r="CI50" s="334"/>
      <c r="CJ50" s="334"/>
      <c r="CK50" s="334"/>
      <c r="CL50" s="334"/>
      <c r="CM50" s="334"/>
      <c r="CN50" s="334"/>
      <c r="CO50" s="334"/>
      <c r="CP50" s="334"/>
      <c r="CQ50" s="334"/>
      <c r="CR50" s="334"/>
      <c r="CS50" s="335"/>
      <c r="DA50" s="333"/>
      <c r="DB50" s="334"/>
      <c r="DC50" s="334"/>
      <c r="DD50" s="334"/>
      <c r="DE50" s="334"/>
      <c r="DF50" s="334"/>
      <c r="DG50" s="334"/>
      <c r="DH50" s="334"/>
      <c r="DI50" s="334"/>
      <c r="DJ50" s="334"/>
      <c r="DK50" s="334"/>
      <c r="DL50" s="335"/>
      <c r="DM50" s="333"/>
      <c r="DN50" s="334"/>
      <c r="DO50" s="334"/>
      <c r="DP50" s="334"/>
      <c r="DQ50" s="334"/>
      <c r="DR50" s="334"/>
      <c r="DS50" s="334"/>
      <c r="DT50" s="334"/>
      <c r="DU50" s="334"/>
      <c r="DV50" s="334"/>
      <c r="DW50" s="334"/>
      <c r="DX50" s="335"/>
    </row>
    <row r="51" spans="86:128" ht="13.5" customHeight="1">
      <c r="CH51" s="333"/>
      <c r="CI51" s="334"/>
      <c r="CJ51" s="334"/>
      <c r="CK51" s="334"/>
      <c r="CL51" s="334"/>
      <c r="CM51" s="334"/>
      <c r="CN51" s="334"/>
      <c r="CO51" s="334"/>
      <c r="CP51" s="334"/>
      <c r="CQ51" s="334"/>
      <c r="CR51" s="334"/>
      <c r="CS51" s="335"/>
      <c r="DA51" s="333"/>
      <c r="DB51" s="334"/>
      <c r="DC51" s="334"/>
      <c r="DD51" s="334"/>
      <c r="DE51" s="334"/>
      <c r="DF51" s="334"/>
      <c r="DG51" s="334"/>
      <c r="DH51" s="334"/>
      <c r="DI51" s="334"/>
      <c r="DJ51" s="334"/>
      <c r="DK51" s="334"/>
      <c r="DL51" s="335"/>
      <c r="DM51" s="333"/>
      <c r="DN51" s="334"/>
      <c r="DO51" s="334"/>
      <c r="DP51" s="334"/>
      <c r="DQ51" s="334"/>
      <c r="DR51" s="334"/>
      <c r="DS51" s="334"/>
      <c r="DT51" s="334"/>
      <c r="DU51" s="334"/>
      <c r="DV51" s="334"/>
      <c r="DW51" s="334"/>
      <c r="DX51" s="335"/>
    </row>
    <row r="52" spans="86:128" ht="13.5" customHeight="1">
      <c r="CH52" s="333"/>
      <c r="CI52" s="334"/>
      <c r="CJ52" s="334"/>
      <c r="CK52" s="334"/>
      <c r="CL52" s="334"/>
      <c r="CM52" s="334"/>
      <c r="CN52" s="334"/>
      <c r="CO52" s="334"/>
      <c r="CP52" s="334"/>
      <c r="CQ52" s="334"/>
      <c r="CR52" s="334"/>
      <c r="CS52" s="335"/>
      <c r="DA52" s="333"/>
      <c r="DB52" s="334"/>
      <c r="DC52" s="334"/>
      <c r="DD52" s="334"/>
      <c r="DE52" s="334"/>
      <c r="DF52" s="334"/>
      <c r="DG52" s="334"/>
      <c r="DH52" s="334"/>
      <c r="DI52" s="334"/>
      <c r="DJ52" s="334"/>
      <c r="DK52" s="334"/>
      <c r="DL52" s="335"/>
      <c r="DM52" s="333"/>
      <c r="DN52" s="334"/>
      <c r="DO52" s="334"/>
      <c r="DP52" s="334"/>
      <c r="DQ52" s="334"/>
      <c r="DR52" s="334"/>
      <c r="DS52" s="334"/>
      <c r="DT52" s="334"/>
      <c r="DU52" s="334"/>
      <c r="DV52" s="334"/>
      <c r="DW52" s="334"/>
      <c r="DX52" s="335"/>
    </row>
    <row r="53" spans="86:128" ht="13.5" customHeight="1">
      <c r="CH53" s="333"/>
      <c r="CI53" s="334"/>
      <c r="CJ53" s="334"/>
      <c r="CK53" s="334"/>
      <c r="CL53" s="334"/>
      <c r="CM53" s="334"/>
      <c r="CN53" s="334"/>
      <c r="CO53" s="334"/>
      <c r="CP53" s="334"/>
      <c r="CQ53" s="334"/>
      <c r="CR53" s="334"/>
      <c r="CS53" s="335"/>
      <c r="DA53" s="333"/>
      <c r="DB53" s="334"/>
      <c r="DC53" s="334"/>
      <c r="DD53" s="334"/>
      <c r="DE53" s="334"/>
      <c r="DF53" s="334"/>
      <c r="DG53" s="334"/>
      <c r="DH53" s="334"/>
      <c r="DI53" s="334"/>
      <c r="DJ53" s="334"/>
      <c r="DK53" s="334"/>
      <c r="DL53" s="335"/>
      <c r="DM53" s="333"/>
      <c r="DN53" s="334"/>
      <c r="DO53" s="334"/>
      <c r="DP53" s="334"/>
      <c r="DQ53" s="334"/>
      <c r="DR53" s="334"/>
      <c r="DS53" s="334"/>
      <c r="DT53" s="334"/>
      <c r="DU53" s="334"/>
      <c r="DV53" s="334"/>
      <c r="DW53" s="334"/>
      <c r="DX53" s="335"/>
    </row>
    <row r="54" spans="86:128" ht="13.5" customHeight="1">
      <c r="CH54" s="333"/>
      <c r="CI54" s="334"/>
      <c r="CJ54" s="334"/>
      <c r="CK54" s="334"/>
      <c r="CL54" s="334"/>
      <c r="CM54" s="334"/>
      <c r="CN54" s="334"/>
      <c r="CO54" s="334"/>
      <c r="CP54" s="334"/>
      <c r="CQ54" s="334"/>
      <c r="CR54" s="334"/>
      <c r="CS54" s="335"/>
      <c r="DA54" s="333"/>
      <c r="DB54" s="334"/>
      <c r="DC54" s="334"/>
      <c r="DD54" s="334"/>
      <c r="DE54" s="334"/>
      <c r="DF54" s="334"/>
      <c r="DG54" s="334"/>
      <c r="DH54" s="334"/>
      <c r="DI54" s="334"/>
      <c r="DJ54" s="334"/>
      <c r="DK54" s="334"/>
      <c r="DL54" s="335"/>
      <c r="DM54" s="333"/>
      <c r="DN54" s="334"/>
      <c r="DO54" s="334"/>
      <c r="DP54" s="334"/>
      <c r="DQ54" s="334"/>
      <c r="DR54" s="334"/>
      <c r="DS54" s="334"/>
      <c r="DT54" s="334"/>
      <c r="DU54" s="334"/>
      <c r="DV54" s="334"/>
      <c r="DW54" s="334"/>
      <c r="DX54" s="335"/>
    </row>
    <row r="55" spans="86:128" ht="13.5" customHeight="1">
      <c r="CH55" s="333"/>
      <c r="CI55" s="334"/>
      <c r="CJ55" s="334"/>
      <c r="CK55" s="334"/>
      <c r="CL55" s="334"/>
      <c r="CM55" s="334"/>
      <c r="CN55" s="334"/>
      <c r="CO55" s="334"/>
      <c r="CP55" s="334"/>
      <c r="CQ55" s="334"/>
      <c r="CR55" s="334"/>
      <c r="CS55" s="335"/>
      <c r="DA55" s="333"/>
      <c r="DB55" s="334"/>
      <c r="DC55" s="334"/>
      <c r="DD55" s="334"/>
      <c r="DE55" s="334"/>
      <c r="DF55" s="334"/>
      <c r="DG55" s="334"/>
      <c r="DH55" s="334"/>
      <c r="DI55" s="334"/>
      <c r="DJ55" s="334"/>
      <c r="DK55" s="334"/>
      <c r="DL55" s="335"/>
      <c r="DM55" s="333"/>
      <c r="DN55" s="334"/>
      <c r="DO55" s="334"/>
      <c r="DP55" s="334"/>
      <c r="DQ55" s="334"/>
      <c r="DR55" s="334"/>
      <c r="DS55" s="334"/>
      <c r="DT55" s="334"/>
      <c r="DU55" s="334"/>
      <c r="DV55" s="334"/>
      <c r="DW55" s="334"/>
      <c r="DX55" s="335"/>
    </row>
    <row r="56" spans="86:128" ht="13.5" customHeight="1">
      <c r="CH56" s="333"/>
      <c r="CI56" s="334"/>
      <c r="CJ56" s="334"/>
      <c r="CK56" s="334"/>
      <c r="CL56" s="334"/>
      <c r="CM56" s="334"/>
      <c r="CN56" s="334"/>
      <c r="CO56" s="334"/>
      <c r="CP56" s="334"/>
      <c r="CQ56" s="334"/>
      <c r="CR56" s="334"/>
      <c r="CS56" s="335"/>
      <c r="DA56" s="333"/>
      <c r="DB56" s="334"/>
      <c r="DC56" s="334"/>
      <c r="DD56" s="334"/>
      <c r="DE56" s="334"/>
      <c r="DF56" s="334"/>
      <c r="DG56" s="334"/>
      <c r="DH56" s="334"/>
      <c r="DI56" s="334"/>
      <c r="DJ56" s="334"/>
      <c r="DK56" s="334"/>
      <c r="DL56" s="335"/>
      <c r="DM56" s="333"/>
      <c r="DN56" s="334"/>
      <c r="DO56" s="334"/>
      <c r="DP56" s="334"/>
      <c r="DQ56" s="334"/>
      <c r="DR56" s="334"/>
      <c r="DS56" s="334"/>
      <c r="DT56" s="334"/>
      <c r="DU56" s="334"/>
      <c r="DV56" s="334"/>
      <c r="DW56" s="334"/>
      <c r="DX56" s="335"/>
    </row>
    <row r="57" spans="86:128" ht="13.5" customHeight="1">
      <c r="CH57" s="333"/>
      <c r="CI57" s="334"/>
      <c r="CJ57" s="334"/>
      <c r="CK57" s="334"/>
      <c r="CL57" s="334"/>
      <c r="CM57" s="334"/>
      <c r="CN57" s="334"/>
      <c r="CO57" s="334"/>
      <c r="CP57" s="334"/>
      <c r="CQ57" s="334"/>
      <c r="CR57" s="334"/>
      <c r="CS57" s="335"/>
      <c r="DA57" s="333"/>
      <c r="DB57" s="334"/>
      <c r="DC57" s="334"/>
      <c r="DD57" s="334"/>
      <c r="DE57" s="334"/>
      <c r="DF57" s="334"/>
      <c r="DG57" s="334"/>
      <c r="DH57" s="334"/>
      <c r="DI57" s="334"/>
      <c r="DJ57" s="334"/>
      <c r="DK57" s="334"/>
      <c r="DL57" s="335"/>
      <c r="DM57" s="333"/>
      <c r="DN57" s="334"/>
      <c r="DO57" s="334"/>
      <c r="DP57" s="334"/>
      <c r="DQ57" s="334"/>
      <c r="DR57" s="334"/>
      <c r="DS57" s="334"/>
      <c r="DT57" s="334"/>
      <c r="DU57" s="334"/>
      <c r="DV57" s="334"/>
      <c r="DW57" s="334"/>
      <c r="DX57" s="335"/>
    </row>
    <row r="58" spans="86:128" ht="13.5" customHeight="1">
      <c r="CH58" s="333"/>
      <c r="CI58" s="334"/>
      <c r="CJ58" s="334"/>
      <c r="CK58" s="334"/>
      <c r="CL58" s="334"/>
      <c r="CM58" s="334"/>
      <c r="CN58" s="334"/>
      <c r="CO58" s="334"/>
      <c r="CP58" s="334"/>
      <c r="CQ58" s="334"/>
      <c r="CR58" s="334"/>
      <c r="CS58" s="335"/>
      <c r="DA58" s="333"/>
      <c r="DB58" s="334"/>
      <c r="DC58" s="334"/>
      <c r="DD58" s="334"/>
      <c r="DE58" s="334"/>
      <c r="DF58" s="334"/>
      <c r="DG58" s="334"/>
      <c r="DH58" s="334"/>
      <c r="DI58" s="334"/>
      <c r="DJ58" s="334"/>
      <c r="DK58" s="334"/>
      <c r="DL58" s="335"/>
      <c r="DM58" s="333"/>
      <c r="DN58" s="334"/>
      <c r="DO58" s="334"/>
      <c r="DP58" s="334"/>
      <c r="DQ58" s="334"/>
      <c r="DR58" s="334"/>
      <c r="DS58" s="334"/>
      <c r="DT58" s="334"/>
      <c r="DU58" s="334"/>
      <c r="DV58" s="334"/>
      <c r="DW58" s="334"/>
      <c r="DX58" s="335"/>
    </row>
    <row r="59" spans="86:128" ht="13.5" customHeight="1" thickBot="1">
      <c r="CH59" s="336"/>
      <c r="CI59" s="337"/>
      <c r="CJ59" s="337"/>
      <c r="CK59" s="337"/>
      <c r="CL59" s="337"/>
      <c r="CM59" s="337"/>
      <c r="CN59" s="337"/>
      <c r="CO59" s="337"/>
      <c r="CP59" s="337"/>
      <c r="CQ59" s="337"/>
      <c r="CR59" s="337"/>
      <c r="CS59" s="338"/>
      <c r="DA59" s="336"/>
      <c r="DB59" s="337"/>
      <c r="DC59" s="337"/>
      <c r="DD59" s="337"/>
      <c r="DE59" s="337"/>
      <c r="DF59" s="337"/>
      <c r="DG59" s="337"/>
      <c r="DH59" s="337"/>
      <c r="DI59" s="337"/>
      <c r="DJ59" s="337"/>
      <c r="DK59" s="337"/>
      <c r="DL59" s="338"/>
      <c r="DM59" s="336"/>
      <c r="DN59" s="337"/>
      <c r="DO59" s="337"/>
      <c r="DP59" s="337"/>
      <c r="DQ59" s="337"/>
      <c r="DR59" s="337"/>
      <c r="DS59" s="337"/>
      <c r="DT59" s="337"/>
      <c r="DU59" s="337"/>
      <c r="DV59" s="337"/>
      <c r="DW59" s="337"/>
      <c r="DX59" s="338"/>
    </row>
    <row r="60" spans="86:128" ht="13.5" customHeight="1">
      <c r="CH60" s="316" t="str">
        <f>CONCATENATE(CH6,CH7,CH8,CH9,CH10,CH11,CH12,CH13,CH14,CH15,CH16,CH17,CH18,CH19,CH20)</f>
        <v>Defensive Roll 6, Benefit 3 [Yakuza Leader], Attractive 2, Fascinate 2 [Persuasion/Deception], Languages 3 [Japanese, English, Various], Connected, Well-Informed</v>
      </c>
      <c r="CI60" s="317"/>
      <c r="CJ60" s="317"/>
      <c r="CK60" s="317"/>
      <c r="CL60" s="317"/>
      <c r="CM60" s="317"/>
      <c r="CN60" s="317"/>
      <c r="CO60" s="317"/>
      <c r="CP60" s="317"/>
      <c r="CQ60" s="317"/>
      <c r="CR60" s="317"/>
      <c r="CS60" s="318"/>
      <c r="DA60" s="316" t="str">
        <f>CONCATENATE(DA6,DA7,DA8,DA9,DA10,DA11,DA12,DA13,DA14,DA15,DA16,DA17,DA18,DA19,DA20)</f>
        <v>Defensive Roll 6, Benefit 3 [Yakuza Leader], Attractive 2, Fascinate 2 [Persuasion/Deception], Languages 3 [Japanese, English, Various], Connected, Well-Informed</v>
      </c>
      <c r="DB60" s="317"/>
      <c r="DC60" s="317"/>
      <c r="DD60" s="317"/>
      <c r="DE60" s="317"/>
      <c r="DF60" s="317"/>
      <c r="DG60" s="317"/>
      <c r="DH60" s="317"/>
      <c r="DI60" s="317"/>
      <c r="DJ60" s="317"/>
      <c r="DK60" s="317"/>
      <c r="DL60" s="318"/>
      <c r="DM60" s="316" t="str">
        <f>CONCATENATE(DM6,DM7,DM8,DM9,DM10,DM11,DM12,DM13,DM14,DM15,DM16,DM17,DM18,DM19,DM20)</f>
        <v>Defensive Roll 6, Benefit 3 [Yakuza Leader], Attractive 2, Fascinate 2 [Persuasion/Deception], Languages 3 [Japanese, English, Various], Connected, Well-Informed</v>
      </c>
      <c r="DN60" s="317"/>
      <c r="DO60" s="317"/>
      <c r="DP60" s="317"/>
      <c r="DQ60" s="317"/>
      <c r="DR60" s="317"/>
      <c r="DS60" s="317"/>
      <c r="DT60" s="317"/>
      <c r="DU60" s="317"/>
      <c r="DV60" s="317"/>
      <c r="DW60" s="317"/>
      <c r="DX60" s="318"/>
    </row>
    <row r="61" spans="86:128" ht="13.5" customHeight="1">
      <c r="CH61" s="319"/>
      <c r="CI61" s="320"/>
      <c r="CJ61" s="320"/>
      <c r="CK61" s="320"/>
      <c r="CL61" s="320"/>
      <c r="CM61" s="320"/>
      <c r="CN61" s="320"/>
      <c r="CO61" s="320"/>
      <c r="CP61" s="320"/>
      <c r="CQ61" s="320"/>
      <c r="CR61" s="320"/>
      <c r="CS61" s="321"/>
      <c r="DA61" s="319"/>
      <c r="DB61" s="320"/>
      <c r="DC61" s="320"/>
      <c r="DD61" s="320"/>
      <c r="DE61" s="320"/>
      <c r="DF61" s="320"/>
      <c r="DG61" s="320"/>
      <c r="DH61" s="320"/>
      <c r="DI61" s="320"/>
      <c r="DJ61" s="320"/>
      <c r="DK61" s="320"/>
      <c r="DL61" s="321"/>
      <c r="DM61" s="319"/>
      <c r="DN61" s="320"/>
      <c r="DO61" s="320"/>
      <c r="DP61" s="320"/>
      <c r="DQ61" s="320"/>
      <c r="DR61" s="320"/>
      <c r="DS61" s="320"/>
      <c r="DT61" s="320"/>
      <c r="DU61" s="320"/>
      <c r="DV61" s="320"/>
      <c r="DW61" s="320"/>
      <c r="DX61" s="321"/>
    </row>
    <row r="62" spans="86:128" ht="13.5" customHeight="1">
      <c r="CH62" s="319"/>
      <c r="CI62" s="320"/>
      <c r="CJ62" s="320"/>
      <c r="CK62" s="320"/>
      <c r="CL62" s="320"/>
      <c r="CM62" s="320"/>
      <c r="CN62" s="320"/>
      <c r="CO62" s="320"/>
      <c r="CP62" s="320"/>
      <c r="CQ62" s="320"/>
      <c r="CR62" s="320"/>
      <c r="CS62" s="321"/>
      <c r="DA62" s="319"/>
      <c r="DB62" s="320"/>
      <c r="DC62" s="320"/>
      <c r="DD62" s="320"/>
      <c r="DE62" s="320"/>
      <c r="DF62" s="320"/>
      <c r="DG62" s="320"/>
      <c r="DH62" s="320"/>
      <c r="DI62" s="320"/>
      <c r="DJ62" s="320"/>
      <c r="DK62" s="320"/>
      <c r="DL62" s="321"/>
      <c r="DM62" s="319"/>
      <c r="DN62" s="320"/>
      <c r="DO62" s="320"/>
      <c r="DP62" s="320"/>
      <c r="DQ62" s="320"/>
      <c r="DR62" s="320"/>
      <c r="DS62" s="320"/>
      <c r="DT62" s="320"/>
      <c r="DU62" s="320"/>
      <c r="DV62" s="320"/>
      <c r="DW62" s="320"/>
      <c r="DX62" s="321"/>
    </row>
    <row r="63" spans="86:128" ht="13.5" customHeight="1">
      <c r="CH63" s="319"/>
      <c r="CI63" s="320"/>
      <c r="CJ63" s="320"/>
      <c r="CK63" s="320"/>
      <c r="CL63" s="320"/>
      <c r="CM63" s="320"/>
      <c r="CN63" s="320"/>
      <c r="CO63" s="320"/>
      <c r="CP63" s="320"/>
      <c r="CQ63" s="320"/>
      <c r="CR63" s="320"/>
      <c r="CS63" s="321"/>
      <c r="DA63" s="319"/>
      <c r="DB63" s="320"/>
      <c r="DC63" s="320"/>
      <c r="DD63" s="320"/>
      <c r="DE63" s="320"/>
      <c r="DF63" s="320"/>
      <c r="DG63" s="320"/>
      <c r="DH63" s="320"/>
      <c r="DI63" s="320"/>
      <c r="DJ63" s="320"/>
      <c r="DK63" s="320"/>
      <c r="DL63" s="321"/>
      <c r="DM63" s="319"/>
      <c r="DN63" s="320"/>
      <c r="DO63" s="320"/>
      <c r="DP63" s="320"/>
      <c r="DQ63" s="320"/>
      <c r="DR63" s="320"/>
      <c r="DS63" s="320"/>
      <c r="DT63" s="320"/>
      <c r="DU63" s="320"/>
      <c r="DV63" s="320"/>
      <c r="DW63" s="320"/>
      <c r="DX63" s="321"/>
    </row>
    <row r="64" spans="86:128" ht="13.5" customHeight="1">
      <c r="CH64" s="319"/>
      <c r="CI64" s="320"/>
      <c r="CJ64" s="320"/>
      <c r="CK64" s="320"/>
      <c r="CL64" s="320"/>
      <c r="CM64" s="320"/>
      <c r="CN64" s="320"/>
      <c r="CO64" s="320"/>
      <c r="CP64" s="320"/>
      <c r="CQ64" s="320"/>
      <c r="CR64" s="320"/>
      <c r="CS64" s="321"/>
      <c r="DA64" s="319"/>
      <c r="DB64" s="320"/>
      <c r="DC64" s="320"/>
      <c r="DD64" s="320"/>
      <c r="DE64" s="320"/>
      <c r="DF64" s="320"/>
      <c r="DG64" s="320"/>
      <c r="DH64" s="320"/>
      <c r="DI64" s="320"/>
      <c r="DJ64" s="320"/>
      <c r="DK64" s="320"/>
      <c r="DL64" s="321"/>
      <c r="DM64" s="319"/>
      <c r="DN64" s="320"/>
      <c r="DO64" s="320"/>
      <c r="DP64" s="320"/>
      <c r="DQ64" s="320"/>
      <c r="DR64" s="320"/>
      <c r="DS64" s="320"/>
      <c r="DT64" s="320"/>
      <c r="DU64" s="320"/>
      <c r="DV64" s="320"/>
      <c r="DW64" s="320"/>
      <c r="DX64" s="321"/>
    </row>
    <row r="65" spans="86:128" ht="13.5" customHeight="1">
      <c r="CH65" s="319"/>
      <c r="CI65" s="320"/>
      <c r="CJ65" s="320"/>
      <c r="CK65" s="320"/>
      <c r="CL65" s="320"/>
      <c r="CM65" s="320"/>
      <c r="CN65" s="320"/>
      <c r="CO65" s="320"/>
      <c r="CP65" s="320"/>
      <c r="CQ65" s="320"/>
      <c r="CR65" s="320"/>
      <c r="CS65" s="321"/>
      <c r="DA65" s="319"/>
      <c r="DB65" s="320"/>
      <c r="DC65" s="320"/>
      <c r="DD65" s="320"/>
      <c r="DE65" s="320"/>
      <c r="DF65" s="320"/>
      <c r="DG65" s="320"/>
      <c r="DH65" s="320"/>
      <c r="DI65" s="320"/>
      <c r="DJ65" s="320"/>
      <c r="DK65" s="320"/>
      <c r="DL65" s="321"/>
      <c r="DM65" s="319"/>
      <c r="DN65" s="320"/>
      <c r="DO65" s="320"/>
      <c r="DP65" s="320"/>
      <c r="DQ65" s="320"/>
      <c r="DR65" s="320"/>
      <c r="DS65" s="320"/>
      <c r="DT65" s="320"/>
      <c r="DU65" s="320"/>
      <c r="DV65" s="320"/>
      <c r="DW65" s="320"/>
      <c r="DX65" s="321"/>
    </row>
    <row r="66" spans="86:128" ht="13.5" customHeight="1" thickBot="1">
      <c r="CH66" s="322"/>
      <c r="CI66" s="323"/>
      <c r="CJ66" s="323"/>
      <c r="CK66" s="323"/>
      <c r="CL66" s="323"/>
      <c r="CM66" s="323"/>
      <c r="CN66" s="323"/>
      <c r="CO66" s="323"/>
      <c r="CP66" s="323"/>
      <c r="CQ66" s="323"/>
      <c r="CR66" s="323"/>
      <c r="CS66" s="324"/>
      <c r="DA66" s="322"/>
      <c r="DB66" s="323"/>
      <c r="DC66" s="323"/>
      <c r="DD66" s="323"/>
      <c r="DE66" s="323"/>
      <c r="DF66" s="323"/>
      <c r="DG66" s="323"/>
      <c r="DH66" s="323"/>
      <c r="DI66" s="323"/>
      <c r="DJ66" s="323"/>
      <c r="DK66" s="323"/>
      <c r="DL66" s="324"/>
      <c r="DM66" s="322"/>
      <c r="DN66" s="323"/>
      <c r="DO66" s="323"/>
      <c r="DP66" s="323"/>
      <c r="DQ66" s="323"/>
      <c r="DR66" s="323"/>
      <c r="DS66" s="323"/>
      <c r="DT66" s="323"/>
      <c r="DU66" s="323"/>
      <c r="DV66" s="323"/>
      <c r="DW66" s="323"/>
      <c r="DX66" s="324"/>
    </row>
    <row r="67" spans="86:128" ht="13.5" customHeight="1">
      <c r="CH67" s="316" t="str">
        <f>CONCATENATE(CH21,CH22,CH23,CH24,CH25,CH26,CH27,CH28,CH29,CH30,CH31,CH32,CH33,CH34,CH35,CH36,CH37,CH38,CH39)</f>
        <v/>
      </c>
      <c r="CI67" s="317"/>
      <c r="CJ67" s="317"/>
      <c r="CK67" s="317"/>
      <c r="CL67" s="317"/>
      <c r="CM67" s="317"/>
      <c r="CN67" s="317"/>
      <c r="CO67" s="317"/>
      <c r="CP67" s="317"/>
      <c r="CQ67" s="317"/>
      <c r="CR67" s="317"/>
      <c r="CS67" s="318"/>
      <c r="DA67" s="316" t="str">
        <f>CONCATENATE(DA21,DA22,DA23,DA24,DA25,DA26,DA27,DA28,DA29,DA30,DA31,DA32,DA33,DA34,DA35,DA36,DA37,DA38,DA39)</f>
        <v/>
      </c>
      <c r="DB67" s="317"/>
      <c r="DC67" s="317"/>
      <c r="DD67" s="317"/>
      <c r="DE67" s="317"/>
      <c r="DF67" s="317"/>
      <c r="DG67" s="317"/>
      <c r="DH67" s="317"/>
      <c r="DI67" s="317"/>
      <c r="DJ67" s="317"/>
      <c r="DK67" s="317"/>
      <c r="DL67" s="318"/>
      <c r="DM67" s="316" t="str">
        <f>CONCATENATE(DM21,DM22,DM23,DM24,DM25,DM26,DM27,DM28,DM29,DM30,DM31,DM32,DM33,DM34,DM35,DM36,DM37,DM38,DM39)</f>
        <v/>
      </c>
      <c r="DN67" s="317"/>
      <c r="DO67" s="317"/>
      <c r="DP67" s="317"/>
      <c r="DQ67" s="317"/>
      <c r="DR67" s="317"/>
      <c r="DS67" s="317"/>
      <c r="DT67" s="317"/>
      <c r="DU67" s="317"/>
      <c r="DV67" s="317"/>
      <c r="DW67" s="317"/>
      <c r="DX67" s="318"/>
    </row>
    <row r="68" spans="86:128" ht="13.5" customHeight="1">
      <c r="CH68" s="319"/>
      <c r="CI68" s="320"/>
      <c r="CJ68" s="320"/>
      <c r="CK68" s="320"/>
      <c r="CL68" s="320"/>
      <c r="CM68" s="320"/>
      <c r="CN68" s="320"/>
      <c r="CO68" s="320"/>
      <c r="CP68" s="320"/>
      <c r="CQ68" s="320"/>
      <c r="CR68" s="320"/>
      <c r="CS68" s="321"/>
      <c r="DA68" s="319"/>
      <c r="DB68" s="320"/>
      <c r="DC68" s="320"/>
      <c r="DD68" s="320"/>
      <c r="DE68" s="320"/>
      <c r="DF68" s="320"/>
      <c r="DG68" s="320"/>
      <c r="DH68" s="320"/>
      <c r="DI68" s="320"/>
      <c r="DJ68" s="320"/>
      <c r="DK68" s="320"/>
      <c r="DL68" s="321"/>
      <c r="DM68" s="319"/>
      <c r="DN68" s="320"/>
      <c r="DO68" s="320"/>
      <c r="DP68" s="320"/>
      <c r="DQ68" s="320"/>
      <c r="DR68" s="320"/>
      <c r="DS68" s="320"/>
      <c r="DT68" s="320"/>
      <c r="DU68" s="320"/>
      <c r="DV68" s="320"/>
      <c r="DW68" s="320"/>
      <c r="DX68" s="321"/>
    </row>
    <row r="69" spans="86:128" ht="13.5" customHeight="1">
      <c r="CH69" s="319"/>
      <c r="CI69" s="320"/>
      <c r="CJ69" s="320"/>
      <c r="CK69" s="320"/>
      <c r="CL69" s="320"/>
      <c r="CM69" s="320"/>
      <c r="CN69" s="320"/>
      <c r="CO69" s="320"/>
      <c r="CP69" s="320"/>
      <c r="CQ69" s="320"/>
      <c r="CR69" s="320"/>
      <c r="CS69" s="321"/>
      <c r="DA69" s="319"/>
      <c r="DB69" s="320"/>
      <c r="DC69" s="320"/>
      <c r="DD69" s="320"/>
      <c r="DE69" s="320"/>
      <c r="DF69" s="320"/>
      <c r="DG69" s="320"/>
      <c r="DH69" s="320"/>
      <c r="DI69" s="320"/>
      <c r="DJ69" s="320"/>
      <c r="DK69" s="320"/>
      <c r="DL69" s="321"/>
      <c r="DM69" s="319"/>
      <c r="DN69" s="320"/>
      <c r="DO69" s="320"/>
      <c r="DP69" s="320"/>
      <c r="DQ69" s="320"/>
      <c r="DR69" s="320"/>
      <c r="DS69" s="320"/>
      <c r="DT69" s="320"/>
      <c r="DU69" s="320"/>
      <c r="DV69" s="320"/>
      <c r="DW69" s="320"/>
      <c r="DX69" s="321"/>
    </row>
    <row r="70" spans="86:128" ht="13.5" customHeight="1">
      <c r="CH70" s="319"/>
      <c r="CI70" s="320"/>
      <c r="CJ70" s="320"/>
      <c r="CK70" s="320"/>
      <c r="CL70" s="320"/>
      <c r="CM70" s="320"/>
      <c r="CN70" s="320"/>
      <c r="CO70" s="320"/>
      <c r="CP70" s="320"/>
      <c r="CQ70" s="320"/>
      <c r="CR70" s="320"/>
      <c r="CS70" s="321"/>
      <c r="DA70" s="319"/>
      <c r="DB70" s="320"/>
      <c r="DC70" s="320"/>
      <c r="DD70" s="320"/>
      <c r="DE70" s="320"/>
      <c r="DF70" s="320"/>
      <c r="DG70" s="320"/>
      <c r="DH70" s="320"/>
      <c r="DI70" s="320"/>
      <c r="DJ70" s="320"/>
      <c r="DK70" s="320"/>
      <c r="DL70" s="321"/>
      <c r="DM70" s="319"/>
      <c r="DN70" s="320"/>
      <c r="DO70" s="320"/>
      <c r="DP70" s="320"/>
      <c r="DQ70" s="320"/>
      <c r="DR70" s="320"/>
      <c r="DS70" s="320"/>
      <c r="DT70" s="320"/>
      <c r="DU70" s="320"/>
      <c r="DV70" s="320"/>
      <c r="DW70" s="320"/>
      <c r="DX70" s="321"/>
    </row>
    <row r="71" spans="86:128" ht="13.5" customHeight="1">
      <c r="CH71" s="319"/>
      <c r="CI71" s="320"/>
      <c r="CJ71" s="320"/>
      <c r="CK71" s="320"/>
      <c r="CL71" s="320"/>
      <c r="CM71" s="320"/>
      <c r="CN71" s="320"/>
      <c r="CO71" s="320"/>
      <c r="CP71" s="320"/>
      <c r="CQ71" s="320"/>
      <c r="CR71" s="320"/>
      <c r="CS71" s="321"/>
      <c r="DA71" s="319"/>
      <c r="DB71" s="320"/>
      <c r="DC71" s="320"/>
      <c r="DD71" s="320"/>
      <c r="DE71" s="320"/>
      <c r="DF71" s="320"/>
      <c r="DG71" s="320"/>
      <c r="DH71" s="320"/>
      <c r="DI71" s="320"/>
      <c r="DJ71" s="320"/>
      <c r="DK71" s="320"/>
      <c r="DL71" s="321"/>
      <c r="DM71" s="319"/>
      <c r="DN71" s="320"/>
      <c r="DO71" s="320"/>
      <c r="DP71" s="320"/>
      <c r="DQ71" s="320"/>
      <c r="DR71" s="320"/>
      <c r="DS71" s="320"/>
      <c r="DT71" s="320"/>
      <c r="DU71" s="320"/>
      <c r="DV71" s="320"/>
      <c r="DW71" s="320"/>
      <c r="DX71" s="321"/>
    </row>
    <row r="72" spans="86:128" ht="13.5" customHeight="1">
      <c r="CH72" s="319"/>
      <c r="CI72" s="320"/>
      <c r="CJ72" s="320"/>
      <c r="CK72" s="320"/>
      <c r="CL72" s="320"/>
      <c r="CM72" s="320"/>
      <c r="CN72" s="320"/>
      <c r="CO72" s="320"/>
      <c r="CP72" s="320"/>
      <c r="CQ72" s="320"/>
      <c r="CR72" s="320"/>
      <c r="CS72" s="321"/>
      <c r="DA72" s="319"/>
      <c r="DB72" s="320"/>
      <c r="DC72" s="320"/>
      <c r="DD72" s="320"/>
      <c r="DE72" s="320"/>
      <c r="DF72" s="320"/>
      <c r="DG72" s="320"/>
      <c r="DH72" s="320"/>
      <c r="DI72" s="320"/>
      <c r="DJ72" s="320"/>
      <c r="DK72" s="320"/>
      <c r="DL72" s="321"/>
      <c r="DM72" s="319"/>
      <c r="DN72" s="320"/>
      <c r="DO72" s="320"/>
      <c r="DP72" s="320"/>
      <c r="DQ72" s="320"/>
      <c r="DR72" s="320"/>
      <c r="DS72" s="320"/>
      <c r="DT72" s="320"/>
      <c r="DU72" s="320"/>
      <c r="DV72" s="320"/>
      <c r="DW72" s="320"/>
      <c r="DX72" s="321"/>
    </row>
    <row r="73" spans="86:128" ht="13.5" customHeight="1" thickBot="1">
      <c r="CH73" s="322"/>
      <c r="CI73" s="323"/>
      <c r="CJ73" s="323"/>
      <c r="CK73" s="323"/>
      <c r="CL73" s="323"/>
      <c r="CM73" s="323"/>
      <c r="CN73" s="323"/>
      <c r="CO73" s="323"/>
      <c r="CP73" s="323"/>
      <c r="CQ73" s="323"/>
      <c r="CR73" s="323"/>
      <c r="CS73" s="324"/>
      <c r="DA73" s="322"/>
      <c r="DB73" s="323"/>
      <c r="DC73" s="323"/>
      <c r="DD73" s="323"/>
      <c r="DE73" s="323"/>
      <c r="DF73" s="323"/>
      <c r="DG73" s="323"/>
      <c r="DH73" s="323"/>
      <c r="DI73" s="323"/>
      <c r="DJ73" s="323"/>
      <c r="DK73" s="323"/>
      <c r="DL73" s="324"/>
      <c r="DM73" s="322"/>
      <c r="DN73" s="323"/>
      <c r="DO73" s="323"/>
      <c r="DP73" s="323"/>
      <c r="DQ73" s="323"/>
      <c r="DR73" s="323"/>
      <c r="DS73" s="323"/>
      <c r="DT73" s="323"/>
      <c r="DU73" s="323"/>
      <c r="DV73" s="323"/>
      <c r="DW73" s="323"/>
      <c r="DX73" s="324"/>
    </row>
  </sheetData>
  <mergeCells count="484">
    <mergeCell ref="C3:J4"/>
    <mergeCell ref="C5:J5"/>
    <mergeCell ref="DA67:DL73"/>
    <mergeCell ref="K5:M5"/>
    <mergeCell ref="K6:M6"/>
    <mergeCell ref="DA4:DD5"/>
    <mergeCell ref="DA41:DL59"/>
    <mergeCell ref="DA60:DL66"/>
    <mergeCell ref="W6:AM6"/>
    <mergeCell ref="N6:V6"/>
    <mergeCell ref="BR41:BU41"/>
    <mergeCell ref="AQ9:AS9"/>
    <mergeCell ref="C8:J8"/>
    <mergeCell ref="K8:M8"/>
    <mergeCell ref="N8:V8"/>
    <mergeCell ref="W8:AM8"/>
    <mergeCell ref="AQ8:AS8"/>
    <mergeCell ref="AQ5:AS5"/>
    <mergeCell ref="AQ6:AS6"/>
    <mergeCell ref="C7:J7"/>
    <mergeCell ref="K7:M7"/>
    <mergeCell ref="N7:V7"/>
    <mergeCell ref="C6:J6"/>
    <mergeCell ref="AQ7:AS7"/>
    <mergeCell ref="N5:V5"/>
    <mergeCell ref="W5:AM5"/>
    <mergeCell ref="AN6:AP6"/>
    <mergeCell ref="C10:J10"/>
    <mergeCell ref="K10:M10"/>
    <mergeCell ref="N10:V10"/>
    <mergeCell ref="W10:AM10"/>
    <mergeCell ref="AQ10:AS10"/>
    <mergeCell ref="C9:J9"/>
    <mergeCell ref="K9:M9"/>
    <mergeCell ref="N9:V9"/>
    <mergeCell ref="W9:AM9"/>
    <mergeCell ref="W7:AM7"/>
    <mergeCell ref="AN5:AP5"/>
    <mergeCell ref="AN7:AP7"/>
    <mergeCell ref="AN8:AP8"/>
    <mergeCell ref="AN9:AP9"/>
    <mergeCell ref="AN10:AP10"/>
    <mergeCell ref="C11:J11"/>
    <mergeCell ref="K11:M11"/>
    <mergeCell ref="N11:V11"/>
    <mergeCell ref="W11:AM11"/>
    <mergeCell ref="AQ11:AS11"/>
    <mergeCell ref="C12:J12"/>
    <mergeCell ref="K12:M12"/>
    <mergeCell ref="N12:V12"/>
    <mergeCell ref="W12:AM12"/>
    <mergeCell ref="AQ12:AS12"/>
    <mergeCell ref="AN11:AP11"/>
    <mergeCell ref="AN12:AP12"/>
    <mergeCell ref="C13:J13"/>
    <mergeCell ref="K13:M13"/>
    <mergeCell ref="N13:V13"/>
    <mergeCell ref="W13:AM13"/>
    <mergeCell ref="AQ13:AS13"/>
    <mergeCell ref="C14:J14"/>
    <mergeCell ref="K14:M14"/>
    <mergeCell ref="N14:V14"/>
    <mergeCell ref="W14:AM14"/>
    <mergeCell ref="AQ14:AS14"/>
    <mergeCell ref="AN13:AP13"/>
    <mergeCell ref="AN14:AP14"/>
    <mergeCell ref="C15:J15"/>
    <mergeCell ref="K15:M15"/>
    <mergeCell ref="N15:V15"/>
    <mergeCell ref="W15:AM15"/>
    <mergeCell ref="AQ15:AS15"/>
    <mergeCell ref="C16:J16"/>
    <mergeCell ref="K16:M16"/>
    <mergeCell ref="N16:V16"/>
    <mergeCell ref="W16:AM16"/>
    <mergeCell ref="AQ16:AS16"/>
    <mergeCell ref="AN15:AP15"/>
    <mergeCell ref="AN16:AP16"/>
    <mergeCell ref="C17:J17"/>
    <mergeCell ref="K17:M17"/>
    <mergeCell ref="N17:V17"/>
    <mergeCell ref="W17:AM17"/>
    <mergeCell ref="AQ17:AS17"/>
    <mergeCell ref="C39:J39"/>
    <mergeCell ref="K39:M39"/>
    <mergeCell ref="N39:V39"/>
    <mergeCell ref="W39:AM39"/>
    <mergeCell ref="AQ39:AS39"/>
    <mergeCell ref="C18:J18"/>
    <mergeCell ref="K18:M18"/>
    <mergeCell ref="N18:V18"/>
    <mergeCell ref="W18:AM18"/>
    <mergeCell ref="AQ18:AS18"/>
    <mergeCell ref="C19:J19"/>
    <mergeCell ref="K19:M19"/>
    <mergeCell ref="N19:V19"/>
    <mergeCell ref="W19:AM19"/>
    <mergeCell ref="AQ19:AS19"/>
    <mergeCell ref="C32:J32"/>
    <mergeCell ref="C33:J33"/>
    <mergeCell ref="C34:J34"/>
    <mergeCell ref="C35:J35"/>
    <mergeCell ref="BJ20:BM20"/>
    <mergeCell ref="BJ22:BM22"/>
    <mergeCell ref="BJ24:BM24"/>
    <mergeCell ref="BJ26:BM26"/>
    <mergeCell ref="BJ30:BM30"/>
    <mergeCell ref="BJ16:BM16"/>
    <mergeCell ref="BJ4:BM5"/>
    <mergeCell ref="BJ6:BM6"/>
    <mergeCell ref="BJ7:BM7"/>
    <mergeCell ref="BJ8:BM8"/>
    <mergeCell ref="BJ9:BM9"/>
    <mergeCell ref="BJ17:BM17"/>
    <mergeCell ref="BJ11:BM11"/>
    <mergeCell ref="BJ12:BM12"/>
    <mergeCell ref="BJ13:BM13"/>
    <mergeCell ref="BJ10:BM10"/>
    <mergeCell ref="BJ15:BM15"/>
    <mergeCell ref="BJ18:BM18"/>
    <mergeCell ref="BJ19:BM19"/>
    <mergeCell ref="BJ23:BM23"/>
    <mergeCell ref="BN11:BQ11"/>
    <mergeCell ref="BN12:BQ12"/>
    <mergeCell ref="BN13:BQ13"/>
    <mergeCell ref="BN14:BQ14"/>
    <mergeCell ref="BN15:BQ15"/>
    <mergeCell ref="BN7:BQ7"/>
    <mergeCell ref="BN8:BQ8"/>
    <mergeCell ref="BN9:BQ9"/>
    <mergeCell ref="BN10:BQ10"/>
    <mergeCell ref="BR16:BU16"/>
    <mergeCell ref="BR17:BU17"/>
    <mergeCell ref="BR18:BU18"/>
    <mergeCell ref="BR19:BU19"/>
    <mergeCell ref="BR11:BU11"/>
    <mergeCell ref="BR12:BU12"/>
    <mergeCell ref="BR13:BU13"/>
    <mergeCell ref="BR14:BU14"/>
    <mergeCell ref="AW3:BG4"/>
    <mergeCell ref="BE6:BG6"/>
    <mergeCell ref="BE7:BG7"/>
    <mergeCell ref="BE8:BG8"/>
    <mergeCell ref="BE9:BG9"/>
    <mergeCell ref="BR4:BU5"/>
    <mergeCell ref="BR6:BU6"/>
    <mergeCell ref="BR7:BU7"/>
    <mergeCell ref="BR8:BU8"/>
    <mergeCell ref="BN6:BQ6"/>
    <mergeCell ref="BR15:BU15"/>
    <mergeCell ref="BN16:BQ16"/>
    <mergeCell ref="BN17:BQ17"/>
    <mergeCell ref="BN18:BQ18"/>
    <mergeCell ref="BN19:BQ19"/>
    <mergeCell ref="BJ14:BM14"/>
    <mergeCell ref="BE10:BG10"/>
    <mergeCell ref="BV4:BY5"/>
    <mergeCell ref="BV6:BY6"/>
    <mergeCell ref="BV7:BY7"/>
    <mergeCell ref="BV8:BY8"/>
    <mergeCell ref="BV9:BY9"/>
    <mergeCell ref="BV10:BY10"/>
    <mergeCell ref="BR10:BU10"/>
    <mergeCell ref="BR9:BU9"/>
    <mergeCell ref="BN4:BQ5"/>
    <mergeCell ref="BV19:BY19"/>
    <mergeCell ref="BV37:BY37"/>
    <mergeCell ref="BV39:BY39"/>
    <mergeCell ref="BV40:BY40"/>
    <mergeCell ref="BZ4:CC5"/>
    <mergeCell ref="BZ6:CC6"/>
    <mergeCell ref="BZ7:CC7"/>
    <mergeCell ref="BZ8:CC8"/>
    <mergeCell ref="BZ9:CC9"/>
    <mergeCell ref="BV13:BY13"/>
    <mergeCell ref="BV14:BY14"/>
    <mergeCell ref="BV15:BY15"/>
    <mergeCell ref="BV16:BY16"/>
    <mergeCell ref="BV17:BY17"/>
    <mergeCell ref="BV18:BY18"/>
    <mergeCell ref="BV11:BY11"/>
    <mergeCell ref="BV12:BY12"/>
    <mergeCell ref="BV20:BY20"/>
    <mergeCell ref="BZ20:CC20"/>
    <mergeCell ref="BV26:BY26"/>
    <mergeCell ref="BZ26:CC26"/>
    <mergeCell ref="BV33:BY33"/>
    <mergeCell ref="BZ33:CC33"/>
    <mergeCell ref="BV38:BY38"/>
    <mergeCell ref="CD17:CG17"/>
    <mergeCell ref="CD18:CG18"/>
    <mergeCell ref="BZ40:CC40"/>
    <mergeCell ref="BE14:BG14"/>
    <mergeCell ref="CD4:CG5"/>
    <mergeCell ref="CD6:CG6"/>
    <mergeCell ref="CD7:CG7"/>
    <mergeCell ref="CD8:CG8"/>
    <mergeCell ref="CD9:CG9"/>
    <mergeCell ref="CD10:CG10"/>
    <mergeCell ref="CD11:CG11"/>
    <mergeCell ref="CD12:CG12"/>
    <mergeCell ref="BZ16:CC16"/>
    <mergeCell ref="BZ17:CC17"/>
    <mergeCell ref="BZ18:CC18"/>
    <mergeCell ref="BZ19:CC19"/>
    <mergeCell ref="BZ37:CC37"/>
    <mergeCell ref="BZ39:CC39"/>
    <mergeCell ref="BZ10:CC10"/>
    <mergeCell ref="BZ11:CC11"/>
    <mergeCell ref="BZ12:CC12"/>
    <mergeCell ref="BZ13:CC13"/>
    <mergeCell ref="BZ14:CC14"/>
    <mergeCell ref="BZ15:CC15"/>
    <mergeCell ref="CD39:CG39"/>
    <mergeCell ref="CD40:CG40"/>
    <mergeCell ref="C20:J20"/>
    <mergeCell ref="C21:J21"/>
    <mergeCell ref="C22:J22"/>
    <mergeCell ref="C23:J23"/>
    <mergeCell ref="C24:J24"/>
    <mergeCell ref="C25:J25"/>
    <mergeCell ref="BR40:BU40"/>
    <mergeCell ref="BR37:BU37"/>
    <mergeCell ref="BR39:BU39"/>
    <mergeCell ref="BR20:BU20"/>
    <mergeCell ref="BR22:BU22"/>
    <mergeCell ref="BN40:BQ40"/>
    <mergeCell ref="BN20:BQ20"/>
    <mergeCell ref="BN22:BQ22"/>
    <mergeCell ref="BN24:BQ24"/>
    <mergeCell ref="BN26:BQ26"/>
    <mergeCell ref="BN28:BQ28"/>
    <mergeCell ref="BR28:BU28"/>
    <mergeCell ref="BN37:BQ37"/>
    <mergeCell ref="BN39:BQ39"/>
    <mergeCell ref="BJ39:BM39"/>
    <mergeCell ref="BJ40:BM40"/>
    <mergeCell ref="C36:J36"/>
    <mergeCell ref="C38:J38"/>
    <mergeCell ref="C37:J37"/>
    <mergeCell ref="C26:J26"/>
    <mergeCell ref="C27:J27"/>
    <mergeCell ref="C28:J28"/>
    <mergeCell ref="C29:J29"/>
    <mergeCell ref="C30:J30"/>
    <mergeCell ref="C31:J31"/>
    <mergeCell ref="K35:M35"/>
    <mergeCell ref="K36:M36"/>
    <mergeCell ref="K38:M38"/>
    <mergeCell ref="K37:M37"/>
    <mergeCell ref="K26:M26"/>
    <mergeCell ref="K27:M27"/>
    <mergeCell ref="K28:M28"/>
    <mergeCell ref="K29:M29"/>
    <mergeCell ref="K30:M30"/>
    <mergeCell ref="K31:M31"/>
    <mergeCell ref="N20:V20"/>
    <mergeCell ref="N21:V21"/>
    <mergeCell ref="N22:V22"/>
    <mergeCell ref="N23:V23"/>
    <mergeCell ref="N24:V24"/>
    <mergeCell ref="N25:V25"/>
    <mergeCell ref="K32:M32"/>
    <mergeCell ref="K33:M33"/>
    <mergeCell ref="K34:M34"/>
    <mergeCell ref="K20:M20"/>
    <mergeCell ref="K21:M21"/>
    <mergeCell ref="K22:M22"/>
    <mergeCell ref="K23:M23"/>
    <mergeCell ref="K24:M24"/>
    <mergeCell ref="K25:M25"/>
    <mergeCell ref="N32:V32"/>
    <mergeCell ref="N33:V33"/>
    <mergeCell ref="N34:V34"/>
    <mergeCell ref="N35:V35"/>
    <mergeCell ref="N36:V36"/>
    <mergeCell ref="N38:V38"/>
    <mergeCell ref="N37:V37"/>
    <mergeCell ref="N26:V26"/>
    <mergeCell ref="N27:V27"/>
    <mergeCell ref="N28:V28"/>
    <mergeCell ref="N29:V29"/>
    <mergeCell ref="N30:V30"/>
    <mergeCell ref="N31:V31"/>
    <mergeCell ref="W32:AM32"/>
    <mergeCell ref="W33:AM33"/>
    <mergeCell ref="W34:AM34"/>
    <mergeCell ref="W35:AM35"/>
    <mergeCell ref="W36:AM36"/>
    <mergeCell ref="W38:AM38"/>
    <mergeCell ref="W37:AM37"/>
    <mergeCell ref="W26:AM26"/>
    <mergeCell ref="W27:AM27"/>
    <mergeCell ref="W28:AM28"/>
    <mergeCell ref="W29:AM29"/>
    <mergeCell ref="W30:AM30"/>
    <mergeCell ref="W31:AM31"/>
    <mergeCell ref="BN23:BQ23"/>
    <mergeCell ref="BR23:BU23"/>
    <mergeCell ref="BV23:BY23"/>
    <mergeCell ref="BZ23:CC23"/>
    <mergeCell ref="CD23:CG23"/>
    <mergeCell ref="BV24:BY24"/>
    <mergeCell ref="BZ24:CC24"/>
    <mergeCell ref="CD24:CG24"/>
    <mergeCell ref="BJ25:BM25"/>
    <mergeCell ref="BN25:BQ25"/>
    <mergeCell ref="BR25:BU25"/>
    <mergeCell ref="BV25:BY25"/>
    <mergeCell ref="BZ25:CC25"/>
    <mergeCell ref="CD25:CG25"/>
    <mergeCell ref="BR24:BU24"/>
    <mergeCell ref="CD26:CG26"/>
    <mergeCell ref="BJ27:BM27"/>
    <mergeCell ref="BN27:BQ27"/>
    <mergeCell ref="BR27:BU27"/>
    <mergeCell ref="BV27:BY27"/>
    <mergeCell ref="BZ27:CC27"/>
    <mergeCell ref="CD27:CG27"/>
    <mergeCell ref="BR26:BU26"/>
    <mergeCell ref="BV30:BY30"/>
    <mergeCell ref="BZ30:CC30"/>
    <mergeCell ref="CD30:CG30"/>
    <mergeCell ref="BV28:BY28"/>
    <mergeCell ref="BZ28:CC28"/>
    <mergeCell ref="CD28:CG28"/>
    <mergeCell ref="BJ29:BM29"/>
    <mergeCell ref="BN29:BQ29"/>
    <mergeCell ref="BR29:BU29"/>
    <mergeCell ref="BV29:BY29"/>
    <mergeCell ref="BZ29:CC29"/>
    <mergeCell ref="CD29:CG29"/>
    <mergeCell ref="BJ28:BM28"/>
    <mergeCell ref="CD33:CG33"/>
    <mergeCell ref="CD31:CG31"/>
    <mergeCell ref="BJ32:BM32"/>
    <mergeCell ref="BN32:BQ32"/>
    <mergeCell ref="BR32:BU32"/>
    <mergeCell ref="BV32:BY32"/>
    <mergeCell ref="BZ32:CC32"/>
    <mergeCell ref="CD32:CG32"/>
    <mergeCell ref="BV35:BY35"/>
    <mergeCell ref="BZ35:CC35"/>
    <mergeCell ref="CD35:CG35"/>
    <mergeCell ref="BJ34:BM34"/>
    <mergeCell ref="BN34:BQ34"/>
    <mergeCell ref="BR34:BU34"/>
    <mergeCell ref="BV34:BY34"/>
    <mergeCell ref="BZ34:CC34"/>
    <mergeCell ref="CD34:CG34"/>
    <mergeCell ref="BJ31:BM31"/>
    <mergeCell ref="BN31:BQ31"/>
    <mergeCell ref="BR31:BU31"/>
    <mergeCell ref="BV31:BY31"/>
    <mergeCell ref="BZ31:CC31"/>
    <mergeCell ref="CD38:CG38"/>
    <mergeCell ref="BJ36:BM36"/>
    <mergeCell ref="BN36:BQ36"/>
    <mergeCell ref="BR36:BU36"/>
    <mergeCell ref="BV36:BY36"/>
    <mergeCell ref="BZ36:CC36"/>
    <mergeCell ref="CD36:CG36"/>
    <mergeCell ref="CD37:CG37"/>
    <mergeCell ref="BJ37:BM37"/>
    <mergeCell ref="CW13:CZ13"/>
    <mergeCell ref="CW14:CZ14"/>
    <mergeCell ref="CW15:CZ15"/>
    <mergeCell ref="CW16:CZ16"/>
    <mergeCell ref="CW17:CZ17"/>
    <mergeCell ref="CW18:CZ18"/>
    <mergeCell ref="AQ20:AS20"/>
    <mergeCell ref="AQ21:AS21"/>
    <mergeCell ref="AQ22:AS22"/>
    <mergeCell ref="CD20:CG20"/>
    <mergeCell ref="BJ21:BM21"/>
    <mergeCell ref="BN21:BQ21"/>
    <mergeCell ref="BR21:BU21"/>
    <mergeCell ref="BV21:BY21"/>
    <mergeCell ref="BZ21:CC21"/>
    <mergeCell ref="CD21:CG21"/>
    <mergeCell ref="BV22:BY22"/>
    <mergeCell ref="BZ22:CC22"/>
    <mergeCell ref="CD22:CG22"/>
    <mergeCell ref="CD19:CG19"/>
    <mergeCell ref="CD13:CG13"/>
    <mergeCell ref="CD14:CG14"/>
    <mergeCell ref="CD15:CG15"/>
    <mergeCell ref="CD16:CG16"/>
    <mergeCell ref="CW23:CZ23"/>
    <mergeCell ref="CW24:CZ24"/>
    <mergeCell ref="CW38:CZ38"/>
    <mergeCell ref="CW39:CZ39"/>
    <mergeCell ref="AQ26:AS26"/>
    <mergeCell ref="AQ27:AS27"/>
    <mergeCell ref="AQ28:AS28"/>
    <mergeCell ref="AQ29:AS29"/>
    <mergeCell ref="AQ30:AS30"/>
    <mergeCell ref="AQ31:AS31"/>
    <mergeCell ref="AQ23:AS23"/>
    <mergeCell ref="AQ24:AS24"/>
    <mergeCell ref="AQ25:AS25"/>
    <mergeCell ref="BJ38:BM38"/>
    <mergeCell ref="BN38:BQ38"/>
    <mergeCell ref="BR38:BU38"/>
    <mergeCell ref="BJ35:BM35"/>
    <mergeCell ref="BN35:BQ35"/>
    <mergeCell ref="BR35:BU35"/>
    <mergeCell ref="BJ33:BM33"/>
    <mergeCell ref="BN33:BQ33"/>
    <mergeCell ref="BR33:BU33"/>
    <mergeCell ref="BN30:BQ30"/>
    <mergeCell ref="BZ38:CC38"/>
    <mergeCell ref="W20:AM20"/>
    <mergeCell ref="W21:AM21"/>
    <mergeCell ref="W22:AM22"/>
    <mergeCell ref="W23:AM23"/>
    <mergeCell ref="W24:AM24"/>
    <mergeCell ref="W25:AM25"/>
    <mergeCell ref="CH4:CK5"/>
    <mergeCell ref="CH41:CS59"/>
    <mergeCell ref="CW4:CZ5"/>
    <mergeCell ref="CW6:CZ6"/>
    <mergeCell ref="CW7:CZ7"/>
    <mergeCell ref="CW8:CZ8"/>
    <mergeCell ref="CW9:CZ9"/>
    <mergeCell ref="CW10:CZ10"/>
    <mergeCell ref="CW11:CZ11"/>
    <mergeCell ref="CW12:CZ12"/>
    <mergeCell ref="CW25:CZ25"/>
    <mergeCell ref="CW26:CZ26"/>
    <mergeCell ref="CW27:CZ27"/>
    <mergeCell ref="CW28:CZ28"/>
    <mergeCell ref="CW29:CZ29"/>
    <mergeCell ref="CW30:CZ30"/>
    <mergeCell ref="CW19:CZ19"/>
    <mergeCell ref="CW20:CZ20"/>
    <mergeCell ref="DM4:DP5"/>
    <mergeCell ref="DM41:DX59"/>
    <mergeCell ref="DM60:DX66"/>
    <mergeCell ref="AN23:AP23"/>
    <mergeCell ref="AN24:AP24"/>
    <mergeCell ref="AN25:AP25"/>
    <mergeCell ref="AN26:AP26"/>
    <mergeCell ref="AN20:AP20"/>
    <mergeCell ref="AN21:AP21"/>
    <mergeCell ref="AN22:AP22"/>
    <mergeCell ref="CW40:CZ40"/>
    <mergeCell ref="CW31:CZ31"/>
    <mergeCell ref="CW32:CZ32"/>
    <mergeCell ref="CW33:CZ33"/>
    <mergeCell ref="CW34:CZ34"/>
    <mergeCell ref="CW35:CZ35"/>
    <mergeCell ref="CH60:CS66"/>
    <mergeCell ref="AQ37:AS37"/>
    <mergeCell ref="AN17:AP17"/>
    <mergeCell ref="AN28:AP28"/>
    <mergeCell ref="AN18:AP18"/>
    <mergeCell ref="AN19:AP19"/>
    <mergeCell ref="CW21:CZ21"/>
    <mergeCell ref="CW22:CZ22"/>
    <mergeCell ref="K2:AJ4"/>
    <mergeCell ref="DM67:DX73"/>
    <mergeCell ref="AN35:AP35"/>
    <mergeCell ref="AN36:AP36"/>
    <mergeCell ref="AN37:AP37"/>
    <mergeCell ref="AN38:AP38"/>
    <mergeCell ref="AN39:AP39"/>
    <mergeCell ref="AN27:AP27"/>
    <mergeCell ref="AN31:AP31"/>
    <mergeCell ref="AN32:AP32"/>
    <mergeCell ref="AN34:AP34"/>
    <mergeCell ref="AN33:AP33"/>
    <mergeCell ref="CH67:CS73"/>
    <mergeCell ref="CW36:CZ36"/>
    <mergeCell ref="CW37:CZ37"/>
    <mergeCell ref="AN29:AP29"/>
    <mergeCell ref="AN30:AP30"/>
    <mergeCell ref="BR30:BU30"/>
    <mergeCell ref="AQ32:AS32"/>
    <mergeCell ref="AQ33:AS33"/>
    <mergeCell ref="AQ34:AS34"/>
    <mergeCell ref="AQ35:AS35"/>
    <mergeCell ref="AQ36:AS36"/>
    <mergeCell ref="AQ38:AS38"/>
  </mergeCells>
  <conditionalFormatting sqref="N6:V39">
    <cfRule type="expression" dxfId="53" priority="2" stopIfTrue="1">
      <formula>IF(C6="",FALSE,TRUE)</formula>
    </cfRule>
  </conditionalFormatting>
  <conditionalFormatting sqref="K6:M39">
    <cfRule type="expression" dxfId="52" priority="1" stopIfTrue="1">
      <formula>IF(AQ6="YES",TRUE,FALSE)</formula>
    </cfRule>
  </conditionalFormatting>
  <dataValidations count="2">
    <dataValidation type="list" allowBlank="1" showInputMessage="1" showErrorMessage="1" sqref="C6:J39">
      <formula1>AdvantageList</formula1>
    </dataValidation>
    <dataValidation type="list" allowBlank="1" showInputMessage="1" showErrorMessage="1" sqref="AN6:AP39">
      <formula1>"NO,YES"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learAdvantages">
                <anchor moveWithCells="1" sizeWithCells="1">
                  <from>
                    <xdr:col>47</xdr:col>
                    <xdr:colOff>83820</xdr:colOff>
                    <xdr:row>16</xdr:row>
                    <xdr:rowOff>144780</xdr:rowOff>
                  </from>
                  <to>
                    <xdr:col>54</xdr:col>
                    <xdr:colOff>7620</xdr:colOff>
                    <xdr:row>19</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sheetPr>
  <dimension ref="B1:FC358"/>
  <sheetViews>
    <sheetView showGridLines="0" zoomScaleNormal="100" workbookViewId="0">
      <selection activeCell="J31" sqref="J31:AH31"/>
    </sheetView>
  </sheetViews>
  <sheetFormatPr defaultColWidth="2.6640625" defaultRowHeight="13.5" customHeight="1"/>
  <cols>
    <col min="1" max="67" width="2.6640625" style="12"/>
    <col min="68" max="68" width="3" style="12" bestFit="1" customWidth="1"/>
    <col min="69" max="73" width="2.6640625" style="12"/>
    <col min="74" max="74" width="3" style="12" bestFit="1" customWidth="1"/>
    <col min="75" max="16384" width="2.6640625" style="12"/>
  </cols>
  <sheetData>
    <row r="1" spans="2:159" ht="13.5" customHeight="1" thickBot="1"/>
    <row r="2" spans="2:15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R2" s="12" t="s">
        <v>383</v>
      </c>
      <c r="CR2" s="369" t="s">
        <v>465</v>
      </c>
      <c r="CS2" s="369"/>
      <c r="CT2" s="369"/>
      <c r="CU2" s="369"/>
      <c r="CV2" s="369" t="s">
        <v>541</v>
      </c>
      <c r="CW2" s="369"/>
      <c r="CX2" s="369"/>
      <c r="CY2" s="369"/>
      <c r="CZ2" s="369" t="s">
        <v>542</v>
      </c>
      <c r="DA2" s="369"/>
      <c r="DB2" s="369"/>
      <c r="DC2" s="369"/>
      <c r="DD2" s="369" t="s">
        <v>543</v>
      </c>
      <c r="DE2" s="369"/>
      <c r="DF2" s="369"/>
      <c r="DG2" s="369"/>
      <c r="DH2" s="369" t="s">
        <v>544</v>
      </c>
      <c r="DI2" s="369"/>
      <c r="DJ2" s="369"/>
      <c r="DK2" s="369"/>
      <c r="DL2" s="369" t="s">
        <v>545</v>
      </c>
      <c r="DM2" s="369"/>
      <c r="DN2" s="369"/>
      <c r="DO2" s="369"/>
      <c r="DP2" s="369" t="s">
        <v>546</v>
      </c>
      <c r="DQ2" s="369"/>
      <c r="DR2" s="369"/>
      <c r="DS2" s="369"/>
      <c r="DT2" s="369" t="s">
        <v>547</v>
      </c>
      <c r="DU2" s="369"/>
      <c r="DV2" s="369"/>
      <c r="DW2" s="369"/>
      <c r="DX2" s="369" t="s">
        <v>548</v>
      </c>
      <c r="DY2" s="369"/>
      <c r="DZ2" s="369"/>
      <c r="EA2" s="369"/>
      <c r="EB2" s="369" t="s">
        <v>771</v>
      </c>
      <c r="EC2" s="369"/>
      <c r="ED2" s="369"/>
      <c r="EE2" s="369"/>
      <c r="EF2" s="369" t="s">
        <v>772</v>
      </c>
      <c r="EG2" s="369"/>
      <c r="EH2" s="369"/>
      <c r="EI2" s="369"/>
      <c r="EJ2" s="369" t="s">
        <v>773</v>
      </c>
      <c r="EK2" s="369"/>
      <c r="EL2" s="369"/>
      <c r="EM2" s="369"/>
      <c r="EN2" s="369" t="s">
        <v>781</v>
      </c>
      <c r="EO2" s="369"/>
      <c r="EP2" s="369"/>
      <c r="EQ2" s="369"/>
      <c r="ER2" s="369" t="s">
        <v>757</v>
      </c>
      <c r="ES2" s="369"/>
      <c r="ET2" s="369"/>
      <c r="EU2" s="369"/>
      <c r="EV2" s="369" t="s">
        <v>1281</v>
      </c>
      <c r="EW2" s="369"/>
      <c r="EX2" s="369"/>
      <c r="EY2" s="369"/>
      <c r="EZ2" s="369" t="s">
        <v>1282</v>
      </c>
      <c r="FA2" s="369"/>
      <c r="FB2" s="369"/>
      <c r="FC2" s="369"/>
    </row>
    <row r="3" spans="2:159" ht="13.5" customHeight="1">
      <c r="B3" s="18"/>
      <c r="C3" s="224" t="s">
        <v>386</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BR3" s="33" t="s">
        <v>494</v>
      </c>
      <c r="BV3" s="372" t="s">
        <v>36</v>
      </c>
      <c r="BW3" s="372"/>
      <c r="BX3" s="372" t="s">
        <v>37</v>
      </c>
      <c r="BY3" s="372"/>
      <c r="BZ3" s="372" t="s">
        <v>506</v>
      </c>
      <c r="CA3" s="372"/>
      <c r="CB3" s="372"/>
      <c r="CC3" s="372"/>
      <c r="CD3" s="372"/>
      <c r="CE3" s="372"/>
      <c r="CF3" s="372" t="s">
        <v>507</v>
      </c>
      <c r="CG3" s="372"/>
      <c r="CH3" s="372"/>
      <c r="CI3" s="372"/>
      <c r="CJ3" s="372"/>
      <c r="CK3" s="372"/>
      <c r="CR3" s="369"/>
      <c r="CS3" s="369"/>
      <c r="CT3" s="369"/>
      <c r="CU3" s="369"/>
      <c r="CV3" s="369"/>
      <c r="CW3" s="369"/>
      <c r="CX3" s="369"/>
      <c r="CY3" s="369"/>
      <c r="CZ3" s="369"/>
      <c r="DA3" s="369"/>
      <c r="DB3" s="369"/>
      <c r="DC3" s="369"/>
      <c r="DD3" s="369"/>
      <c r="DE3" s="369"/>
      <c r="DF3" s="369"/>
      <c r="DG3" s="369"/>
      <c r="DH3" s="369"/>
      <c r="DI3" s="369"/>
      <c r="DJ3" s="369"/>
      <c r="DK3" s="369"/>
      <c r="DL3" s="369"/>
      <c r="DM3" s="369"/>
      <c r="DN3" s="369"/>
      <c r="DO3" s="369"/>
      <c r="DP3" s="369"/>
      <c r="DQ3" s="369"/>
      <c r="DR3" s="369"/>
      <c r="DS3" s="369"/>
      <c r="DT3" s="369"/>
      <c r="DU3" s="369"/>
      <c r="DV3" s="369"/>
      <c r="DW3" s="369"/>
      <c r="DX3" s="369"/>
      <c r="DY3" s="369"/>
      <c r="DZ3" s="369"/>
      <c r="EA3" s="369"/>
      <c r="EB3" s="369"/>
      <c r="EC3" s="369"/>
      <c r="ED3" s="369"/>
      <c r="EE3" s="369"/>
      <c r="EF3" s="369"/>
      <c r="EG3" s="369"/>
      <c r="EH3" s="369"/>
      <c r="EI3" s="369"/>
      <c r="EJ3" s="369"/>
      <c r="EK3" s="369"/>
      <c r="EL3" s="369"/>
      <c r="EM3" s="369"/>
      <c r="EN3" s="369"/>
      <c r="EO3" s="369"/>
      <c r="EP3" s="369"/>
      <c r="EQ3" s="369"/>
      <c r="ER3" s="369"/>
      <c r="ES3" s="369"/>
      <c r="ET3" s="369"/>
      <c r="EU3" s="369"/>
      <c r="EV3" s="369"/>
      <c r="EW3" s="369"/>
      <c r="EX3" s="369"/>
      <c r="EY3" s="369"/>
      <c r="EZ3" s="369"/>
      <c r="FA3" s="369"/>
      <c r="FB3" s="369"/>
      <c r="FC3" s="369"/>
    </row>
    <row r="4" spans="2:15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BP4" s="12">
        <v>1</v>
      </c>
      <c r="BR4" s="12" t="str">
        <f>IF($I21="","",$I21)</f>
        <v>Charming Gaze</v>
      </c>
      <c r="BV4" s="370">
        <f>IF(AP24="","",AP24)</f>
        <v>9</v>
      </c>
      <c r="BW4" s="370"/>
      <c r="BX4" s="370">
        <f>IF(AP27="","",AP27)</f>
        <v>27</v>
      </c>
      <c r="BY4" s="370"/>
      <c r="BZ4" s="370" t="str">
        <f>IF(I22="","",I22)</f>
        <v>Affliction</v>
      </c>
      <c r="CA4" s="370"/>
      <c r="CB4" s="370"/>
      <c r="CC4" s="370"/>
      <c r="CD4" s="370"/>
      <c r="CE4" s="370"/>
      <c r="CF4" s="371" t="str">
        <f>IF(BI29="","",LEFT(BI29,LEN(BI29)-2))</f>
        <v>Entranced-&gt;Compelled-&gt;Controlled; Area Cone, Cumulative, Concentration; Sense-Dependent</v>
      </c>
      <c r="CG4" s="371"/>
      <c r="CH4" s="371"/>
      <c r="CI4" s="371"/>
      <c r="CJ4" s="371"/>
      <c r="CK4" s="371"/>
      <c r="CR4" s="293">
        <f>IF($BZ4="Protection",IF(ISERROR(SEARCH("Limited",$CF4))=TRUE,VALUE($BV4),0),0)</f>
        <v>0</v>
      </c>
      <c r="CS4" s="293"/>
      <c r="CT4" s="293"/>
      <c r="CU4" s="293"/>
      <c r="CV4" s="293">
        <f>IF($BZ4="Enhanced Strength",IF(ISERROR(SEARCH("Limited",$CF4))=TRUE,VALUE($BV4),0),0)</f>
        <v>0</v>
      </c>
      <c r="CW4" s="293"/>
      <c r="CX4" s="293"/>
      <c r="CY4" s="293"/>
      <c r="CZ4" s="293">
        <f>IF($BZ4="Enhanced Stamina",IF(ISERROR(SEARCH("Limited",$CF4))=TRUE,VALUE($BV4),0),0)</f>
        <v>0</v>
      </c>
      <c r="DA4" s="293"/>
      <c r="DB4" s="293"/>
      <c r="DC4" s="293"/>
      <c r="DD4" s="293">
        <f>IF($BZ4="Enhanced Agility",IF(ISERROR(SEARCH("Limited",$CF4))=TRUE,VALUE($BV4),0),0)</f>
        <v>0</v>
      </c>
      <c r="DE4" s="293"/>
      <c r="DF4" s="293"/>
      <c r="DG4" s="293"/>
      <c r="DH4" s="293">
        <f>IF($BZ4="Enhanced Dexterity",IF(ISERROR(SEARCH("Limited",$CF4))=TRUE,VALUE($BV4),0),0)</f>
        <v>0</v>
      </c>
      <c r="DI4" s="293"/>
      <c r="DJ4" s="293"/>
      <c r="DK4" s="293"/>
      <c r="DL4" s="293">
        <f>IF($BZ4="Enhanced Fighting",IF(ISERROR(SEARCH("Limited",$CF4))=TRUE,VALUE($BV4),0),0)</f>
        <v>0</v>
      </c>
      <c r="DM4" s="293"/>
      <c r="DN4" s="293"/>
      <c r="DO4" s="293"/>
      <c r="DP4" s="293">
        <f>IF($BZ4="Enhanced Intellect",IF(ISERROR(SEARCH("Limited",$CF4))=TRUE,VALUE($BV4),0),0)</f>
        <v>0</v>
      </c>
      <c r="DQ4" s="293"/>
      <c r="DR4" s="293"/>
      <c r="DS4" s="293"/>
      <c r="DT4" s="293">
        <f>IF($BZ4="Enhanced Awareness",IF(ISERROR(SEARCH("Limited",$CF4))=TRUE,VALUE($BV4),0),0)</f>
        <v>0</v>
      </c>
      <c r="DU4" s="293"/>
      <c r="DV4" s="293"/>
      <c r="DW4" s="293"/>
      <c r="DX4" s="293">
        <f>IF($BZ4="Enhanced Presence",IF(ISERROR(SEARCH("Limited",$CF4))=TRUE,VALUE($BV4),0),0)</f>
        <v>0</v>
      </c>
      <c r="DY4" s="293"/>
      <c r="DZ4" s="293"/>
      <c r="EA4" s="293"/>
      <c r="EB4" s="293">
        <f>IF($BZ4="Enhanced Dodge",IF(ISERROR(SEARCH("Limited",$CF4))=TRUE,VALUE($BV4),0),0)</f>
        <v>0</v>
      </c>
      <c r="EC4" s="293"/>
      <c r="ED4" s="293"/>
      <c r="EE4" s="293"/>
      <c r="EF4" s="293">
        <f>IF($BZ4="Enhanced Fortitude",IF(ISERROR(SEARCH("Limited",$CF4))=TRUE,VALUE($BV4),0),0)</f>
        <v>0</v>
      </c>
      <c r="EG4" s="293"/>
      <c r="EH4" s="293"/>
      <c r="EI4" s="293"/>
      <c r="EJ4" s="293">
        <f>IF($BZ4="Enhanced Parry",IF(ISERROR(SEARCH("Limited",$CF4))=TRUE,VALUE($BV4),0),0)</f>
        <v>0</v>
      </c>
      <c r="EK4" s="293"/>
      <c r="EL4" s="293"/>
      <c r="EM4" s="293"/>
      <c r="EN4" s="293">
        <f>IF($BZ4="Enhanced Will",IF(ISERROR(SEARCH("Limited",$CF4))=TRUE,VALUE($BV4),0),0)</f>
        <v>0</v>
      </c>
      <c r="EO4" s="293"/>
      <c r="EP4" s="293"/>
      <c r="EQ4" s="293"/>
      <c r="ER4" s="293">
        <f>IF($BZ4="Enhanced Initiative",IF(ISERROR(SEARCH("Limited",$CF4))=TRUE,VALUE($BV4),0),0)</f>
        <v>0</v>
      </c>
      <c r="ES4" s="293"/>
      <c r="ET4" s="293"/>
      <c r="EU4" s="293"/>
      <c r="EV4" s="293">
        <f>IF($BZ4="Growth",IF(ISERROR(SEARCH("Limited",$CF4))=TRUE,VALUE($BV4),0),0)</f>
        <v>0</v>
      </c>
      <c r="EW4" s="293"/>
      <c r="EX4" s="293"/>
      <c r="EY4" s="293"/>
      <c r="EZ4" s="293">
        <f>IF($BZ4="Shrinking",IF(ISERROR(SEARCH("Limited",$CF4))=TRUE,VALUE($BV4),0),0)</f>
        <v>0</v>
      </c>
      <c r="FA4" s="293"/>
      <c r="FB4" s="293"/>
      <c r="FC4" s="293"/>
    </row>
    <row r="5" spans="2:15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P5" s="12">
        <v>2</v>
      </c>
      <c r="BR5" s="12" t="str">
        <f>IF($I38="","",$I38)</f>
        <v/>
      </c>
      <c r="BV5" s="370" t="str">
        <f>IF(AP41="","",AP41)</f>
        <v/>
      </c>
      <c r="BW5" s="370"/>
      <c r="BX5" s="370">
        <f>IF(AP44="","",AP44)</f>
        <v>0</v>
      </c>
      <c r="BY5" s="370"/>
      <c r="BZ5" s="370" t="str">
        <f>IF(I39="","",I39)</f>
        <v/>
      </c>
      <c r="CA5" s="370"/>
      <c r="CB5" s="370"/>
      <c r="CC5" s="370"/>
      <c r="CD5" s="370"/>
      <c r="CE5" s="370"/>
      <c r="CF5" s="371" t="str">
        <f>IF(BI46="","",LEFT(BI46,LEN(BI46)-2))</f>
        <v/>
      </c>
      <c r="CG5" s="371"/>
      <c r="CH5" s="371"/>
      <c r="CI5" s="371"/>
      <c r="CJ5" s="371"/>
      <c r="CK5" s="371"/>
      <c r="CR5" s="293">
        <f t="shared" ref="CR5:CR23" si="0">IF($BZ5="Protection",IF(ISERROR(SEARCH("Limited",$CF5))=TRUE,VALUE($BV5),0),0)</f>
        <v>0</v>
      </c>
      <c r="CS5" s="293"/>
      <c r="CT5" s="293"/>
      <c r="CU5" s="293"/>
      <c r="CV5" s="293">
        <f t="shared" ref="CV5:CV23" si="1">IF($BZ5="Enhanced Strength",IF(ISERROR(SEARCH("Limited",$CF5))=TRUE,VALUE($BV5),0),0)</f>
        <v>0</v>
      </c>
      <c r="CW5" s="293"/>
      <c r="CX5" s="293"/>
      <c r="CY5" s="293"/>
      <c r="CZ5" s="293">
        <f t="shared" ref="CZ5:CZ23" si="2">IF($BZ5="Enhanced Stamina",IF(ISERROR(SEARCH("Limited",$CF5))=TRUE,VALUE($BV5),0),0)</f>
        <v>0</v>
      </c>
      <c r="DA5" s="293"/>
      <c r="DB5" s="293"/>
      <c r="DC5" s="293"/>
      <c r="DD5" s="293">
        <f t="shared" ref="DD5:DD23" si="3">IF($BZ5="Enhanced Agility",IF(ISERROR(SEARCH("Limited",$CF5))=TRUE,VALUE($BV5),0),0)</f>
        <v>0</v>
      </c>
      <c r="DE5" s="293"/>
      <c r="DF5" s="293"/>
      <c r="DG5" s="293"/>
      <c r="DH5" s="293">
        <f t="shared" ref="DH5:DH23" si="4">IF($BZ5="Enhanced Dexterity",IF(ISERROR(SEARCH("Limited",$CF5))=TRUE,VALUE($BV5),0),0)</f>
        <v>0</v>
      </c>
      <c r="DI5" s="293"/>
      <c r="DJ5" s="293"/>
      <c r="DK5" s="293"/>
      <c r="DL5" s="293">
        <f t="shared" ref="DL5:DL23" si="5">IF($BZ5="Enhanced Fighting",IF(ISERROR(SEARCH("Limited",$CF5))=TRUE,VALUE($BV5),0),0)</f>
        <v>0</v>
      </c>
      <c r="DM5" s="293"/>
      <c r="DN5" s="293"/>
      <c r="DO5" s="293"/>
      <c r="DP5" s="293">
        <f t="shared" ref="DP5:DP23" si="6">IF($BZ5="Enhanced Intellect",IF(ISERROR(SEARCH("Limited",$CF5))=TRUE,VALUE($BV5),0),0)</f>
        <v>0</v>
      </c>
      <c r="DQ5" s="293"/>
      <c r="DR5" s="293"/>
      <c r="DS5" s="293"/>
      <c r="DT5" s="293">
        <f t="shared" ref="DT5:DT23" si="7">IF($BZ5="Enhanced Awareness",IF(ISERROR(SEARCH("Limited",$CF5))=TRUE,VALUE($BV5),0),0)</f>
        <v>0</v>
      </c>
      <c r="DU5" s="293"/>
      <c r="DV5" s="293"/>
      <c r="DW5" s="293"/>
      <c r="DX5" s="293">
        <f t="shared" ref="DX5:DX23" si="8">IF($BZ5="Enhanced Presence",IF(ISERROR(SEARCH("Limited",$CF5))=TRUE,VALUE($BV5),0),0)</f>
        <v>0</v>
      </c>
      <c r="DY5" s="293"/>
      <c r="DZ5" s="293"/>
      <c r="EA5" s="293"/>
      <c r="EB5" s="293">
        <f t="shared" ref="EB5:EB23" si="9">IF($BZ5="Enhanced Dodge",IF(ISERROR(SEARCH("Limited",$CF5))=TRUE,VALUE($BV5),0),0)</f>
        <v>0</v>
      </c>
      <c r="EC5" s="293"/>
      <c r="ED5" s="293"/>
      <c r="EE5" s="293"/>
      <c r="EF5" s="293">
        <f t="shared" ref="EF5:EF23" si="10">IF($BZ5="Enhanced Fortitude",IF(ISERROR(SEARCH("Limited",$CF5))=TRUE,VALUE($BV5),0),0)</f>
        <v>0</v>
      </c>
      <c r="EG5" s="293"/>
      <c r="EH5" s="293"/>
      <c r="EI5" s="293"/>
      <c r="EJ5" s="293">
        <f t="shared" ref="EJ5:EJ23" si="11">IF($BZ5="Enhanced Parry",IF(ISERROR(SEARCH("Limited",$CF5))=TRUE,VALUE($BV5),0),0)</f>
        <v>0</v>
      </c>
      <c r="EK5" s="293"/>
      <c r="EL5" s="293"/>
      <c r="EM5" s="293"/>
      <c r="EN5" s="293">
        <f t="shared" ref="EN5:EN23" si="12">IF($BZ5="Enhanced Will",IF(ISERROR(SEARCH("Limited",$CF5))=TRUE,VALUE($BV5),0),0)</f>
        <v>0</v>
      </c>
      <c r="EO5" s="293"/>
      <c r="EP5" s="293"/>
      <c r="EQ5" s="293"/>
      <c r="ER5" s="293">
        <f t="shared" ref="ER5:ER23" si="13">IF($BZ5="Enhanced Initiative",IF(ISERROR(SEARCH("Limited",$CF5))=TRUE,VALUE($BV5),0),0)</f>
        <v>0</v>
      </c>
      <c r="ES5" s="293"/>
      <c r="ET5" s="293"/>
      <c r="EU5" s="293"/>
      <c r="EV5" s="293">
        <f t="shared" ref="EV5:EV23" si="14">IF($BZ5="Growth",IF(ISERROR(SEARCH("Limited",$CF5))=TRUE,VALUE($BV5),0),0)</f>
        <v>0</v>
      </c>
      <c r="EW5" s="293"/>
      <c r="EX5" s="293"/>
      <c r="EY5" s="293"/>
      <c r="EZ5" s="293">
        <f t="shared" ref="EZ5:EZ23" si="15">IF($BZ5="Shrinking",IF(ISERROR(SEARCH("Limited",$CF5))=TRUE,VALUE($BV5),0),0)</f>
        <v>0</v>
      </c>
      <c r="FA5" s="293"/>
      <c r="FB5" s="293"/>
      <c r="FC5" s="293"/>
    </row>
    <row r="6" spans="2:159" ht="13.5" customHeight="1" thickBot="1">
      <c r="B6" s="18"/>
      <c r="C6" s="375" t="s">
        <v>517</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BP6" s="12">
        <v>3</v>
      </c>
      <c r="BR6" s="12" t="str">
        <f>IF($I55="","",$I55)</f>
        <v/>
      </c>
      <c r="BV6" s="370" t="str">
        <f>IF(AP58="","",AP58)</f>
        <v/>
      </c>
      <c r="BW6" s="370"/>
      <c r="BX6" s="370">
        <f>IF(AP61="","",AP61)</f>
        <v>0</v>
      </c>
      <c r="BY6" s="370"/>
      <c r="BZ6" s="370" t="str">
        <f>IF(I56="","",I56)</f>
        <v/>
      </c>
      <c r="CA6" s="370"/>
      <c r="CB6" s="370"/>
      <c r="CC6" s="370"/>
      <c r="CD6" s="370"/>
      <c r="CE6" s="370"/>
      <c r="CF6" s="371" t="str">
        <f>IF(BI63="","",LEFT(BI63,LEN(BI63)-2))</f>
        <v/>
      </c>
      <c r="CG6" s="371"/>
      <c r="CH6" s="371"/>
      <c r="CI6" s="371"/>
      <c r="CJ6" s="371"/>
      <c r="CK6" s="371"/>
      <c r="CR6" s="293">
        <f t="shared" si="0"/>
        <v>0</v>
      </c>
      <c r="CS6" s="293"/>
      <c r="CT6" s="293"/>
      <c r="CU6" s="293"/>
      <c r="CV6" s="293">
        <f t="shared" si="1"/>
        <v>0</v>
      </c>
      <c r="CW6" s="293"/>
      <c r="CX6" s="293"/>
      <c r="CY6" s="293"/>
      <c r="CZ6" s="293">
        <f t="shared" si="2"/>
        <v>0</v>
      </c>
      <c r="DA6" s="293"/>
      <c r="DB6" s="293"/>
      <c r="DC6" s="293"/>
      <c r="DD6" s="293">
        <f t="shared" si="3"/>
        <v>0</v>
      </c>
      <c r="DE6" s="293"/>
      <c r="DF6" s="293"/>
      <c r="DG6" s="293"/>
      <c r="DH6" s="293">
        <f t="shared" si="4"/>
        <v>0</v>
      </c>
      <c r="DI6" s="293"/>
      <c r="DJ6" s="293"/>
      <c r="DK6" s="293"/>
      <c r="DL6" s="293">
        <f t="shared" si="5"/>
        <v>0</v>
      </c>
      <c r="DM6" s="293"/>
      <c r="DN6" s="293"/>
      <c r="DO6" s="293"/>
      <c r="DP6" s="293">
        <f t="shared" si="6"/>
        <v>0</v>
      </c>
      <c r="DQ6" s="293"/>
      <c r="DR6" s="293"/>
      <c r="DS6" s="293"/>
      <c r="DT6" s="293">
        <f t="shared" si="7"/>
        <v>0</v>
      </c>
      <c r="DU6" s="293"/>
      <c r="DV6" s="293"/>
      <c r="DW6" s="293"/>
      <c r="DX6" s="293">
        <f t="shared" si="8"/>
        <v>0</v>
      </c>
      <c r="DY6" s="293"/>
      <c r="DZ6" s="293"/>
      <c r="EA6" s="293"/>
      <c r="EB6" s="293">
        <f t="shared" si="9"/>
        <v>0</v>
      </c>
      <c r="EC6" s="293"/>
      <c r="ED6" s="293"/>
      <c r="EE6" s="293"/>
      <c r="EF6" s="293">
        <f t="shared" si="10"/>
        <v>0</v>
      </c>
      <c r="EG6" s="293"/>
      <c r="EH6" s="293"/>
      <c r="EI6" s="293"/>
      <c r="EJ6" s="293">
        <f t="shared" si="11"/>
        <v>0</v>
      </c>
      <c r="EK6" s="293"/>
      <c r="EL6" s="293"/>
      <c r="EM6" s="293"/>
      <c r="EN6" s="293">
        <f t="shared" si="12"/>
        <v>0</v>
      </c>
      <c r="EO6" s="293"/>
      <c r="EP6" s="293"/>
      <c r="EQ6" s="293"/>
      <c r="ER6" s="293">
        <f t="shared" si="13"/>
        <v>0</v>
      </c>
      <c r="ES6" s="293"/>
      <c r="ET6" s="293"/>
      <c r="EU6" s="293"/>
      <c r="EV6" s="293">
        <f t="shared" si="14"/>
        <v>0</v>
      </c>
      <c r="EW6" s="293"/>
      <c r="EX6" s="293"/>
      <c r="EY6" s="293"/>
      <c r="EZ6" s="293">
        <f t="shared" si="15"/>
        <v>0</v>
      </c>
      <c r="FA6" s="293"/>
      <c r="FB6" s="293"/>
      <c r="FC6" s="293"/>
    </row>
    <row r="7" spans="2:159"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AK7" s="360" t="s">
        <v>854</v>
      </c>
      <c r="AL7" s="361"/>
      <c r="AM7" s="361"/>
      <c r="AN7" s="361"/>
      <c r="AO7" s="361"/>
      <c r="AP7" s="361"/>
      <c r="AQ7" s="361"/>
      <c r="AR7" s="361"/>
      <c r="AS7" s="361"/>
      <c r="AT7" s="361"/>
      <c r="AU7" s="361"/>
      <c r="AV7" s="361"/>
      <c r="AW7" s="361"/>
      <c r="AX7" s="361"/>
      <c r="AY7" s="361"/>
      <c r="AZ7" s="361"/>
      <c r="BA7" s="361"/>
      <c r="BB7" s="361"/>
      <c r="BC7" s="361"/>
      <c r="BD7" s="361"/>
      <c r="BE7" s="361"/>
      <c r="BF7" s="361"/>
      <c r="BG7" s="362"/>
      <c r="BP7" s="12">
        <v>4</v>
      </c>
      <c r="BR7" s="12" t="str">
        <f>IF($I72="","",$I72)</f>
        <v/>
      </c>
      <c r="BV7" s="370" t="str">
        <f>IF(AP75="","",AP75)</f>
        <v/>
      </c>
      <c r="BW7" s="370"/>
      <c r="BX7" s="370">
        <f>IF(AP78="","",AP78)</f>
        <v>0</v>
      </c>
      <c r="BY7" s="370"/>
      <c r="BZ7" s="370" t="str">
        <f>IF(I73="","",I73)</f>
        <v/>
      </c>
      <c r="CA7" s="370"/>
      <c r="CB7" s="370"/>
      <c r="CC7" s="370"/>
      <c r="CD7" s="370"/>
      <c r="CE7" s="370"/>
      <c r="CF7" s="371" t="str">
        <f>IF(BI80="","",LEFT(BI80,LEN(BI80)-2))</f>
        <v/>
      </c>
      <c r="CG7" s="371"/>
      <c r="CH7" s="371"/>
      <c r="CI7" s="371"/>
      <c r="CJ7" s="371"/>
      <c r="CK7" s="371"/>
      <c r="CR7" s="293">
        <f t="shared" si="0"/>
        <v>0</v>
      </c>
      <c r="CS7" s="293"/>
      <c r="CT7" s="293"/>
      <c r="CU7" s="293"/>
      <c r="CV7" s="293">
        <f t="shared" si="1"/>
        <v>0</v>
      </c>
      <c r="CW7" s="293"/>
      <c r="CX7" s="293"/>
      <c r="CY7" s="293"/>
      <c r="CZ7" s="293">
        <f t="shared" si="2"/>
        <v>0</v>
      </c>
      <c r="DA7" s="293"/>
      <c r="DB7" s="293"/>
      <c r="DC7" s="293"/>
      <c r="DD7" s="293">
        <f t="shared" si="3"/>
        <v>0</v>
      </c>
      <c r="DE7" s="293"/>
      <c r="DF7" s="293"/>
      <c r="DG7" s="293"/>
      <c r="DH7" s="293">
        <f t="shared" si="4"/>
        <v>0</v>
      </c>
      <c r="DI7" s="293"/>
      <c r="DJ7" s="293"/>
      <c r="DK7" s="293"/>
      <c r="DL7" s="293">
        <f t="shared" si="5"/>
        <v>0</v>
      </c>
      <c r="DM7" s="293"/>
      <c r="DN7" s="293"/>
      <c r="DO7" s="293"/>
      <c r="DP7" s="293">
        <f t="shared" si="6"/>
        <v>0</v>
      </c>
      <c r="DQ7" s="293"/>
      <c r="DR7" s="293"/>
      <c r="DS7" s="293"/>
      <c r="DT7" s="293">
        <f t="shared" si="7"/>
        <v>0</v>
      </c>
      <c r="DU7" s="293"/>
      <c r="DV7" s="293"/>
      <c r="DW7" s="293"/>
      <c r="DX7" s="293">
        <f t="shared" si="8"/>
        <v>0</v>
      </c>
      <c r="DY7" s="293"/>
      <c r="DZ7" s="293"/>
      <c r="EA7" s="293"/>
      <c r="EB7" s="293">
        <f t="shared" si="9"/>
        <v>0</v>
      </c>
      <c r="EC7" s="293"/>
      <c r="ED7" s="293"/>
      <c r="EE7" s="293"/>
      <c r="EF7" s="293">
        <f t="shared" si="10"/>
        <v>0</v>
      </c>
      <c r="EG7" s="293"/>
      <c r="EH7" s="293"/>
      <c r="EI7" s="293"/>
      <c r="EJ7" s="293">
        <f t="shared" si="11"/>
        <v>0</v>
      </c>
      <c r="EK7" s="293"/>
      <c r="EL7" s="293"/>
      <c r="EM7" s="293"/>
      <c r="EN7" s="293">
        <f t="shared" si="12"/>
        <v>0</v>
      </c>
      <c r="EO7" s="293"/>
      <c r="EP7" s="293"/>
      <c r="EQ7" s="293"/>
      <c r="ER7" s="293">
        <f t="shared" si="13"/>
        <v>0</v>
      </c>
      <c r="ES7" s="293"/>
      <c r="ET7" s="293"/>
      <c r="EU7" s="293"/>
      <c r="EV7" s="293">
        <f t="shared" si="14"/>
        <v>0</v>
      </c>
      <c r="EW7" s="293"/>
      <c r="EX7" s="293"/>
      <c r="EY7" s="293"/>
      <c r="EZ7" s="293">
        <f t="shared" si="15"/>
        <v>0</v>
      </c>
      <c r="FA7" s="293"/>
      <c r="FB7" s="293"/>
      <c r="FC7" s="293"/>
    </row>
    <row r="8" spans="2:159"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AK8" s="363"/>
      <c r="AL8" s="364"/>
      <c r="AM8" s="364"/>
      <c r="AN8" s="364"/>
      <c r="AO8" s="364"/>
      <c r="AP8" s="364"/>
      <c r="AQ8" s="364"/>
      <c r="AR8" s="364"/>
      <c r="AS8" s="364"/>
      <c r="AT8" s="364"/>
      <c r="AU8" s="364"/>
      <c r="AV8" s="364"/>
      <c r="AW8" s="364"/>
      <c r="AX8" s="364"/>
      <c r="AY8" s="364"/>
      <c r="AZ8" s="364"/>
      <c r="BA8" s="364"/>
      <c r="BB8" s="364"/>
      <c r="BC8" s="364"/>
      <c r="BD8" s="364"/>
      <c r="BE8" s="364"/>
      <c r="BF8" s="364"/>
      <c r="BG8" s="365"/>
      <c r="BP8" s="12">
        <v>5</v>
      </c>
      <c r="BR8" s="12" t="str">
        <f>IF($I89="","",$I89)</f>
        <v/>
      </c>
      <c r="BV8" s="370" t="str">
        <f>IF(AP92="","",AP92)</f>
        <v/>
      </c>
      <c r="BW8" s="370"/>
      <c r="BX8" s="370">
        <f>IF(AP95="","",AP95)</f>
        <v>0</v>
      </c>
      <c r="BY8" s="370"/>
      <c r="BZ8" s="370" t="str">
        <f>IF(I90="","",I90)</f>
        <v/>
      </c>
      <c r="CA8" s="370"/>
      <c r="CB8" s="370"/>
      <c r="CC8" s="370"/>
      <c r="CD8" s="370"/>
      <c r="CE8" s="370"/>
      <c r="CF8" s="371" t="str">
        <f>IF(BI97="","",LEFT(BI97,LEN(BI97)-2))</f>
        <v/>
      </c>
      <c r="CG8" s="371"/>
      <c r="CH8" s="371"/>
      <c r="CI8" s="371"/>
      <c r="CJ8" s="371"/>
      <c r="CK8" s="371"/>
      <c r="CR8" s="293">
        <f t="shared" si="0"/>
        <v>0</v>
      </c>
      <c r="CS8" s="293"/>
      <c r="CT8" s="293"/>
      <c r="CU8" s="293"/>
      <c r="CV8" s="293">
        <f t="shared" si="1"/>
        <v>0</v>
      </c>
      <c r="CW8" s="293"/>
      <c r="CX8" s="293"/>
      <c r="CY8" s="293"/>
      <c r="CZ8" s="293">
        <f t="shared" si="2"/>
        <v>0</v>
      </c>
      <c r="DA8" s="293"/>
      <c r="DB8" s="293"/>
      <c r="DC8" s="293"/>
      <c r="DD8" s="293">
        <f t="shared" si="3"/>
        <v>0</v>
      </c>
      <c r="DE8" s="293"/>
      <c r="DF8" s="293"/>
      <c r="DG8" s="293"/>
      <c r="DH8" s="293">
        <f t="shared" si="4"/>
        <v>0</v>
      </c>
      <c r="DI8" s="293"/>
      <c r="DJ8" s="293"/>
      <c r="DK8" s="293"/>
      <c r="DL8" s="293">
        <f t="shared" si="5"/>
        <v>0</v>
      </c>
      <c r="DM8" s="293"/>
      <c r="DN8" s="293"/>
      <c r="DO8" s="293"/>
      <c r="DP8" s="293">
        <f t="shared" si="6"/>
        <v>0</v>
      </c>
      <c r="DQ8" s="293"/>
      <c r="DR8" s="293"/>
      <c r="DS8" s="293"/>
      <c r="DT8" s="293">
        <f t="shared" si="7"/>
        <v>0</v>
      </c>
      <c r="DU8" s="293"/>
      <c r="DV8" s="293"/>
      <c r="DW8" s="293"/>
      <c r="DX8" s="293">
        <f t="shared" si="8"/>
        <v>0</v>
      </c>
      <c r="DY8" s="293"/>
      <c r="DZ8" s="293"/>
      <c r="EA8" s="293"/>
      <c r="EB8" s="293">
        <f t="shared" si="9"/>
        <v>0</v>
      </c>
      <c r="EC8" s="293"/>
      <c r="ED8" s="293"/>
      <c r="EE8" s="293"/>
      <c r="EF8" s="293">
        <f t="shared" si="10"/>
        <v>0</v>
      </c>
      <c r="EG8" s="293"/>
      <c r="EH8" s="293"/>
      <c r="EI8" s="293"/>
      <c r="EJ8" s="293">
        <f t="shared" si="11"/>
        <v>0</v>
      </c>
      <c r="EK8" s="293"/>
      <c r="EL8" s="293"/>
      <c r="EM8" s="293"/>
      <c r="EN8" s="293">
        <f t="shared" si="12"/>
        <v>0</v>
      </c>
      <c r="EO8" s="293"/>
      <c r="EP8" s="293"/>
      <c r="EQ8" s="293"/>
      <c r="ER8" s="293">
        <f t="shared" si="13"/>
        <v>0</v>
      </c>
      <c r="ES8" s="293"/>
      <c r="ET8" s="293"/>
      <c r="EU8" s="293"/>
      <c r="EV8" s="293">
        <f t="shared" si="14"/>
        <v>0</v>
      </c>
      <c r="EW8" s="293"/>
      <c r="EX8" s="293"/>
      <c r="EY8" s="293"/>
      <c r="EZ8" s="293">
        <f t="shared" si="15"/>
        <v>0</v>
      </c>
      <c r="FA8" s="293"/>
      <c r="FB8" s="293"/>
      <c r="FC8" s="293"/>
    </row>
    <row r="9" spans="2:159"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AK9" s="363"/>
      <c r="AL9" s="364"/>
      <c r="AM9" s="364"/>
      <c r="AN9" s="364"/>
      <c r="AO9" s="364"/>
      <c r="AP9" s="364"/>
      <c r="AQ9" s="364"/>
      <c r="AR9" s="364"/>
      <c r="AS9" s="364"/>
      <c r="AT9" s="364"/>
      <c r="AU9" s="364"/>
      <c r="AV9" s="364"/>
      <c r="AW9" s="364"/>
      <c r="AX9" s="364"/>
      <c r="AY9" s="364"/>
      <c r="AZ9" s="364"/>
      <c r="BA9" s="364"/>
      <c r="BB9" s="364"/>
      <c r="BC9" s="364"/>
      <c r="BD9" s="364"/>
      <c r="BE9" s="364"/>
      <c r="BF9" s="364"/>
      <c r="BG9" s="365"/>
      <c r="BP9" s="12">
        <v>6</v>
      </c>
      <c r="BR9" s="12" t="str">
        <f>IF($I106="","",$I106)</f>
        <v/>
      </c>
      <c r="BV9" s="370" t="str">
        <f>IF(AP109="","",AP109)</f>
        <v/>
      </c>
      <c r="BW9" s="370"/>
      <c r="BX9" s="370">
        <f>IF(AP112="","",AP112)</f>
        <v>0</v>
      </c>
      <c r="BY9" s="370"/>
      <c r="BZ9" s="370" t="str">
        <f>IF(I107="","",I107)</f>
        <v/>
      </c>
      <c r="CA9" s="370"/>
      <c r="CB9" s="370"/>
      <c r="CC9" s="370"/>
      <c r="CD9" s="370"/>
      <c r="CE9" s="370"/>
      <c r="CF9" s="371" t="str">
        <f>IF(BI114="","",LEFT(BI114,LEN(BI114)-2))</f>
        <v/>
      </c>
      <c r="CG9" s="371"/>
      <c r="CH9" s="371"/>
      <c r="CI9" s="371"/>
      <c r="CJ9" s="371"/>
      <c r="CK9" s="371"/>
      <c r="CR9" s="293">
        <f t="shared" si="0"/>
        <v>0</v>
      </c>
      <c r="CS9" s="293"/>
      <c r="CT9" s="293"/>
      <c r="CU9" s="293"/>
      <c r="CV9" s="293">
        <f t="shared" si="1"/>
        <v>0</v>
      </c>
      <c r="CW9" s="293"/>
      <c r="CX9" s="293"/>
      <c r="CY9" s="293"/>
      <c r="CZ9" s="293">
        <f t="shared" si="2"/>
        <v>0</v>
      </c>
      <c r="DA9" s="293"/>
      <c r="DB9" s="293"/>
      <c r="DC9" s="293"/>
      <c r="DD9" s="293">
        <f t="shared" si="3"/>
        <v>0</v>
      </c>
      <c r="DE9" s="293"/>
      <c r="DF9" s="293"/>
      <c r="DG9" s="293"/>
      <c r="DH9" s="293">
        <f t="shared" si="4"/>
        <v>0</v>
      </c>
      <c r="DI9" s="293"/>
      <c r="DJ9" s="293"/>
      <c r="DK9" s="293"/>
      <c r="DL9" s="293">
        <f t="shared" si="5"/>
        <v>0</v>
      </c>
      <c r="DM9" s="293"/>
      <c r="DN9" s="293"/>
      <c r="DO9" s="293"/>
      <c r="DP9" s="293">
        <f t="shared" si="6"/>
        <v>0</v>
      </c>
      <c r="DQ9" s="293"/>
      <c r="DR9" s="293"/>
      <c r="DS9" s="293"/>
      <c r="DT9" s="293">
        <f t="shared" si="7"/>
        <v>0</v>
      </c>
      <c r="DU9" s="293"/>
      <c r="DV9" s="293"/>
      <c r="DW9" s="293"/>
      <c r="DX9" s="293">
        <f t="shared" si="8"/>
        <v>0</v>
      </c>
      <c r="DY9" s="293"/>
      <c r="DZ9" s="293"/>
      <c r="EA9" s="293"/>
      <c r="EB9" s="293">
        <f t="shared" si="9"/>
        <v>0</v>
      </c>
      <c r="EC9" s="293"/>
      <c r="ED9" s="293"/>
      <c r="EE9" s="293"/>
      <c r="EF9" s="293">
        <f t="shared" si="10"/>
        <v>0</v>
      </c>
      <c r="EG9" s="293"/>
      <c r="EH9" s="293"/>
      <c r="EI9" s="293"/>
      <c r="EJ9" s="293">
        <f t="shared" si="11"/>
        <v>0</v>
      </c>
      <c r="EK9" s="293"/>
      <c r="EL9" s="293"/>
      <c r="EM9" s="293"/>
      <c r="EN9" s="293">
        <f t="shared" si="12"/>
        <v>0</v>
      </c>
      <c r="EO9" s="293"/>
      <c r="EP9" s="293"/>
      <c r="EQ9" s="293"/>
      <c r="ER9" s="293">
        <f t="shared" si="13"/>
        <v>0</v>
      </c>
      <c r="ES9" s="293"/>
      <c r="ET9" s="293"/>
      <c r="EU9" s="293"/>
      <c r="EV9" s="293">
        <f t="shared" si="14"/>
        <v>0</v>
      </c>
      <c r="EW9" s="293"/>
      <c r="EX9" s="293"/>
      <c r="EY9" s="293"/>
      <c r="EZ9" s="293">
        <f t="shared" si="15"/>
        <v>0</v>
      </c>
      <c r="FA9" s="293"/>
      <c r="FB9" s="293"/>
      <c r="FC9" s="293"/>
    </row>
    <row r="10" spans="2:159"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AK10" s="363"/>
      <c r="AL10" s="364"/>
      <c r="AM10" s="364"/>
      <c r="AN10" s="364"/>
      <c r="AO10" s="364"/>
      <c r="AP10" s="364"/>
      <c r="AQ10" s="364"/>
      <c r="AR10" s="364"/>
      <c r="AS10" s="364"/>
      <c r="AT10" s="364"/>
      <c r="AU10" s="364"/>
      <c r="AV10" s="364"/>
      <c r="AW10" s="364"/>
      <c r="AX10" s="364"/>
      <c r="AY10" s="364"/>
      <c r="AZ10" s="364"/>
      <c r="BA10" s="364"/>
      <c r="BB10" s="364"/>
      <c r="BC10" s="364"/>
      <c r="BD10" s="364"/>
      <c r="BE10" s="364"/>
      <c r="BF10" s="364"/>
      <c r="BG10" s="365"/>
      <c r="BP10" s="12">
        <v>7</v>
      </c>
      <c r="BR10" s="12" t="str">
        <f>IF($I123="","",$I123)</f>
        <v/>
      </c>
      <c r="BV10" s="370" t="str">
        <f>IF(AP126="","",AP126)</f>
        <v/>
      </c>
      <c r="BW10" s="370"/>
      <c r="BX10" s="370">
        <f>IF(AP129="","",AP129)</f>
        <v>0</v>
      </c>
      <c r="BY10" s="370"/>
      <c r="BZ10" s="370" t="str">
        <f>IF(I124="","",I124)</f>
        <v/>
      </c>
      <c r="CA10" s="370"/>
      <c r="CB10" s="370"/>
      <c r="CC10" s="370"/>
      <c r="CD10" s="370"/>
      <c r="CE10" s="370"/>
      <c r="CF10" s="371" t="str">
        <f>IF(BI131="","",LEFT(BI131,LEN(BI131)-2))</f>
        <v/>
      </c>
      <c r="CG10" s="371"/>
      <c r="CH10" s="371"/>
      <c r="CI10" s="371"/>
      <c r="CJ10" s="371"/>
      <c r="CK10" s="371"/>
      <c r="CR10" s="293">
        <f t="shared" si="0"/>
        <v>0</v>
      </c>
      <c r="CS10" s="293"/>
      <c r="CT10" s="293"/>
      <c r="CU10" s="293"/>
      <c r="CV10" s="293">
        <f t="shared" si="1"/>
        <v>0</v>
      </c>
      <c r="CW10" s="293"/>
      <c r="CX10" s="293"/>
      <c r="CY10" s="293"/>
      <c r="CZ10" s="293">
        <f t="shared" si="2"/>
        <v>0</v>
      </c>
      <c r="DA10" s="293"/>
      <c r="DB10" s="293"/>
      <c r="DC10" s="293"/>
      <c r="DD10" s="293">
        <f t="shared" si="3"/>
        <v>0</v>
      </c>
      <c r="DE10" s="293"/>
      <c r="DF10" s="293"/>
      <c r="DG10" s="293"/>
      <c r="DH10" s="293">
        <f t="shared" si="4"/>
        <v>0</v>
      </c>
      <c r="DI10" s="293"/>
      <c r="DJ10" s="293"/>
      <c r="DK10" s="293"/>
      <c r="DL10" s="293">
        <f t="shared" si="5"/>
        <v>0</v>
      </c>
      <c r="DM10" s="293"/>
      <c r="DN10" s="293"/>
      <c r="DO10" s="293"/>
      <c r="DP10" s="293">
        <f t="shared" si="6"/>
        <v>0</v>
      </c>
      <c r="DQ10" s="293"/>
      <c r="DR10" s="293"/>
      <c r="DS10" s="293"/>
      <c r="DT10" s="293">
        <f t="shared" si="7"/>
        <v>0</v>
      </c>
      <c r="DU10" s="293"/>
      <c r="DV10" s="293"/>
      <c r="DW10" s="293"/>
      <c r="DX10" s="293">
        <f t="shared" si="8"/>
        <v>0</v>
      </c>
      <c r="DY10" s="293"/>
      <c r="DZ10" s="293"/>
      <c r="EA10" s="293"/>
      <c r="EB10" s="293">
        <f t="shared" si="9"/>
        <v>0</v>
      </c>
      <c r="EC10" s="293"/>
      <c r="ED10" s="293"/>
      <c r="EE10" s="293"/>
      <c r="EF10" s="293">
        <f t="shared" si="10"/>
        <v>0</v>
      </c>
      <c r="EG10" s="293"/>
      <c r="EH10" s="293"/>
      <c r="EI10" s="293"/>
      <c r="EJ10" s="293">
        <f t="shared" si="11"/>
        <v>0</v>
      </c>
      <c r="EK10" s="293"/>
      <c r="EL10" s="293"/>
      <c r="EM10" s="293"/>
      <c r="EN10" s="293">
        <f t="shared" si="12"/>
        <v>0</v>
      </c>
      <c r="EO10" s="293"/>
      <c r="EP10" s="293"/>
      <c r="EQ10" s="293"/>
      <c r="ER10" s="293">
        <f t="shared" si="13"/>
        <v>0</v>
      </c>
      <c r="ES10" s="293"/>
      <c r="ET10" s="293"/>
      <c r="EU10" s="293"/>
      <c r="EV10" s="293">
        <f t="shared" si="14"/>
        <v>0</v>
      </c>
      <c r="EW10" s="293"/>
      <c r="EX10" s="293"/>
      <c r="EY10" s="293"/>
      <c r="EZ10" s="293">
        <f t="shared" si="15"/>
        <v>0</v>
      </c>
      <c r="FA10" s="293"/>
      <c r="FB10" s="293"/>
      <c r="FC10" s="293"/>
    </row>
    <row r="11" spans="2:15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AK11" s="363"/>
      <c r="AL11" s="364"/>
      <c r="AM11" s="364"/>
      <c r="AN11" s="364"/>
      <c r="AO11" s="364"/>
      <c r="AP11" s="364"/>
      <c r="AQ11" s="364"/>
      <c r="AR11" s="364"/>
      <c r="AS11" s="364"/>
      <c r="AT11" s="364"/>
      <c r="AU11" s="364"/>
      <c r="AV11" s="364"/>
      <c r="AW11" s="364"/>
      <c r="AX11" s="364"/>
      <c r="AY11" s="364"/>
      <c r="AZ11" s="364"/>
      <c r="BA11" s="364"/>
      <c r="BB11" s="364"/>
      <c r="BC11" s="364"/>
      <c r="BD11" s="364"/>
      <c r="BE11" s="364"/>
      <c r="BF11" s="364"/>
      <c r="BG11" s="365"/>
      <c r="BP11" s="12">
        <v>8</v>
      </c>
      <c r="BR11" s="12" t="str">
        <f>IF($I140="","",$I140)</f>
        <v/>
      </c>
      <c r="BV11" s="370" t="str">
        <f>IF(AP143="","",AP143)</f>
        <v/>
      </c>
      <c r="BW11" s="370"/>
      <c r="BX11" s="370">
        <f>IF(AP146="","",AP146)</f>
        <v>0</v>
      </c>
      <c r="BY11" s="370"/>
      <c r="BZ11" s="370" t="str">
        <f>IF(I141="","",I141)</f>
        <v/>
      </c>
      <c r="CA11" s="370"/>
      <c r="CB11" s="370"/>
      <c r="CC11" s="370"/>
      <c r="CD11" s="370"/>
      <c r="CE11" s="370"/>
      <c r="CF11" s="371" t="str">
        <f>IF(BI148="","",LEFT(BI148,LEN(BI148)-2))</f>
        <v/>
      </c>
      <c r="CG11" s="371"/>
      <c r="CH11" s="371"/>
      <c r="CI11" s="371"/>
      <c r="CJ11" s="371"/>
      <c r="CK11" s="371"/>
      <c r="CR11" s="293">
        <f t="shared" si="0"/>
        <v>0</v>
      </c>
      <c r="CS11" s="293"/>
      <c r="CT11" s="293"/>
      <c r="CU11" s="293"/>
      <c r="CV11" s="293">
        <f t="shared" si="1"/>
        <v>0</v>
      </c>
      <c r="CW11" s="293"/>
      <c r="CX11" s="293"/>
      <c r="CY11" s="293"/>
      <c r="CZ11" s="293">
        <f t="shared" si="2"/>
        <v>0</v>
      </c>
      <c r="DA11" s="293"/>
      <c r="DB11" s="293"/>
      <c r="DC11" s="293"/>
      <c r="DD11" s="293">
        <f t="shared" si="3"/>
        <v>0</v>
      </c>
      <c r="DE11" s="293"/>
      <c r="DF11" s="293"/>
      <c r="DG11" s="293"/>
      <c r="DH11" s="293">
        <f t="shared" si="4"/>
        <v>0</v>
      </c>
      <c r="DI11" s="293"/>
      <c r="DJ11" s="293"/>
      <c r="DK11" s="293"/>
      <c r="DL11" s="293">
        <f t="shared" si="5"/>
        <v>0</v>
      </c>
      <c r="DM11" s="293"/>
      <c r="DN11" s="293"/>
      <c r="DO11" s="293"/>
      <c r="DP11" s="293">
        <f t="shared" si="6"/>
        <v>0</v>
      </c>
      <c r="DQ11" s="293"/>
      <c r="DR11" s="293"/>
      <c r="DS11" s="293"/>
      <c r="DT11" s="293">
        <f t="shared" si="7"/>
        <v>0</v>
      </c>
      <c r="DU11" s="293"/>
      <c r="DV11" s="293"/>
      <c r="DW11" s="293"/>
      <c r="DX11" s="293">
        <f t="shared" si="8"/>
        <v>0</v>
      </c>
      <c r="DY11" s="293"/>
      <c r="DZ11" s="293"/>
      <c r="EA11" s="293"/>
      <c r="EB11" s="293">
        <f t="shared" si="9"/>
        <v>0</v>
      </c>
      <c r="EC11" s="293"/>
      <c r="ED11" s="293"/>
      <c r="EE11" s="293"/>
      <c r="EF11" s="293">
        <f t="shared" si="10"/>
        <v>0</v>
      </c>
      <c r="EG11" s="293"/>
      <c r="EH11" s="293"/>
      <c r="EI11" s="293"/>
      <c r="EJ11" s="293">
        <f t="shared" si="11"/>
        <v>0</v>
      </c>
      <c r="EK11" s="293"/>
      <c r="EL11" s="293"/>
      <c r="EM11" s="293"/>
      <c r="EN11" s="293">
        <f t="shared" si="12"/>
        <v>0</v>
      </c>
      <c r="EO11" s="293"/>
      <c r="EP11" s="293"/>
      <c r="EQ11" s="293"/>
      <c r="ER11" s="293">
        <f t="shared" si="13"/>
        <v>0</v>
      </c>
      <c r="ES11" s="293"/>
      <c r="ET11" s="293"/>
      <c r="EU11" s="293"/>
      <c r="EV11" s="293">
        <f t="shared" si="14"/>
        <v>0</v>
      </c>
      <c r="EW11" s="293"/>
      <c r="EX11" s="293"/>
      <c r="EY11" s="293"/>
      <c r="EZ11" s="293">
        <f t="shared" si="15"/>
        <v>0</v>
      </c>
      <c r="FA11" s="293"/>
      <c r="FB11" s="293"/>
      <c r="FC11" s="293"/>
    </row>
    <row r="12" spans="2:15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AK12" s="363"/>
      <c r="AL12" s="364"/>
      <c r="AM12" s="364"/>
      <c r="AN12" s="364"/>
      <c r="AO12" s="364"/>
      <c r="AP12" s="364"/>
      <c r="AQ12" s="364"/>
      <c r="AR12" s="364"/>
      <c r="AS12" s="364"/>
      <c r="AT12" s="364"/>
      <c r="AU12" s="364"/>
      <c r="AV12" s="364"/>
      <c r="AW12" s="364"/>
      <c r="AX12" s="364"/>
      <c r="AY12" s="364"/>
      <c r="AZ12" s="364"/>
      <c r="BA12" s="364"/>
      <c r="BB12" s="364"/>
      <c r="BC12" s="364"/>
      <c r="BD12" s="364"/>
      <c r="BE12" s="364"/>
      <c r="BF12" s="364"/>
      <c r="BG12" s="365"/>
      <c r="BP12" s="12">
        <v>9</v>
      </c>
      <c r="BR12" s="12" t="str">
        <f>IF($I157="","",$I157)</f>
        <v/>
      </c>
      <c r="BV12" s="370" t="str">
        <f>IF(AP160="","",AP160)</f>
        <v/>
      </c>
      <c r="BW12" s="370"/>
      <c r="BX12" s="370">
        <f>IF(AP163="","",AP163)</f>
        <v>0</v>
      </c>
      <c r="BY12" s="370"/>
      <c r="BZ12" s="370" t="str">
        <f>IF(I158="","",I158)</f>
        <v/>
      </c>
      <c r="CA12" s="370"/>
      <c r="CB12" s="370"/>
      <c r="CC12" s="370"/>
      <c r="CD12" s="370"/>
      <c r="CE12" s="370"/>
      <c r="CF12" s="371" t="str">
        <f>IF(BI165="","",LEFT(BI165,LEN(BI165)-2))</f>
        <v/>
      </c>
      <c r="CG12" s="371"/>
      <c r="CH12" s="371"/>
      <c r="CI12" s="371"/>
      <c r="CJ12" s="371"/>
      <c r="CK12" s="371"/>
      <c r="CR12" s="293">
        <f t="shared" si="0"/>
        <v>0</v>
      </c>
      <c r="CS12" s="293"/>
      <c r="CT12" s="293"/>
      <c r="CU12" s="293"/>
      <c r="CV12" s="293">
        <f t="shared" si="1"/>
        <v>0</v>
      </c>
      <c r="CW12" s="293"/>
      <c r="CX12" s="293"/>
      <c r="CY12" s="293"/>
      <c r="CZ12" s="293">
        <f t="shared" si="2"/>
        <v>0</v>
      </c>
      <c r="DA12" s="293"/>
      <c r="DB12" s="293"/>
      <c r="DC12" s="293"/>
      <c r="DD12" s="293">
        <f t="shared" si="3"/>
        <v>0</v>
      </c>
      <c r="DE12" s="293"/>
      <c r="DF12" s="293"/>
      <c r="DG12" s="293"/>
      <c r="DH12" s="293">
        <f t="shared" si="4"/>
        <v>0</v>
      </c>
      <c r="DI12" s="293"/>
      <c r="DJ12" s="293"/>
      <c r="DK12" s="293"/>
      <c r="DL12" s="293">
        <f t="shared" si="5"/>
        <v>0</v>
      </c>
      <c r="DM12" s="293"/>
      <c r="DN12" s="293"/>
      <c r="DO12" s="293"/>
      <c r="DP12" s="293">
        <f t="shared" si="6"/>
        <v>0</v>
      </c>
      <c r="DQ12" s="293"/>
      <c r="DR12" s="293"/>
      <c r="DS12" s="293"/>
      <c r="DT12" s="293">
        <f t="shared" si="7"/>
        <v>0</v>
      </c>
      <c r="DU12" s="293"/>
      <c r="DV12" s="293"/>
      <c r="DW12" s="293"/>
      <c r="DX12" s="293">
        <f t="shared" si="8"/>
        <v>0</v>
      </c>
      <c r="DY12" s="293"/>
      <c r="DZ12" s="293"/>
      <c r="EA12" s="293"/>
      <c r="EB12" s="293">
        <f t="shared" si="9"/>
        <v>0</v>
      </c>
      <c r="EC12" s="293"/>
      <c r="ED12" s="293"/>
      <c r="EE12" s="293"/>
      <c r="EF12" s="293">
        <f t="shared" si="10"/>
        <v>0</v>
      </c>
      <c r="EG12" s="293"/>
      <c r="EH12" s="293"/>
      <c r="EI12" s="293"/>
      <c r="EJ12" s="293">
        <f t="shared" si="11"/>
        <v>0</v>
      </c>
      <c r="EK12" s="293"/>
      <c r="EL12" s="293"/>
      <c r="EM12" s="293"/>
      <c r="EN12" s="293">
        <f t="shared" si="12"/>
        <v>0</v>
      </c>
      <c r="EO12" s="293"/>
      <c r="EP12" s="293"/>
      <c r="EQ12" s="293"/>
      <c r="ER12" s="293">
        <f t="shared" si="13"/>
        <v>0</v>
      </c>
      <c r="ES12" s="293"/>
      <c r="ET12" s="293"/>
      <c r="EU12" s="293"/>
      <c r="EV12" s="293">
        <f t="shared" si="14"/>
        <v>0</v>
      </c>
      <c r="EW12" s="293"/>
      <c r="EX12" s="293"/>
      <c r="EY12" s="293"/>
      <c r="EZ12" s="293">
        <f t="shared" si="15"/>
        <v>0</v>
      </c>
      <c r="FA12" s="293"/>
      <c r="FB12" s="293"/>
      <c r="FC12" s="293"/>
    </row>
    <row r="13" spans="2:159"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AK13" s="363"/>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5"/>
      <c r="BP13" s="12">
        <v>10</v>
      </c>
      <c r="BR13" s="12" t="str">
        <f>IF($I174="","",$I174)</f>
        <v/>
      </c>
      <c r="BV13" s="370" t="str">
        <f>IF(AP177="","",AP177)</f>
        <v/>
      </c>
      <c r="BW13" s="370"/>
      <c r="BX13" s="370">
        <f>IF(AP180="","",AP180)</f>
        <v>0</v>
      </c>
      <c r="BY13" s="370"/>
      <c r="BZ13" s="370" t="str">
        <f>IF(I175="","",I175)</f>
        <v/>
      </c>
      <c r="CA13" s="370"/>
      <c r="CB13" s="370"/>
      <c r="CC13" s="370"/>
      <c r="CD13" s="370"/>
      <c r="CE13" s="370"/>
      <c r="CF13" s="371" t="str">
        <f>IF(BI182="","",LEFT(BI182,LEN(BI182)-2))</f>
        <v/>
      </c>
      <c r="CG13" s="371"/>
      <c r="CH13" s="371"/>
      <c r="CI13" s="371"/>
      <c r="CJ13" s="371"/>
      <c r="CK13" s="371"/>
      <c r="CR13" s="293">
        <f t="shared" si="0"/>
        <v>0</v>
      </c>
      <c r="CS13" s="293"/>
      <c r="CT13" s="293"/>
      <c r="CU13" s="293"/>
      <c r="CV13" s="293">
        <f t="shared" si="1"/>
        <v>0</v>
      </c>
      <c r="CW13" s="293"/>
      <c r="CX13" s="293"/>
      <c r="CY13" s="293"/>
      <c r="CZ13" s="293">
        <f t="shared" si="2"/>
        <v>0</v>
      </c>
      <c r="DA13" s="293"/>
      <c r="DB13" s="293"/>
      <c r="DC13" s="293"/>
      <c r="DD13" s="293">
        <f t="shared" si="3"/>
        <v>0</v>
      </c>
      <c r="DE13" s="293"/>
      <c r="DF13" s="293"/>
      <c r="DG13" s="293"/>
      <c r="DH13" s="293">
        <f t="shared" si="4"/>
        <v>0</v>
      </c>
      <c r="DI13" s="293"/>
      <c r="DJ13" s="293"/>
      <c r="DK13" s="293"/>
      <c r="DL13" s="293">
        <f t="shared" si="5"/>
        <v>0</v>
      </c>
      <c r="DM13" s="293"/>
      <c r="DN13" s="293"/>
      <c r="DO13" s="293"/>
      <c r="DP13" s="293">
        <f t="shared" si="6"/>
        <v>0</v>
      </c>
      <c r="DQ13" s="293"/>
      <c r="DR13" s="293"/>
      <c r="DS13" s="293"/>
      <c r="DT13" s="293">
        <f t="shared" si="7"/>
        <v>0</v>
      </c>
      <c r="DU13" s="293"/>
      <c r="DV13" s="293"/>
      <c r="DW13" s="293"/>
      <c r="DX13" s="293">
        <f t="shared" si="8"/>
        <v>0</v>
      </c>
      <c r="DY13" s="293"/>
      <c r="DZ13" s="293"/>
      <c r="EA13" s="293"/>
      <c r="EB13" s="293">
        <f t="shared" si="9"/>
        <v>0</v>
      </c>
      <c r="EC13" s="293"/>
      <c r="ED13" s="293"/>
      <c r="EE13" s="293"/>
      <c r="EF13" s="293">
        <f t="shared" si="10"/>
        <v>0</v>
      </c>
      <c r="EG13" s="293"/>
      <c r="EH13" s="293"/>
      <c r="EI13" s="293"/>
      <c r="EJ13" s="293">
        <f t="shared" si="11"/>
        <v>0</v>
      </c>
      <c r="EK13" s="293"/>
      <c r="EL13" s="293"/>
      <c r="EM13" s="293"/>
      <c r="EN13" s="293">
        <f t="shared" si="12"/>
        <v>0</v>
      </c>
      <c r="EO13" s="293"/>
      <c r="EP13" s="293"/>
      <c r="EQ13" s="293"/>
      <c r="ER13" s="293">
        <f t="shared" si="13"/>
        <v>0</v>
      </c>
      <c r="ES13" s="293"/>
      <c r="ET13" s="293"/>
      <c r="EU13" s="293"/>
      <c r="EV13" s="293">
        <f t="shared" si="14"/>
        <v>0</v>
      </c>
      <c r="EW13" s="293"/>
      <c r="EX13" s="293"/>
      <c r="EY13" s="293"/>
      <c r="EZ13" s="293">
        <f t="shared" si="15"/>
        <v>0</v>
      </c>
      <c r="FA13" s="293"/>
      <c r="FB13" s="293"/>
      <c r="FC13" s="293"/>
    </row>
    <row r="14" spans="2:159"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AK14" s="363"/>
      <c r="AL14" s="364"/>
      <c r="AM14" s="364"/>
      <c r="AN14" s="364"/>
      <c r="AO14" s="364"/>
      <c r="AP14" s="364"/>
      <c r="AQ14" s="364"/>
      <c r="AR14" s="364"/>
      <c r="AS14" s="364"/>
      <c r="AT14" s="364"/>
      <c r="AU14" s="364"/>
      <c r="AV14" s="364"/>
      <c r="AW14" s="364"/>
      <c r="AX14" s="364"/>
      <c r="AY14" s="364"/>
      <c r="AZ14" s="364"/>
      <c r="BA14" s="364"/>
      <c r="BB14" s="364"/>
      <c r="BC14" s="364"/>
      <c r="BD14" s="364"/>
      <c r="BE14" s="364"/>
      <c r="BF14" s="364"/>
      <c r="BG14" s="365"/>
      <c r="BP14" s="12">
        <v>11</v>
      </c>
      <c r="BR14" s="12" t="str">
        <f>IF($I191="","",$I191)</f>
        <v/>
      </c>
      <c r="BV14" s="370" t="str">
        <f>IF(AP194="","",AP194)</f>
        <v/>
      </c>
      <c r="BW14" s="370"/>
      <c r="BX14" s="370">
        <f>IF($AP197="","",$AP197)</f>
        <v>0</v>
      </c>
      <c r="BY14" s="370"/>
      <c r="BZ14" s="370" t="str">
        <f>IF($I192="","",$I192)</f>
        <v/>
      </c>
      <c r="CA14" s="370"/>
      <c r="CB14" s="370"/>
      <c r="CC14" s="370"/>
      <c r="CD14" s="370"/>
      <c r="CE14" s="370"/>
      <c r="CF14" s="371" t="str">
        <f>IF(BI199="","",LEFT(BI199,LEN(BI199)-2))</f>
        <v/>
      </c>
      <c r="CG14" s="371"/>
      <c r="CH14" s="371"/>
      <c r="CI14" s="371"/>
      <c r="CJ14" s="371"/>
      <c r="CK14" s="371"/>
      <c r="CR14" s="293">
        <f t="shared" si="0"/>
        <v>0</v>
      </c>
      <c r="CS14" s="293"/>
      <c r="CT14" s="293"/>
      <c r="CU14" s="293"/>
      <c r="CV14" s="293">
        <f t="shared" si="1"/>
        <v>0</v>
      </c>
      <c r="CW14" s="293"/>
      <c r="CX14" s="293"/>
      <c r="CY14" s="293"/>
      <c r="CZ14" s="293">
        <f t="shared" si="2"/>
        <v>0</v>
      </c>
      <c r="DA14" s="293"/>
      <c r="DB14" s="293"/>
      <c r="DC14" s="293"/>
      <c r="DD14" s="293">
        <f t="shared" si="3"/>
        <v>0</v>
      </c>
      <c r="DE14" s="293"/>
      <c r="DF14" s="293"/>
      <c r="DG14" s="293"/>
      <c r="DH14" s="293">
        <f t="shared" si="4"/>
        <v>0</v>
      </c>
      <c r="DI14" s="293"/>
      <c r="DJ14" s="293"/>
      <c r="DK14" s="293"/>
      <c r="DL14" s="293">
        <f t="shared" si="5"/>
        <v>0</v>
      </c>
      <c r="DM14" s="293"/>
      <c r="DN14" s="293"/>
      <c r="DO14" s="293"/>
      <c r="DP14" s="293">
        <f t="shared" si="6"/>
        <v>0</v>
      </c>
      <c r="DQ14" s="293"/>
      <c r="DR14" s="293"/>
      <c r="DS14" s="293"/>
      <c r="DT14" s="293">
        <f t="shared" si="7"/>
        <v>0</v>
      </c>
      <c r="DU14" s="293"/>
      <c r="DV14" s="293"/>
      <c r="DW14" s="293"/>
      <c r="DX14" s="293">
        <f t="shared" si="8"/>
        <v>0</v>
      </c>
      <c r="DY14" s="293"/>
      <c r="DZ14" s="293"/>
      <c r="EA14" s="293"/>
      <c r="EB14" s="293">
        <f t="shared" si="9"/>
        <v>0</v>
      </c>
      <c r="EC14" s="293"/>
      <c r="ED14" s="293"/>
      <c r="EE14" s="293"/>
      <c r="EF14" s="293">
        <f t="shared" si="10"/>
        <v>0</v>
      </c>
      <c r="EG14" s="293"/>
      <c r="EH14" s="293"/>
      <c r="EI14" s="293"/>
      <c r="EJ14" s="293">
        <f t="shared" si="11"/>
        <v>0</v>
      </c>
      <c r="EK14" s="293"/>
      <c r="EL14" s="293"/>
      <c r="EM14" s="293"/>
      <c r="EN14" s="293">
        <f t="shared" si="12"/>
        <v>0</v>
      </c>
      <c r="EO14" s="293"/>
      <c r="EP14" s="293"/>
      <c r="EQ14" s="293"/>
      <c r="ER14" s="293">
        <f t="shared" si="13"/>
        <v>0</v>
      </c>
      <c r="ES14" s="293"/>
      <c r="ET14" s="293"/>
      <c r="EU14" s="293"/>
      <c r="EV14" s="293">
        <f t="shared" si="14"/>
        <v>0</v>
      </c>
      <c r="EW14" s="293"/>
      <c r="EX14" s="293"/>
      <c r="EY14" s="293"/>
      <c r="EZ14" s="293">
        <f t="shared" si="15"/>
        <v>0</v>
      </c>
      <c r="FA14" s="293"/>
      <c r="FB14" s="293"/>
      <c r="FC14" s="293"/>
    </row>
    <row r="15" spans="2:159"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AK15" s="363"/>
      <c r="AL15" s="364"/>
      <c r="AM15" s="364"/>
      <c r="AN15" s="364"/>
      <c r="AO15" s="364"/>
      <c r="AP15" s="364"/>
      <c r="AQ15" s="364"/>
      <c r="AR15" s="364"/>
      <c r="AS15" s="364"/>
      <c r="AT15" s="364"/>
      <c r="AU15" s="364"/>
      <c r="AV15" s="364"/>
      <c r="AW15" s="364"/>
      <c r="AX15" s="364"/>
      <c r="AY15" s="364"/>
      <c r="AZ15" s="364"/>
      <c r="BA15" s="364"/>
      <c r="BB15" s="364"/>
      <c r="BC15" s="364"/>
      <c r="BD15" s="364"/>
      <c r="BE15" s="364"/>
      <c r="BF15" s="364"/>
      <c r="BG15" s="365"/>
      <c r="BP15" s="12">
        <v>12</v>
      </c>
      <c r="BR15" s="12" t="str">
        <f>IF($I208="","",$I208)</f>
        <v/>
      </c>
      <c r="BV15" s="370" t="str">
        <f>IF(AP211="","",AP211)</f>
        <v/>
      </c>
      <c r="BW15" s="370"/>
      <c r="BX15" s="370">
        <f>IF($AP214="","",$AP214)</f>
        <v>0</v>
      </c>
      <c r="BY15" s="370"/>
      <c r="BZ15" s="370" t="str">
        <f>IF(I$209="","",I$209)</f>
        <v/>
      </c>
      <c r="CA15" s="370"/>
      <c r="CB15" s="370"/>
      <c r="CC15" s="370"/>
      <c r="CD15" s="370"/>
      <c r="CE15" s="370"/>
      <c r="CF15" s="371" t="str">
        <f>IF(BI216="","",LEFT(BI216,LEN(BI216)-2))</f>
        <v/>
      </c>
      <c r="CG15" s="371"/>
      <c r="CH15" s="371"/>
      <c r="CI15" s="371"/>
      <c r="CJ15" s="371"/>
      <c r="CK15" s="371"/>
      <c r="CR15" s="293">
        <f t="shared" si="0"/>
        <v>0</v>
      </c>
      <c r="CS15" s="293"/>
      <c r="CT15" s="293"/>
      <c r="CU15" s="293"/>
      <c r="CV15" s="293">
        <f t="shared" si="1"/>
        <v>0</v>
      </c>
      <c r="CW15" s="293"/>
      <c r="CX15" s="293"/>
      <c r="CY15" s="293"/>
      <c r="CZ15" s="293">
        <f t="shared" si="2"/>
        <v>0</v>
      </c>
      <c r="DA15" s="293"/>
      <c r="DB15" s="293"/>
      <c r="DC15" s="293"/>
      <c r="DD15" s="293">
        <f t="shared" si="3"/>
        <v>0</v>
      </c>
      <c r="DE15" s="293"/>
      <c r="DF15" s="293"/>
      <c r="DG15" s="293"/>
      <c r="DH15" s="293">
        <f t="shared" si="4"/>
        <v>0</v>
      </c>
      <c r="DI15" s="293"/>
      <c r="DJ15" s="293"/>
      <c r="DK15" s="293"/>
      <c r="DL15" s="293">
        <f t="shared" si="5"/>
        <v>0</v>
      </c>
      <c r="DM15" s="293"/>
      <c r="DN15" s="293"/>
      <c r="DO15" s="293"/>
      <c r="DP15" s="293">
        <f t="shared" si="6"/>
        <v>0</v>
      </c>
      <c r="DQ15" s="293"/>
      <c r="DR15" s="293"/>
      <c r="DS15" s="293"/>
      <c r="DT15" s="293">
        <f t="shared" si="7"/>
        <v>0</v>
      </c>
      <c r="DU15" s="293"/>
      <c r="DV15" s="293"/>
      <c r="DW15" s="293"/>
      <c r="DX15" s="293">
        <f t="shared" si="8"/>
        <v>0</v>
      </c>
      <c r="DY15" s="293"/>
      <c r="DZ15" s="293"/>
      <c r="EA15" s="293"/>
      <c r="EB15" s="293">
        <f t="shared" si="9"/>
        <v>0</v>
      </c>
      <c r="EC15" s="293"/>
      <c r="ED15" s="293"/>
      <c r="EE15" s="293"/>
      <c r="EF15" s="293">
        <f t="shared" si="10"/>
        <v>0</v>
      </c>
      <c r="EG15" s="293"/>
      <c r="EH15" s="293"/>
      <c r="EI15" s="293"/>
      <c r="EJ15" s="293">
        <f t="shared" si="11"/>
        <v>0</v>
      </c>
      <c r="EK15" s="293"/>
      <c r="EL15" s="293"/>
      <c r="EM15" s="293"/>
      <c r="EN15" s="293">
        <f t="shared" si="12"/>
        <v>0</v>
      </c>
      <c r="EO15" s="293"/>
      <c r="EP15" s="293"/>
      <c r="EQ15" s="293"/>
      <c r="ER15" s="293">
        <f t="shared" si="13"/>
        <v>0</v>
      </c>
      <c r="ES15" s="293"/>
      <c r="ET15" s="293"/>
      <c r="EU15" s="293"/>
      <c r="EV15" s="293">
        <f t="shared" si="14"/>
        <v>0</v>
      </c>
      <c r="EW15" s="293"/>
      <c r="EX15" s="293"/>
      <c r="EY15" s="293"/>
      <c r="EZ15" s="293">
        <f t="shared" si="15"/>
        <v>0</v>
      </c>
      <c r="FA15" s="293"/>
      <c r="FB15" s="293"/>
      <c r="FC15" s="293"/>
    </row>
    <row r="16" spans="2:15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c r="AK16" s="363"/>
      <c r="AL16" s="364"/>
      <c r="AM16" s="364"/>
      <c r="AN16" s="364"/>
      <c r="AO16" s="364"/>
      <c r="AP16" s="364"/>
      <c r="AQ16" s="364"/>
      <c r="AR16" s="364"/>
      <c r="AS16" s="364"/>
      <c r="AT16" s="364"/>
      <c r="AU16" s="364"/>
      <c r="AV16" s="364"/>
      <c r="AW16" s="364"/>
      <c r="AX16" s="364"/>
      <c r="AY16" s="364"/>
      <c r="AZ16" s="364"/>
      <c r="BA16" s="364"/>
      <c r="BB16" s="364"/>
      <c r="BC16" s="364"/>
      <c r="BD16" s="364"/>
      <c r="BE16" s="364"/>
      <c r="BF16" s="364"/>
      <c r="BG16" s="365"/>
      <c r="BP16" s="12">
        <v>13</v>
      </c>
      <c r="BR16" s="12" t="str">
        <f>IF($I225="","",$I225)</f>
        <v/>
      </c>
      <c r="BV16" s="370" t="str">
        <f>IF(AP228="","",AP228)</f>
        <v/>
      </c>
      <c r="BW16" s="370"/>
      <c r="BX16" s="370">
        <f>IF($AP231="","",$AP231)</f>
        <v>0</v>
      </c>
      <c r="BY16" s="370"/>
      <c r="BZ16" s="370" t="str">
        <f>IF($I226="","",$I226)</f>
        <v/>
      </c>
      <c r="CA16" s="370"/>
      <c r="CB16" s="370"/>
      <c r="CC16" s="370"/>
      <c r="CD16" s="370"/>
      <c r="CE16" s="370"/>
      <c r="CF16" s="371" t="str">
        <f>IF(BI233="","",LEFT(BI233,LEN(BI233)-2))</f>
        <v/>
      </c>
      <c r="CG16" s="371"/>
      <c r="CH16" s="371"/>
      <c r="CI16" s="371"/>
      <c r="CJ16" s="371"/>
      <c r="CK16" s="371"/>
      <c r="CR16" s="293">
        <f t="shared" si="0"/>
        <v>0</v>
      </c>
      <c r="CS16" s="293"/>
      <c r="CT16" s="293"/>
      <c r="CU16" s="293"/>
      <c r="CV16" s="293">
        <f t="shared" si="1"/>
        <v>0</v>
      </c>
      <c r="CW16" s="293"/>
      <c r="CX16" s="293"/>
      <c r="CY16" s="293"/>
      <c r="CZ16" s="293">
        <f t="shared" si="2"/>
        <v>0</v>
      </c>
      <c r="DA16" s="293"/>
      <c r="DB16" s="293"/>
      <c r="DC16" s="293"/>
      <c r="DD16" s="293">
        <f t="shared" si="3"/>
        <v>0</v>
      </c>
      <c r="DE16" s="293"/>
      <c r="DF16" s="293"/>
      <c r="DG16" s="293"/>
      <c r="DH16" s="293">
        <f t="shared" si="4"/>
        <v>0</v>
      </c>
      <c r="DI16" s="293"/>
      <c r="DJ16" s="293"/>
      <c r="DK16" s="293"/>
      <c r="DL16" s="293">
        <f t="shared" si="5"/>
        <v>0</v>
      </c>
      <c r="DM16" s="293"/>
      <c r="DN16" s="293"/>
      <c r="DO16" s="293"/>
      <c r="DP16" s="293">
        <f t="shared" si="6"/>
        <v>0</v>
      </c>
      <c r="DQ16" s="293"/>
      <c r="DR16" s="293"/>
      <c r="DS16" s="293"/>
      <c r="DT16" s="293">
        <f t="shared" si="7"/>
        <v>0</v>
      </c>
      <c r="DU16" s="293"/>
      <c r="DV16" s="293"/>
      <c r="DW16" s="293"/>
      <c r="DX16" s="293">
        <f t="shared" si="8"/>
        <v>0</v>
      </c>
      <c r="DY16" s="293"/>
      <c r="DZ16" s="293"/>
      <c r="EA16" s="293"/>
      <c r="EB16" s="293">
        <f t="shared" si="9"/>
        <v>0</v>
      </c>
      <c r="EC16" s="293"/>
      <c r="ED16" s="293"/>
      <c r="EE16" s="293"/>
      <c r="EF16" s="293">
        <f t="shared" si="10"/>
        <v>0</v>
      </c>
      <c r="EG16" s="293"/>
      <c r="EH16" s="293"/>
      <c r="EI16" s="293"/>
      <c r="EJ16" s="293">
        <f t="shared" si="11"/>
        <v>0</v>
      </c>
      <c r="EK16" s="293"/>
      <c r="EL16" s="293"/>
      <c r="EM16" s="293"/>
      <c r="EN16" s="293">
        <f t="shared" si="12"/>
        <v>0</v>
      </c>
      <c r="EO16" s="293"/>
      <c r="EP16" s="293"/>
      <c r="EQ16" s="293"/>
      <c r="ER16" s="293">
        <f t="shared" si="13"/>
        <v>0</v>
      </c>
      <c r="ES16" s="293"/>
      <c r="ET16" s="293"/>
      <c r="EU16" s="293"/>
      <c r="EV16" s="293">
        <f t="shared" si="14"/>
        <v>0</v>
      </c>
      <c r="EW16" s="293"/>
      <c r="EX16" s="293"/>
      <c r="EY16" s="293"/>
      <c r="EZ16" s="293">
        <f t="shared" si="15"/>
        <v>0</v>
      </c>
      <c r="FA16" s="293"/>
      <c r="FB16" s="293"/>
      <c r="FC16" s="293"/>
    </row>
    <row r="17" spans="2:159" ht="13.5" customHeight="1">
      <c r="B17" s="18"/>
      <c r="C17" s="380"/>
      <c r="D17" s="381"/>
      <c r="E17" s="381"/>
      <c r="F17" s="381"/>
      <c r="G17" s="381"/>
      <c r="H17" s="381"/>
      <c r="I17" s="381"/>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2"/>
      <c r="AI17" s="20"/>
      <c r="AK17" s="363"/>
      <c r="AL17" s="364"/>
      <c r="AM17" s="364"/>
      <c r="AN17" s="364"/>
      <c r="AO17" s="364"/>
      <c r="AP17" s="364"/>
      <c r="AQ17" s="364"/>
      <c r="AR17" s="364"/>
      <c r="AS17" s="364"/>
      <c r="AT17" s="364"/>
      <c r="AU17" s="364"/>
      <c r="AV17" s="364"/>
      <c r="AW17" s="364"/>
      <c r="AX17" s="364"/>
      <c r="AY17" s="364"/>
      <c r="AZ17" s="364"/>
      <c r="BA17" s="364"/>
      <c r="BB17" s="364"/>
      <c r="BC17" s="364"/>
      <c r="BD17" s="364"/>
      <c r="BE17" s="364"/>
      <c r="BF17" s="364"/>
      <c r="BG17" s="365"/>
      <c r="BP17" s="12">
        <v>14</v>
      </c>
      <c r="BR17" s="12" t="str">
        <f>IF($I242="","",$I242)</f>
        <v/>
      </c>
      <c r="BV17" s="370" t="str">
        <f>IF(AP245="","",AP245)</f>
        <v/>
      </c>
      <c r="BW17" s="370"/>
      <c r="BX17" s="370">
        <f>IF($AP248="","",$AP248)</f>
        <v>0</v>
      </c>
      <c r="BY17" s="370"/>
      <c r="BZ17" s="370" t="str">
        <f>IF($I243="","",$I243)</f>
        <v/>
      </c>
      <c r="CA17" s="370"/>
      <c r="CB17" s="370"/>
      <c r="CC17" s="370"/>
      <c r="CD17" s="370"/>
      <c r="CE17" s="370"/>
      <c r="CF17" s="371" t="str">
        <f>IF(BI250="","",LEFT(BI250,LEN(BI250)-2))</f>
        <v/>
      </c>
      <c r="CG17" s="371"/>
      <c r="CH17" s="371"/>
      <c r="CI17" s="371"/>
      <c r="CJ17" s="371"/>
      <c r="CK17" s="371"/>
      <c r="CR17" s="293">
        <f t="shared" si="0"/>
        <v>0</v>
      </c>
      <c r="CS17" s="293"/>
      <c r="CT17" s="293"/>
      <c r="CU17" s="293"/>
      <c r="CV17" s="293">
        <f t="shared" si="1"/>
        <v>0</v>
      </c>
      <c r="CW17" s="293"/>
      <c r="CX17" s="293"/>
      <c r="CY17" s="293"/>
      <c r="CZ17" s="293">
        <f t="shared" si="2"/>
        <v>0</v>
      </c>
      <c r="DA17" s="293"/>
      <c r="DB17" s="293"/>
      <c r="DC17" s="293"/>
      <c r="DD17" s="293">
        <f t="shared" si="3"/>
        <v>0</v>
      </c>
      <c r="DE17" s="293"/>
      <c r="DF17" s="293"/>
      <c r="DG17" s="293"/>
      <c r="DH17" s="293">
        <f t="shared" si="4"/>
        <v>0</v>
      </c>
      <c r="DI17" s="293"/>
      <c r="DJ17" s="293"/>
      <c r="DK17" s="293"/>
      <c r="DL17" s="293">
        <f t="shared" si="5"/>
        <v>0</v>
      </c>
      <c r="DM17" s="293"/>
      <c r="DN17" s="293"/>
      <c r="DO17" s="293"/>
      <c r="DP17" s="293">
        <f t="shared" si="6"/>
        <v>0</v>
      </c>
      <c r="DQ17" s="293"/>
      <c r="DR17" s="293"/>
      <c r="DS17" s="293"/>
      <c r="DT17" s="293">
        <f t="shared" si="7"/>
        <v>0</v>
      </c>
      <c r="DU17" s="293"/>
      <c r="DV17" s="293"/>
      <c r="DW17" s="293"/>
      <c r="DX17" s="293">
        <f t="shared" si="8"/>
        <v>0</v>
      </c>
      <c r="DY17" s="293"/>
      <c r="DZ17" s="293"/>
      <c r="EA17" s="293"/>
      <c r="EB17" s="293">
        <f t="shared" si="9"/>
        <v>0</v>
      </c>
      <c r="EC17" s="293"/>
      <c r="ED17" s="293"/>
      <c r="EE17" s="293"/>
      <c r="EF17" s="293">
        <f t="shared" si="10"/>
        <v>0</v>
      </c>
      <c r="EG17" s="293"/>
      <c r="EH17" s="293"/>
      <c r="EI17" s="293"/>
      <c r="EJ17" s="293">
        <f t="shared" si="11"/>
        <v>0</v>
      </c>
      <c r="EK17" s="293"/>
      <c r="EL17" s="293"/>
      <c r="EM17" s="293"/>
      <c r="EN17" s="293">
        <f t="shared" si="12"/>
        <v>0</v>
      </c>
      <c r="EO17" s="293"/>
      <c r="EP17" s="293"/>
      <c r="EQ17" s="293"/>
      <c r="ER17" s="293">
        <f t="shared" si="13"/>
        <v>0</v>
      </c>
      <c r="ES17" s="293"/>
      <c r="ET17" s="293"/>
      <c r="EU17" s="293"/>
      <c r="EV17" s="293">
        <f t="shared" si="14"/>
        <v>0</v>
      </c>
      <c r="EW17" s="293"/>
      <c r="EX17" s="293"/>
      <c r="EY17" s="293"/>
      <c r="EZ17" s="293">
        <f t="shared" si="15"/>
        <v>0</v>
      </c>
      <c r="FA17" s="293"/>
      <c r="FB17" s="293"/>
      <c r="FC17" s="293"/>
    </row>
    <row r="18" spans="2:15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AK18" s="366"/>
      <c r="AL18" s="367"/>
      <c r="AM18" s="367"/>
      <c r="AN18" s="367"/>
      <c r="AO18" s="367"/>
      <c r="AP18" s="367"/>
      <c r="AQ18" s="367"/>
      <c r="AR18" s="367"/>
      <c r="AS18" s="367"/>
      <c r="AT18" s="367"/>
      <c r="AU18" s="367"/>
      <c r="AV18" s="367"/>
      <c r="AW18" s="367"/>
      <c r="AX18" s="367"/>
      <c r="AY18" s="367"/>
      <c r="AZ18" s="367"/>
      <c r="BA18" s="367"/>
      <c r="BB18" s="367"/>
      <c r="BC18" s="367"/>
      <c r="BD18" s="367"/>
      <c r="BE18" s="367"/>
      <c r="BF18" s="367"/>
      <c r="BG18" s="368"/>
      <c r="BP18" s="12">
        <v>15</v>
      </c>
      <c r="BR18" s="12" t="str">
        <f>IF($I259="","",$I259)</f>
        <v/>
      </c>
      <c r="BV18" s="370" t="str">
        <f>IF(AP262="","",AP262)</f>
        <v/>
      </c>
      <c r="BW18" s="370"/>
      <c r="BX18" s="370">
        <f>IF($AP265="","",$AP265)</f>
        <v>0</v>
      </c>
      <c r="BY18" s="370"/>
      <c r="BZ18" s="370" t="str">
        <f>IF($I260="","",$I260)</f>
        <v/>
      </c>
      <c r="CA18" s="370"/>
      <c r="CB18" s="370"/>
      <c r="CC18" s="370"/>
      <c r="CD18" s="370"/>
      <c r="CE18" s="370"/>
      <c r="CF18" s="371" t="str">
        <f>IF(BI267="","",LEFT(BI267,LEN(BI267)-2))</f>
        <v/>
      </c>
      <c r="CG18" s="371"/>
      <c r="CH18" s="371"/>
      <c r="CI18" s="371"/>
      <c r="CJ18" s="371"/>
      <c r="CK18" s="371"/>
      <c r="CR18" s="293">
        <f t="shared" si="0"/>
        <v>0</v>
      </c>
      <c r="CS18" s="293"/>
      <c r="CT18" s="293"/>
      <c r="CU18" s="293"/>
      <c r="CV18" s="293">
        <f t="shared" si="1"/>
        <v>0</v>
      </c>
      <c r="CW18" s="293"/>
      <c r="CX18" s="293"/>
      <c r="CY18" s="293"/>
      <c r="CZ18" s="293">
        <f t="shared" si="2"/>
        <v>0</v>
      </c>
      <c r="DA18" s="293"/>
      <c r="DB18" s="293"/>
      <c r="DC18" s="293"/>
      <c r="DD18" s="293">
        <f t="shared" si="3"/>
        <v>0</v>
      </c>
      <c r="DE18" s="293"/>
      <c r="DF18" s="293"/>
      <c r="DG18" s="293"/>
      <c r="DH18" s="293">
        <f t="shared" si="4"/>
        <v>0</v>
      </c>
      <c r="DI18" s="293"/>
      <c r="DJ18" s="293"/>
      <c r="DK18" s="293"/>
      <c r="DL18" s="293">
        <f t="shared" si="5"/>
        <v>0</v>
      </c>
      <c r="DM18" s="293"/>
      <c r="DN18" s="293"/>
      <c r="DO18" s="293"/>
      <c r="DP18" s="293">
        <f t="shared" si="6"/>
        <v>0</v>
      </c>
      <c r="DQ18" s="293"/>
      <c r="DR18" s="293"/>
      <c r="DS18" s="293"/>
      <c r="DT18" s="293">
        <f t="shared" si="7"/>
        <v>0</v>
      </c>
      <c r="DU18" s="293"/>
      <c r="DV18" s="293"/>
      <c r="DW18" s="293"/>
      <c r="DX18" s="293">
        <f t="shared" si="8"/>
        <v>0</v>
      </c>
      <c r="DY18" s="293"/>
      <c r="DZ18" s="293"/>
      <c r="EA18" s="293"/>
      <c r="EB18" s="293">
        <f t="shared" si="9"/>
        <v>0</v>
      </c>
      <c r="EC18" s="293"/>
      <c r="ED18" s="293"/>
      <c r="EE18" s="293"/>
      <c r="EF18" s="293">
        <f t="shared" si="10"/>
        <v>0</v>
      </c>
      <c r="EG18" s="293"/>
      <c r="EH18" s="293"/>
      <c r="EI18" s="293"/>
      <c r="EJ18" s="293">
        <f t="shared" si="11"/>
        <v>0</v>
      </c>
      <c r="EK18" s="293"/>
      <c r="EL18" s="293"/>
      <c r="EM18" s="293"/>
      <c r="EN18" s="293">
        <f t="shared" si="12"/>
        <v>0</v>
      </c>
      <c r="EO18" s="293"/>
      <c r="EP18" s="293"/>
      <c r="EQ18" s="293"/>
      <c r="ER18" s="293">
        <f t="shared" si="13"/>
        <v>0</v>
      </c>
      <c r="ES18" s="293"/>
      <c r="ET18" s="293"/>
      <c r="EU18" s="293"/>
      <c r="EV18" s="293">
        <f t="shared" si="14"/>
        <v>0</v>
      </c>
      <c r="EW18" s="293"/>
      <c r="EX18" s="293"/>
      <c r="EY18" s="293"/>
      <c r="EZ18" s="293">
        <f t="shared" si="15"/>
        <v>0</v>
      </c>
      <c r="FA18" s="293"/>
      <c r="FB18" s="293"/>
      <c r="FC18" s="293"/>
    </row>
    <row r="19" spans="2:15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P19" s="12">
        <v>16</v>
      </c>
      <c r="BR19" s="12" t="str">
        <f>IF($I276="","",$I276)</f>
        <v/>
      </c>
      <c r="BV19" s="370" t="str">
        <f>IF(AP279="","",AP279)</f>
        <v/>
      </c>
      <c r="BW19" s="370"/>
      <c r="BX19" s="370">
        <f>IF($AP282="","",$AP282)</f>
        <v>0</v>
      </c>
      <c r="BY19" s="370"/>
      <c r="BZ19" s="370" t="str">
        <f>IF($I277="","",$I277)</f>
        <v/>
      </c>
      <c r="CA19" s="370"/>
      <c r="CB19" s="370"/>
      <c r="CC19" s="370"/>
      <c r="CD19" s="370"/>
      <c r="CE19" s="370"/>
      <c r="CF19" s="371" t="str">
        <f>IF(BI284="","",LEFT(BI284,LEN(BI284)-2))</f>
        <v/>
      </c>
      <c r="CG19" s="371"/>
      <c r="CH19" s="371"/>
      <c r="CI19" s="371"/>
      <c r="CJ19" s="371"/>
      <c r="CK19" s="371"/>
      <c r="CR19" s="293">
        <f t="shared" si="0"/>
        <v>0</v>
      </c>
      <c r="CS19" s="293"/>
      <c r="CT19" s="293"/>
      <c r="CU19" s="293"/>
      <c r="CV19" s="293">
        <f t="shared" si="1"/>
        <v>0</v>
      </c>
      <c r="CW19" s="293"/>
      <c r="CX19" s="293"/>
      <c r="CY19" s="293"/>
      <c r="CZ19" s="293">
        <f t="shared" si="2"/>
        <v>0</v>
      </c>
      <c r="DA19" s="293"/>
      <c r="DB19" s="293"/>
      <c r="DC19" s="293"/>
      <c r="DD19" s="293">
        <f t="shared" si="3"/>
        <v>0</v>
      </c>
      <c r="DE19" s="293"/>
      <c r="DF19" s="293"/>
      <c r="DG19" s="293"/>
      <c r="DH19" s="293">
        <f t="shared" si="4"/>
        <v>0</v>
      </c>
      <c r="DI19" s="293"/>
      <c r="DJ19" s="293"/>
      <c r="DK19" s="293"/>
      <c r="DL19" s="293">
        <f t="shared" si="5"/>
        <v>0</v>
      </c>
      <c r="DM19" s="293"/>
      <c r="DN19" s="293"/>
      <c r="DO19" s="293"/>
      <c r="DP19" s="293">
        <f t="shared" si="6"/>
        <v>0</v>
      </c>
      <c r="DQ19" s="293"/>
      <c r="DR19" s="293"/>
      <c r="DS19" s="293"/>
      <c r="DT19" s="293">
        <f t="shared" si="7"/>
        <v>0</v>
      </c>
      <c r="DU19" s="293"/>
      <c r="DV19" s="293"/>
      <c r="DW19" s="293"/>
      <c r="DX19" s="293">
        <f t="shared" si="8"/>
        <v>0</v>
      </c>
      <c r="DY19" s="293"/>
      <c r="DZ19" s="293"/>
      <c r="EA19" s="293"/>
      <c r="EB19" s="293">
        <f t="shared" si="9"/>
        <v>0</v>
      </c>
      <c r="EC19" s="293"/>
      <c r="ED19" s="293"/>
      <c r="EE19" s="293"/>
      <c r="EF19" s="293">
        <f t="shared" si="10"/>
        <v>0</v>
      </c>
      <c r="EG19" s="293"/>
      <c r="EH19" s="293"/>
      <c r="EI19" s="293"/>
      <c r="EJ19" s="293">
        <f t="shared" si="11"/>
        <v>0</v>
      </c>
      <c r="EK19" s="293"/>
      <c r="EL19" s="293"/>
      <c r="EM19" s="293"/>
      <c r="EN19" s="293">
        <f t="shared" si="12"/>
        <v>0</v>
      </c>
      <c r="EO19" s="293"/>
      <c r="EP19" s="293"/>
      <c r="EQ19" s="293"/>
      <c r="ER19" s="293">
        <f t="shared" si="13"/>
        <v>0</v>
      </c>
      <c r="ES19" s="293"/>
      <c r="ET19" s="293"/>
      <c r="EU19" s="293"/>
      <c r="EV19" s="293">
        <f t="shared" si="14"/>
        <v>0</v>
      </c>
      <c r="EW19" s="293"/>
      <c r="EX19" s="293"/>
      <c r="EY19" s="293"/>
      <c r="EZ19" s="293">
        <f t="shared" si="15"/>
        <v>0</v>
      </c>
      <c r="FA19" s="293"/>
      <c r="FB19" s="293"/>
      <c r="FC19" s="293"/>
    </row>
    <row r="20" spans="2:15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I20" s="12" t="s">
        <v>849</v>
      </c>
      <c r="BP20" s="12">
        <v>17</v>
      </c>
      <c r="BR20" s="12" t="str">
        <f>IF($I293="","",$I293)</f>
        <v/>
      </c>
      <c r="BV20" s="370" t="str">
        <f>IF(AP296="","",AP296)</f>
        <v/>
      </c>
      <c r="BW20" s="370"/>
      <c r="BX20" s="370">
        <f>IF($AP299="","",$AP299)</f>
        <v>0</v>
      </c>
      <c r="BY20" s="370"/>
      <c r="BZ20" s="370" t="str">
        <f>IF($I294="","",$I294)</f>
        <v/>
      </c>
      <c r="CA20" s="370"/>
      <c r="CB20" s="370"/>
      <c r="CC20" s="370"/>
      <c r="CD20" s="370"/>
      <c r="CE20" s="370"/>
      <c r="CF20" s="371" t="str">
        <f>IF(BI301="","",LEFT(BI301,LEN(BI301)-2))</f>
        <v/>
      </c>
      <c r="CG20" s="371"/>
      <c r="CH20" s="371"/>
      <c r="CI20" s="371"/>
      <c r="CJ20" s="371"/>
      <c r="CK20" s="371"/>
      <c r="CR20" s="293">
        <f t="shared" si="0"/>
        <v>0</v>
      </c>
      <c r="CS20" s="293"/>
      <c r="CT20" s="293"/>
      <c r="CU20" s="293"/>
      <c r="CV20" s="293">
        <f t="shared" si="1"/>
        <v>0</v>
      </c>
      <c r="CW20" s="293"/>
      <c r="CX20" s="293"/>
      <c r="CY20" s="293"/>
      <c r="CZ20" s="293">
        <f t="shared" si="2"/>
        <v>0</v>
      </c>
      <c r="DA20" s="293"/>
      <c r="DB20" s="293"/>
      <c r="DC20" s="293"/>
      <c r="DD20" s="293">
        <f t="shared" si="3"/>
        <v>0</v>
      </c>
      <c r="DE20" s="293"/>
      <c r="DF20" s="293"/>
      <c r="DG20" s="293"/>
      <c r="DH20" s="293">
        <f t="shared" si="4"/>
        <v>0</v>
      </c>
      <c r="DI20" s="293"/>
      <c r="DJ20" s="293"/>
      <c r="DK20" s="293"/>
      <c r="DL20" s="293">
        <f t="shared" si="5"/>
        <v>0</v>
      </c>
      <c r="DM20" s="293"/>
      <c r="DN20" s="293"/>
      <c r="DO20" s="293"/>
      <c r="DP20" s="293">
        <f t="shared" si="6"/>
        <v>0</v>
      </c>
      <c r="DQ20" s="293"/>
      <c r="DR20" s="293"/>
      <c r="DS20" s="293"/>
      <c r="DT20" s="293">
        <f t="shared" si="7"/>
        <v>0</v>
      </c>
      <c r="DU20" s="293"/>
      <c r="DV20" s="293"/>
      <c r="DW20" s="293"/>
      <c r="DX20" s="293">
        <f t="shared" si="8"/>
        <v>0</v>
      </c>
      <c r="DY20" s="293"/>
      <c r="DZ20" s="293"/>
      <c r="EA20" s="293"/>
      <c r="EB20" s="293">
        <f t="shared" si="9"/>
        <v>0</v>
      </c>
      <c r="EC20" s="293"/>
      <c r="ED20" s="293"/>
      <c r="EE20" s="293"/>
      <c r="EF20" s="293">
        <f t="shared" si="10"/>
        <v>0</v>
      </c>
      <c r="EG20" s="293"/>
      <c r="EH20" s="293"/>
      <c r="EI20" s="293"/>
      <c r="EJ20" s="293">
        <f t="shared" si="11"/>
        <v>0</v>
      </c>
      <c r="EK20" s="293"/>
      <c r="EL20" s="293"/>
      <c r="EM20" s="293"/>
      <c r="EN20" s="293">
        <f t="shared" si="12"/>
        <v>0</v>
      </c>
      <c r="EO20" s="293"/>
      <c r="EP20" s="293"/>
      <c r="EQ20" s="293"/>
      <c r="ER20" s="293">
        <f t="shared" si="13"/>
        <v>0</v>
      </c>
      <c r="ES20" s="293"/>
      <c r="ET20" s="293"/>
      <c r="EU20" s="293"/>
      <c r="EV20" s="293">
        <f t="shared" si="14"/>
        <v>0</v>
      </c>
      <c r="EW20" s="293"/>
      <c r="EX20" s="293"/>
      <c r="EY20" s="293"/>
      <c r="EZ20" s="293">
        <f t="shared" si="15"/>
        <v>0</v>
      </c>
      <c r="FA20" s="293"/>
      <c r="FB20" s="293"/>
      <c r="FC20" s="293"/>
    </row>
    <row r="21" spans="2:159" ht="13.5" customHeight="1" thickBot="1">
      <c r="B21" s="18"/>
      <c r="C21" s="19" t="s">
        <v>387</v>
      </c>
      <c r="D21" s="19"/>
      <c r="E21" s="19"/>
      <c r="F21" s="19"/>
      <c r="G21" s="19"/>
      <c r="H21" s="19"/>
      <c r="I21" s="294" t="s">
        <v>1305</v>
      </c>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Attack</v>
      </c>
      <c r="AE21" s="253"/>
      <c r="AF21" s="253"/>
      <c r="AG21" s="253"/>
      <c r="AH21" s="254"/>
      <c r="AI21" s="19"/>
      <c r="AJ21" s="19" t="s">
        <v>403</v>
      </c>
      <c r="AK21" s="19"/>
      <c r="AL21" s="19"/>
      <c r="AM21" s="19"/>
      <c r="AN21" s="19"/>
      <c r="AO21" s="19"/>
      <c r="AP21" s="278">
        <v>1</v>
      </c>
      <c r="AQ21" s="279"/>
      <c r="AR21" s="279"/>
      <c r="AS21" s="280"/>
      <c r="AT21" s="20"/>
      <c r="BI21" s="147" t="s">
        <v>850</v>
      </c>
      <c r="BJ21" s="148"/>
      <c r="BK21" s="148"/>
      <c r="BL21" s="354">
        <f>AP21+AP22-ABS(AP23)</f>
        <v>3</v>
      </c>
      <c r="BM21" s="354"/>
      <c r="BN21" s="355"/>
      <c r="BP21" s="12">
        <v>18</v>
      </c>
      <c r="BR21" s="12" t="str">
        <f>IF($I310="","",$I310)</f>
        <v/>
      </c>
      <c r="BV21" s="370" t="str">
        <f>IF(AP313="","",AP313)</f>
        <v/>
      </c>
      <c r="BW21" s="370"/>
      <c r="BX21" s="370">
        <f>IF($AP316="","",$AP316)</f>
        <v>0</v>
      </c>
      <c r="BY21" s="370"/>
      <c r="BZ21" s="370" t="str">
        <f>IF($I311="","",$I311)</f>
        <v/>
      </c>
      <c r="CA21" s="370"/>
      <c r="CB21" s="370"/>
      <c r="CC21" s="370"/>
      <c r="CD21" s="370"/>
      <c r="CE21" s="370"/>
      <c r="CF21" s="371" t="str">
        <f>IF(BI318="","",LEFT(BI318,LEN(BI318)-2))</f>
        <v/>
      </c>
      <c r="CG21" s="371"/>
      <c r="CH21" s="371"/>
      <c r="CI21" s="371"/>
      <c r="CJ21" s="371"/>
      <c r="CK21" s="371"/>
      <c r="CR21" s="293">
        <f t="shared" si="0"/>
        <v>0</v>
      </c>
      <c r="CS21" s="293"/>
      <c r="CT21" s="293"/>
      <c r="CU21" s="293"/>
      <c r="CV21" s="293">
        <f t="shared" si="1"/>
        <v>0</v>
      </c>
      <c r="CW21" s="293"/>
      <c r="CX21" s="293"/>
      <c r="CY21" s="293"/>
      <c r="CZ21" s="293">
        <f t="shared" si="2"/>
        <v>0</v>
      </c>
      <c r="DA21" s="293"/>
      <c r="DB21" s="293"/>
      <c r="DC21" s="293"/>
      <c r="DD21" s="293">
        <f t="shared" si="3"/>
        <v>0</v>
      </c>
      <c r="DE21" s="293"/>
      <c r="DF21" s="293"/>
      <c r="DG21" s="293"/>
      <c r="DH21" s="293">
        <f t="shared" si="4"/>
        <v>0</v>
      </c>
      <c r="DI21" s="293"/>
      <c r="DJ21" s="293"/>
      <c r="DK21" s="293"/>
      <c r="DL21" s="293">
        <f t="shared" si="5"/>
        <v>0</v>
      </c>
      <c r="DM21" s="293"/>
      <c r="DN21" s="293"/>
      <c r="DO21" s="293"/>
      <c r="DP21" s="293">
        <f t="shared" si="6"/>
        <v>0</v>
      </c>
      <c r="DQ21" s="293"/>
      <c r="DR21" s="293"/>
      <c r="DS21" s="293"/>
      <c r="DT21" s="293">
        <f t="shared" si="7"/>
        <v>0</v>
      </c>
      <c r="DU21" s="293"/>
      <c r="DV21" s="293"/>
      <c r="DW21" s="293"/>
      <c r="DX21" s="293">
        <f t="shared" si="8"/>
        <v>0</v>
      </c>
      <c r="DY21" s="293"/>
      <c r="DZ21" s="293"/>
      <c r="EA21" s="293"/>
      <c r="EB21" s="293">
        <f t="shared" si="9"/>
        <v>0</v>
      </c>
      <c r="EC21" s="293"/>
      <c r="ED21" s="293"/>
      <c r="EE21" s="293"/>
      <c r="EF21" s="293">
        <f t="shared" si="10"/>
        <v>0</v>
      </c>
      <c r="EG21" s="293"/>
      <c r="EH21" s="293"/>
      <c r="EI21" s="293"/>
      <c r="EJ21" s="293">
        <f t="shared" si="11"/>
        <v>0</v>
      </c>
      <c r="EK21" s="293"/>
      <c r="EL21" s="293"/>
      <c r="EM21" s="293"/>
      <c r="EN21" s="293">
        <f t="shared" si="12"/>
        <v>0</v>
      </c>
      <c r="EO21" s="293"/>
      <c r="EP21" s="293"/>
      <c r="EQ21" s="293"/>
      <c r="ER21" s="293">
        <f t="shared" si="13"/>
        <v>0</v>
      </c>
      <c r="ES21" s="293"/>
      <c r="ET21" s="293"/>
      <c r="EU21" s="293"/>
      <c r="EV21" s="293">
        <f t="shared" si="14"/>
        <v>0</v>
      </c>
      <c r="EW21" s="293"/>
      <c r="EX21" s="293"/>
      <c r="EY21" s="293"/>
      <c r="EZ21" s="293">
        <f t="shared" si="15"/>
        <v>0</v>
      </c>
      <c r="FA21" s="293"/>
      <c r="FB21" s="293"/>
      <c r="FC21" s="293"/>
    </row>
    <row r="22" spans="2:159" ht="13.5" customHeight="1" thickBot="1">
      <c r="B22" s="18"/>
      <c r="C22" s="19" t="s">
        <v>388</v>
      </c>
      <c r="D22" s="19"/>
      <c r="E22" s="19"/>
      <c r="F22" s="19"/>
      <c r="G22" s="19"/>
      <c r="H22" s="19"/>
      <c r="I22" s="305" t="s">
        <v>411</v>
      </c>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Standard</v>
      </c>
      <c r="AE22" s="253"/>
      <c r="AF22" s="253"/>
      <c r="AG22" s="253"/>
      <c r="AH22" s="254"/>
      <c r="AI22" s="19"/>
      <c r="AJ22" s="19" t="s">
        <v>404</v>
      </c>
      <c r="AK22" s="19"/>
      <c r="AL22" s="19"/>
      <c r="AM22" s="19"/>
      <c r="AN22" s="19"/>
      <c r="AO22" s="19"/>
      <c r="AP22" s="263">
        <v>3</v>
      </c>
      <c r="AQ22" s="264"/>
      <c r="AR22" s="264"/>
      <c r="AS22" s="265"/>
      <c r="AT22" s="20"/>
      <c r="BI22" s="149" t="s">
        <v>851</v>
      </c>
      <c r="BJ22" s="14"/>
      <c r="BK22" s="14"/>
      <c r="BL22" s="356" t="str">
        <f>IF(I22="Custom","TRUE","FALSE")</f>
        <v>FALSE</v>
      </c>
      <c r="BM22" s="356"/>
      <c r="BN22" s="357"/>
      <c r="BP22" s="12">
        <v>19</v>
      </c>
      <c r="BR22" s="12" t="str">
        <f>IF($I327="","",$I327)</f>
        <v/>
      </c>
      <c r="BV22" s="370" t="str">
        <f>IF(AP330="","",AP330)</f>
        <v/>
      </c>
      <c r="BW22" s="370"/>
      <c r="BX22" s="370">
        <f>IF($AP333="","",$AP333)</f>
        <v>0</v>
      </c>
      <c r="BY22" s="370"/>
      <c r="BZ22" s="370" t="str">
        <f>IF($I328="","",$I328)</f>
        <v/>
      </c>
      <c r="CA22" s="370"/>
      <c r="CB22" s="370"/>
      <c r="CC22" s="370"/>
      <c r="CD22" s="370"/>
      <c r="CE22" s="370"/>
      <c r="CF22" s="371" t="str">
        <f>IF(BI335="","",LEFT(BI335,LEN(BI335)-2))</f>
        <v/>
      </c>
      <c r="CG22" s="371"/>
      <c r="CH22" s="371"/>
      <c r="CI22" s="371"/>
      <c r="CJ22" s="371"/>
      <c r="CK22" s="371"/>
      <c r="CR22" s="293">
        <f t="shared" si="0"/>
        <v>0</v>
      </c>
      <c r="CS22" s="293"/>
      <c r="CT22" s="293"/>
      <c r="CU22" s="293"/>
      <c r="CV22" s="293">
        <f t="shared" si="1"/>
        <v>0</v>
      </c>
      <c r="CW22" s="293"/>
      <c r="CX22" s="293"/>
      <c r="CY22" s="293"/>
      <c r="CZ22" s="293">
        <f t="shared" si="2"/>
        <v>0</v>
      </c>
      <c r="DA22" s="293"/>
      <c r="DB22" s="293"/>
      <c r="DC22" s="293"/>
      <c r="DD22" s="293">
        <f t="shared" si="3"/>
        <v>0</v>
      </c>
      <c r="DE22" s="293"/>
      <c r="DF22" s="293"/>
      <c r="DG22" s="293"/>
      <c r="DH22" s="293">
        <f t="shared" si="4"/>
        <v>0</v>
      </c>
      <c r="DI22" s="293"/>
      <c r="DJ22" s="293"/>
      <c r="DK22" s="293"/>
      <c r="DL22" s="293">
        <f t="shared" si="5"/>
        <v>0</v>
      </c>
      <c r="DM22" s="293"/>
      <c r="DN22" s="293"/>
      <c r="DO22" s="293"/>
      <c r="DP22" s="293">
        <f t="shared" si="6"/>
        <v>0</v>
      </c>
      <c r="DQ22" s="293"/>
      <c r="DR22" s="293"/>
      <c r="DS22" s="293"/>
      <c r="DT22" s="293">
        <f t="shared" si="7"/>
        <v>0</v>
      </c>
      <c r="DU22" s="293"/>
      <c r="DV22" s="293"/>
      <c r="DW22" s="293"/>
      <c r="DX22" s="293">
        <f t="shared" si="8"/>
        <v>0</v>
      </c>
      <c r="DY22" s="293"/>
      <c r="DZ22" s="293"/>
      <c r="EA22" s="293"/>
      <c r="EB22" s="293">
        <f t="shared" si="9"/>
        <v>0</v>
      </c>
      <c r="EC22" s="293"/>
      <c r="ED22" s="293"/>
      <c r="EE22" s="293"/>
      <c r="EF22" s="293">
        <f t="shared" si="10"/>
        <v>0</v>
      </c>
      <c r="EG22" s="293"/>
      <c r="EH22" s="293"/>
      <c r="EI22" s="293"/>
      <c r="EJ22" s="293">
        <f t="shared" si="11"/>
        <v>0</v>
      </c>
      <c r="EK22" s="293"/>
      <c r="EL22" s="293"/>
      <c r="EM22" s="293"/>
      <c r="EN22" s="293">
        <f t="shared" si="12"/>
        <v>0</v>
      </c>
      <c r="EO22" s="293"/>
      <c r="EP22" s="293"/>
      <c r="EQ22" s="293"/>
      <c r="ER22" s="293">
        <f t="shared" si="13"/>
        <v>0</v>
      </c>
      <c r="ES22" s="293"/>
      <c r="ET22" s="293"/>
      <c r="EU22" s="293"/>
      <c r="EV22" s="293">
        <f t="shared" si="14"/>
        <v>0</v>
      </c>
      <c r="EW22" s="293"/>
      <c r="EX22" s="293"/>
      <c r="EY22" s="293"/>
      <c r="EZ22" s="293">
        <f t="shared" si="15"/>
        <v>0</v>
      </c>
      <c r="FA22" s="293"/>
      <c r="FB22" s="293"/>
      <c r="FC22" s="293"/>
    </row>
    <row r="23" spans="2:159" ht="13.5" customHeight="1" thickBot="1">
      <c r="B23" s="18"/>
      <c r="C23" s="19" t="s">
        <v>394</v>
      </c>
      <c r="D23" s="19"/>
      <c r="E23" s="19"/>
      <c r="F23" s="19"/>
      <c r="G23" s="19"/>
      <c r="H23" s="19"/>
      <c r="I23" s="373" t="str">
        <f>IF(I22="","",VLOOKUP(I22,PowerEffectsChart,33,FALSE))</f>
        <v>1 per rank</v>
      </c>
      <c r="J23" s="272"/>
      <c r="K23" s="272"/>
      <c r="L23" s="374"/>
      <c r="M23" s="19"/>
      <c r="N23" s="19"/>
      <c r="O23" s="19"/>
      <c r="P23" s="19"/>
      <c r="Q23" s="19"/>
      <c r="R23" s="19"/>
      <c r="S23" s="19"/>
      <c r="T23" s="19"/>
      <c r="U23" s="19"/>
      <c r="V23" s="19"/>
      <c r="W23" s="19"/>
      <c r="X23" s="19"/>
      <c r="Y23" s="19"/>
      <c r="Z23" s="19" t="s">
        <v>391</v>
      </c>
      <c r="AA23" s="19"/>
      <c r="AB23" s="19"/>
      <c r="AC23" s="19"/>
      <c r="AD23" s="252" t="str">
        <f>IF(I22="","",VLOOKUP(I22,PowerEffectsChart,18,FALSE))</f>
        <v>Close</v>
      </c>
      <c r="AE23" s="253"/>
      <c r="AF23" s="253"/>
      <c r="AG23" s="253"/>
      <c r="AH23" s="254"/>
      <c r="AI23" s="19"/>
      <c r="AJ23" s="19" t="s">
        <v>405</v>
      </c>
      <c r="AK23" s="19"/>
      <c r="AL23" s="19"/>
      <c r="AM23" s="19"/>
      <c r="AN23" s="19"/>
      <c r="AO23" s="19"/>
      <c r="AP23" s="278">
        <v>1</v>
      </c>
      <c r="AQ23" s="279"/>
      <c r="AR23" s="279"/>
      <c r="AS23" s="280"/>
      <c r="AT23" s="20"/>
      <c r="BI23" s="149" t="s">
        <v>852</v>
      </c>
      <c r="BJ23" s="14"/>
      <c r="BK23" s="14"/>
      <c r="BL23" s="356">
        <f>IF(I21="","",IF(BL21&gt;0,BL21,IF(BL22="TRUE",BL21,VLOOKUP(BL21,$BP$28:$BT$36,3,FALSE))))</f>
        <v>3</v>
      </c>
      <c r="BM23" s="356"/>
      <c r="BN23" s="357"/>
      <c r="BP23" s="12">
        <v>20</v>
      </c>
      <c r="BR23" s="12" t="str">
        <f>IF($I344="","",$I344)</f>
        <v/>
      </c>
      <c r="BV23" s="370" t="str">
        <f>IF(AP347="","",AP347)</f>
        <v/>
      </c>
      <c r="BW23" s="370"/>
      <c r="BX23" s="370">
        <f>IF($AP350="","",$AP350)</f>
        <v>0</v>
      </c>
      <c r="BY23" s="370"/>
      <c r="BZ23" s="370" t="str">
        <f>IF($I345="","",$I345)</f>
        <v/>
      </c>
      <c r="CA23" s="370"/>
      <c r="CB23" s="370"/>
      <c r="CC23" s="370"/>
      <c r="CD23" s="370"/>
      <c r="CE23" s="370"/>
      <c r="CF23" s="371" t="str">
        <f>IF(BI352="","",LEFT(BI352,LEN(BI352)-2))</f>
        <v/>
      </c>
      <c r="CG23" s="371"/>
      <c r="CH23" s="371"/>
      <c r="CI23" s="371"/>
      <c r="CJ23" s="371"/>
      <c r="CK23" s="371"/>
      <c r="CR23" s="293">
        <f t="shared" si="0"/>
        <v>0</v>
      </c>
      <c r="CS23" s="293"/>
      <c r="CT23" s="293"/>
      <c r="CU23" s="293"/>
      <c r="CV23" s="293">
        <f t="shared" si="1"/>
        <v>0</v>
      </c>
      <c r="CW23" s="293"/>
      <c r="CX23" s="293"/>
      <c r="CY23" s="293"/>
      <c r="CZ23" s="293">
        <f t="shared" si="2"/>
        <v>0</v>
      </c>
      <c r="DA23" s="293"/>
      <c r="DB23" s="293"/>
      <c r="DC23" s="293"/>
      <c r="DD23" s="293">
        <f t="shared" si="3"/>
        <v>0</v>
      </c>
      <c r="DE23" s="293"/>
      <c r="DF23" s="293"/>
      <c r="DG23" s="293"/>
      <c r="DH23" s="293">
        <f t="shared" si="4"/>
        <v>0</v>
      </c>
      <c r="DI23" s="293"/>
      <c r="DJ23" s="293"/>
      <c r="DK23" s="293"/>
      <c r="DL23" s="293">
        <f t="shared" si="5"/>
        <v>0</v>
      </c>
      <c r="DM23" s="293"/>
      <c r="DN23" s="293"/>
      <c r="DO23" s="293"/>
      <c r="DP23" s="293">
        <f t="shared" si="6"/>
        <v>0</v>
      </c>
      <c r="DQ23" s="293"/>
      <c r="DR23" s="293"/>
      <c r="DS23" s="293"/>
      <c r="DT23" s="293">
        <f t="shared" si="7"/>
        <v>0</v>
      </c>
      <c r="DU23" s="293"/>
      <c r="DV23" s="293"/>
      <c r="DW23" s="293"/>
      <c r="DX23" s="293">
        <f t="shared" si="8"/>
        <v>0</v>
      </c>
      <c r="DY23" s="293"/>
      <c r="DZ23" s="293"/>
      <c r="EA23" s="293"/>
      <c r="EB23" s="293">
        <f t="shared" si="9"/>
        <v>0</v>
      </c>
      <c r="EC23" s="293"/>
      <c r="ED23" s="293"/>
      <c r="EE23" s="293"/>
      <c r="EF23" s="293">
        <f t="shared" si="10"/>
        <v>0</v>
      </c>
      <c r="EG23" s="293"/>
      <c r="EH23" s="293"/>
      <c r="EI23" s="293"/>
      <c r="EJ23" s="293">
        <f t="shared" si="11"/>
        <v>0</v>
      </c>
      <c r="EK23" s="293"/>
      <c r="EL23" s="293"/>
      <c r="EM23" s="293"/>
      <c r="EN23" s="293">
        <f t="shared" si="12"/>
        <v>0</v>
      </c>
      <c r="EO23" s="293"/>
      <c r="EP23" s="293"/>
      <c r="EQ23" s="293"/>
      <c r="ER23" s="293">
        <f t="shared" si="13"/>
        <v>0</v>
      </c>
      <c r="ES23" s="293"/>
      <c r="ET23" s="293"/>
      <c r="EU23" s="293"/>
      <c r="EV23" s="293">
        <f t="shared" si="14"/>
        <v>0</v>
      </c>
      <c r="EW23" s="293"/>
      <c r="EX23" s="293"/>
      <c r="EY23" s="293"/>
      <c r="EZ23" s="293">
        <f t="shared" si="15"/>
        <v>0</v>
      </c>
      <c r="FA23" s="293"/>
      <c r="FB23" s="293"/>
      <c r="FC23" s="293"/>
    </row>
    <row r="24" spans="2:159" ht="13.5" customHeight="1" thickBot="1">
      <c r="B24" s="18"/>
      <c r="C24" s="19" t="s">
        <v>395</v>
      </c>
      <c r="D24" s="19"/>
      <c r="E24" s="19"/>
      <c r="F24" s="19"/>
      <c r="G24" s="19"/>
      <c r="H24" s="19"/>
      <c r="I24" s="360" t="str">
        <f>IF(I22="","",VLOOKUP(I22,PowerEffectsChart,38,FALSE))</f>
        <v>Impose some debilitating condition(s) on a target.</v>
      </c>
      <c r="J24" s="361"/>
      <c r="K24" s="361"/>
      <c r="L24" s="361"/>
      <c r="M24" s="361"/>
      <c r="N24" s="361"/>
      <c r="O24" s="361"/>
      <c r="P24" s="361"/>
      <c r="Q24" s="361"/>
      <c r="R24" s="361"/>
      <c r="S24" s="361"/>
      <c r="T24" s="361"/>
      <c r="U24" s="361"/>
      <c r="V24" s="361"/>
      <c r="W24" s="361"/>
      <c r="X24" s="362"/>
      <c r="Y24" s="19"/>
      <c r="Z24" s="19" t="s">
        <v>392</v>
      </c>
      <c r="AA24" s="19"/>
      <c r="AB24" s="19"/>
      <c r="AC24" s="19"/>
      <c r="AD24" s="252" t="str">
        <f>IF(I22="","",VLOOKUP(I22,PowerEffectsChart,23,FALSE))</f>
        <v>Instant</v>
      </c>
      <c r="AE24" s="253"/>
      <c r="AF24" s="253"/>
      <c r="AG24" s="253"/>
      <c r="AH24" s="254"/>
      <c r="AI24" s="19"/>
      <c r="AJ24" s="19" t="s">
        <v>406</v>
      </c>
      <c r="AK24" s="19"/>
      <c r="AL24" s="19"/>
      <c r="AM24" s="19"/>
      <c r="AN24" s="19"/>
      <c r="AO24" s="19"/>
      <c r="AP24" s="263">
        <v>9</v>
      </c>
      <c r="AQ24" s="264"/>
      <c r="AR24" s="264"/>
      <c r="AS24" s="265"/>
      <c r="AT24" s="20"/>
      <c r="BI24" s="149" t="s">
        <v>853</v>
      </c>
      <c r="BJ24" s="14"/>
      <c r="BK24" s="14"/>
      <c r="BL24" s="356">
        <f>IF(I21="","",AP24*BL23)</f>
        <v>27</v>
      </c>
      <c r="BM24" s="356"/>
      <c r="BN24" s="357"/>
      <c r="CR24" s="293">
        <f>SUM(CR4:CU23)</f>
        <v>0</v>
      </c>
      <c r="CS24" s="293"/>
      <c r="CT24" s="293"/>
      <c r="CU24" s="293"/>
      <c r="CV24" s="293">
        <f>SUM(CV4:CY23)</f>
        <v>0</v>
      </c>
      <c r="CW24" s="293"/>
      <c r="CX24" s="293"/>
      <c r="CY24" s="293"/>
      <c r="CZ24" s="293">
        <f>SUM(CZ4:DC23)</f>
        <v>0</v>
      </c>
      <c r="DA24" s="293"/>
      <c r="DB24" s="293"/>
      <c r="DC24" s="293"/>
      <c r="DD24" s="293">
        <f>SUM(DD4:DG23)</f>
        <v>0</v>
      </c>
      <c r="DE24" s="293"/>
      <c r="DF24" s="293"/>
      <c r="DG24" s="293"/>
      <c r="DH24" s="293">
        <f>SUM(DH4:DK23)</f>
        <v>0</v>
      </c>
      <c r="DI24" s="293"/>
      <c r="DJ24" s="293"/>
      <c r="DK24" s="293"/>
      <c r="DL24" s="293">
        <f>SUM(DL4:DO23)</f>
        <v>0</v>
      </c>
      <c r="DM24" s="293"/>
      <c r="DN24" s="293"/>
      <c r="DO24" s="293"/>
      <c r="DP24" s="293">
        <f>SUM(DP4:DS23)</f>
        <v>0</v>
      </c>
      <c r="DQ24" s="293"/>
      <c r="DR24" s="293"/>
      <c r="DS24" s="293"/>
      <c r="DT24" s="293">
        <f>SUM(DT4:DW23)</f>
        <v>0</v>
      </c>
      <c r="DU24" s="293"/>
      <c r="DV24" s="293"/>
      <c r="DW24" s="293"/>
      <c r="DX24" s="293">
        <f>SUM(DX4:EA23)</f>
        <v>0</v>
      </c>
      <c r="DY24" s="293"/>
      <c r="DZ24" s="293"/>
      <c r="EA24" s="293"/>
      <c r="EB24" s="293">
        <f>SUM(EB4:EE23)</f>
        <v>0</v>
      </c>
      <c r="EC24" s="293"/>
      <c r="ED24" s="293"/>
      <c r="EE24" s="293"/>
      <c r="EF24" s="293">
        <f>SUM(EF4:EI23)</f>
        <v>0</v>
      </c>
      <c r="EG24" s="293"/>
      <c r="EH24" s="293"/>
      <c r="EI24" s="293"/>
      <c r="EJ24" s="293">
        <f>SUM(EJ4:EM23)</f>
        <v>0</v>
      </c>
      <c r="EK24" s="293"/>
      <c r="EL24" s="293"/>
      <c r="EM24" s="293"/>
      <c r="EN24" s="293">
        <f>SUM(EN4:EQ23)</f>
        <v>0</v>
      </c>
      <c r="EO24" s="293"/>
      <c r="EP24" s="293"/>
      <c r="EQ24" s="293"/>
      <c r="ER24" s="293">
        <f>SUM(ER4:EU23)</f>
        <v>0</v>
      </c>
      <c r="ES24" s="293"/>
      <c r="ET24" s="293"/>
      <c r="EU24" s="293"/>
      <c r="EV24" s="293">
        <f>SUM(EV4:EY23)</f>
        <v>0</v>
      </c>
      <c r="EW24" s="293"/>
      <c r="EX24" s="293"/>
      <c r="EY24" s="293"/>
      <c r="EZ24" s="293">
        <f>SUM(EZ4:FC23)</f>
        <v>0</v>
      </c>
      <c r="FA24" s="293"/>
      <c r="FB24" s="293"/>
      <c r="FC24" s="293"/>
    </row>
    <row r="25" spans="2:159" ht="13.5" customHeight="1" thickBot="1">
      <c r="B25" s="18"/>
      <c r="C25" s="19"/>
      <c r="D25" s="19"/>
      <c r="E25" s="19"/>
      <c r="F25" s="19"/>
      <c r="G25" s="19"/>
      <c r="H25" s="19"/>
      <c r="I25" s="363"/>
      <c r="J25" s="364"/>
      <c r="K25" s="364"/>
      <c r="L25" s="364"/>
      <c r="M25" s="364"/>
      <c r="N25" s="364"/>
      <c r="O25" s="364"/>
      <c r="P25" s="364"/>
      <c r="Q25" s="364"/>
      <c r="R25" s="364"/>
      <c r="S25" s="364"/>
      <c r="T25" s="364"/>
      <c r="U25" s="364"/>
      <c r="V25" s="364"/>
      <c r="W25" s="364"/>
      <c r="X25" s="365"/>
      <c r="Y25" s="19"/>
      <c r="Z25" s="19" t="s">
        <v>393</v>
      </c>
      <c r="AA25" s="19"/>
      <c r="AB25" s="19"/>
      <c r="AC25" s="19"/>
      <c r="AD25" s="252" t="str">
        <f>IF(I22="","",VLOOKUP(I22,PowerEffectsChart,28,FALSE))</f>
        <v>Fort or Will</v>
      </c>
      <c r="AE25" s="253"/>
      <c r="AF25" s="253"/>
      <c r="AG25" s="253"/>
      <c r="AH25" s="254"/>
      <c r="AI25" s="19"/>
      <c r="AJ25" s="19" t="s">
        <v>407</v>
      </c>
      <c r="AK25" s="19"/>
      <c r="AL25" s="19"/>
      <c r="AM25" s="19"/>
      <c r="AN25" s="19"/>
      <c r="AO25" s="19"/>
      <c r="AP25" s="278"/>
      <c r="AQ25" s="279"/>
      <c r="AR25" s="279"/>
      <c r="AS25" s="280"/>
      <c r="AT25" s="20"/>
      <c r="BI25" s="149" t="s">
        <v>423</v>
      </c>
      <c r="BJ25" s="14"/>
      <c r="BK25" s="14"/>
      <c r="BL25" s="356">
        <f>AP25</f>
        <v>0</v>
      </c>
      <c r="BM25" s="356"/>
      <c r="BN25" s="357"/>
    </row>
    <row r="26" spans="2:159" ht="13.5" customHeight="1" thickBot="1">
      <c r="B26" s="18"/>
      <c r="C26" s="19"/>
      <c r="D26" s="19"/>
      <c r="E26" s="19"/>
      <c r="F26" s="19"/>
      <c r="G26" s="19"/>
      <c r="H26" s="19"/>
      <c r="I26" s="363"/>
      <c r="J26" s="364"/>
      <c r="K26" s="364"/>
      <c r="L26" s="364"/>
      <c r="M26" s="364"/>
      <c r="N26" s="364"/>
      <c r="O26" s="364"/>
      <c r="P26" s="364"/>
      <c r="Q26" s="364"/>
      <c r="R26" s="364"/>
      <c r="S26" s="364"/>
      <c r="T26" s="364"/>
      <c r="U26" s="364"/>
      <c r="V26" s="364"/>
      <c r="W26" s="364"/>
      <c r="X26" s="365"/>
      <c r="Y26" s="19"/>
      <c r="Z26" s="19"/>
      <c r="AA26" s="19"/>
      <c r="AB26" s="19"/>
      <c r="AC26" s="19"/>
      <c r="AD26" s="19"/>
      <c r="AE26" s="19"/>
      <c r="AF26" s="19"/>
      <c r="AG26" s="19"/>
      <c r="AH26" s="19"/>
      <c r="AI26" s="19"/>
      <c r="AJ26" s="19"/>
      <c r="AK26" s="19"/>
      <c r="AL26" s="19"/>
      <c r="AM26" s="19"/>
      <c r="AN26" s="19"/>
      <c r="AO26" s="19"/>
      <c r="AP26" s="19"/>
      <c r="AQ26" s="19"/>
      <c r="AR26" s="19"/>
      <c r="AS26" s="19"/>
      <c r="AT26" s="20"/>
      <c r="BI26" s="149"/>
      <c r="BJ26" s="14"/>
      <c r="BK26" s="14"/>
      <c r="BL26" s="14"/>
      <c r="BM26" s="14"/>
      <c r="BN26" s="150"/>
    </row>
    <row r="27" spans="2:159" ht="13.5" customHeight="1" thickBot="1">
      <c r="B27" s="18"/>
      <c r="C27" s="19" t="s">
        <v>396</v>
      </c>
      <c r="D27" s="19"/>
      <c r="E27" s="19"/>
      <c r="F27" s="19"/>
      <c r="G27" s="19"/>
      <c r="H27" s="19"/>
      <c r="I27" s="339" t="str">
        <f>IF(I22="","",VLOOKUP(I22,PowerEffectsChart,58,FALSE))</f>
        <v>Alternate Resistance (+0), Concentration (+1), Cumulative (+1), Extra Condition (+1), Progressive (+2)</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BL27</f>
        <v>27</v>
      </c>
      <c r="AQ27" s="253"/>
      <c r="AR27" s="253"/>
      <c r="AS27" s="254"/>
      <c r="AT27" s="20"/>
      <c r="BI27" s="151" t="s">
        <v>37</v>
      </c>
      <c r="BJ27" s="152"/>
      <c r="BK27" s="152"/>
      <c r="BL27" s="358">
        <f>IF(I21="",0,ROUNDUP(BL24+BL25,0))</f>
        <v>27</v>
      </c>
      <c r="BM27" s="358"/>
      <c r="BN27" s="359"/>
      <c r="BP27" s="12" t="s">
        <v>840</v>
      </c>
    </row>
    <row r="28" spans="2:159" ht="13.5" customHeight="1" thickBot="1">
      <c r="B28" s="18"/>
      <c r="C28" s="19" t="s">
        <v>397</v>
      </c>
      <c r="D28" s="19"/>
      <c r="E28" s="19"/>
      <c r="F28" s="19"/>
      <c r="G28" s="19"/>
      <c r="H28" s="19"/>
      <c r="I28" s="339" t="str">
        <f>IF(I22="","",VLOOKUP(I22,PowerEffectsChart,78,FALSE))</f>
        <v>Instant Recovery (-1), Limited Degree (-1)</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BI28" s="12" t="s">
        <v>619</v>
      </c>
      <c r="BP28" s="12">
        <v>0</v>
      </c>
      <c r="BR28" s="293">
        <f>1/2</f>
        <v>0.5</v>
      </c>
      <c r="BS28" s="293"/>
      <c r="BT28" s="293"/>
    </row>
    <row r="29" spans="2:159" ht="13.5" customHeight="1" thickBot="1">
      <c r="B29" s="18"/>
      <c r="C29" s="19" t="s">
        <v>398</v>
      </c>
      <c r="D29" s="19"/>
      <c r="E29" s="19"/>
      <c r="F29" s="19"/>
      <c r="G29" s="19"/>
      <c r="H29" s="19"/>
      <c r="I29" s="339" t="str">
        <f>IF(I22="","",VLOOKUP(I22,PowerEffectsChart,98,FALSE))</f>
        <v>-</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BI29" s="346" t="str">
        <f>IF(Basics!$U$37="NO",IF(J31="","",J31&amp;"; "),IF(J31="","",J31&amp;"; ")&amp;IF(J32="","",J32&amp;"; ")&amp;IF(J33="","",J33&amp;"; ")&amp;IF(J34="","",J34&amp;"; "))</f>
        <v xml:space="preserve">Entranced-&gt;Compelled-&gt;Controlled; Area Cone, Cumulative, Concentration; Sense-Dependent; </v>
      </c>
      <c r="BJ29" s="347"/>
      <c r="BK29" s="347"/>
      <c r="BL29" s="347"/>
      <c r="BM29" s="347"/>
      <c r="BN29" s="348"/>
      <c r="BP29" s="12">
        <v>-1</v>
      </c>
      <c r="BR29" s="293">
        <f>1/3</f>
        <v>0.33333333333333331</v>
      </c>
      <c r="BS29" s="293"/>
      <c r="BT29" s="293"/>
    </row>
    <row r="30" spans="2:15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BI30" s="349"/>
      <c r="BJ30" s="334"/>
      <c r="BK30" s="334"/>
      <c r="BL30" s="334"/>
      <c r="BM30" s="334"/>
      <c r="BN30" s="350"/>
      <c r="BP30" s="12">
        <v>-2</v>
      </c>
      <c r="BR30" s="383">
        <f>1/4</f>
        <v>0.25</v>
      </c>
      <c r="BS30" s="383"/>
      <c r="BT30" s="383"/>
    </row>
    <row r="31" spans="2:159" ht="13.5" customHeight="1" thickBot="1">
      <c r="B31" s="18"/>
      <c r="C31" s="19" t="s">
        <v>399</v>
      </c>
      <c r="D31" s="19"/>
      <c r="E31" s="19"/>
      <c r="F31" s="19"/>
      <c r="G31" s="19"/>
      <c r="H31" s="19"/>
      <c r="I31" s="19"/>
      <c r="J31" s="294" t="s">
        <v>1306</v>
      </c>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BI31" s="349"/>
      <c r="BJ31" s="334"/>
      <c r="BK31" s="334"/>
      <c r="BL31" s="334"/>
      <c r="BM31" s="334"/>
      <c r="BN31" s="350"/>
      <c r="BP31" s="12">
        <v>-3</v>
      </c>
      <c r="BR31" s="293">
        <f t="shared" ref="BR31:BR36" si="16">1/5</f>
        <v>0.2</v>
      </c>
      <c r="BS31" s="293"/>
      <c r="BT31" s="293"/>
    </row>
    <row r="32" spans="2:159" ht="13.5" customHeight="1" thickBot="1">
      <c r="B32" s="18"/>
      <c r="C32" s="19" t="s">
        <v>400</v>
      </c>
      <c r="D32" s="19"/>
      <c r="E32" s="19"/>
      <c r="F32" s="19"/>
      <c r="G32" s="19"/>
      <c r="H32" s="19"/>
      <c r="I32" s="19"/>
      <c r="J32" s="305" t="s">
        <v>1304</v>
      </c>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BI32" s="349"/>
      <c r="BJ32" s="334"/>
      <c r="BK32" s="334"/>
      <c r="BL32" s="334"/>
      <c r="BM32" s="334"/>
      <c r="BN32" s="350"/>
      <c r="BP32" s="12">
        <v>-4</v>
      </c>
      <c r="BR32" s="293">
        <f t="shared" si="16"/>
        <v>0.2</v>
      </c>
      <c r="BS32" s="293"/>
      <c r="BT32" s="293"/>
    </row>
    <row r="33" spans="2:72" ht="13.5" customHeight="1" thickBot="1">
      <c r="B33" s="18"/>
      <c r="C33" s="19" t="s">
        <v>401</v>
      </c>
      <c r="D33" s="19"/>
      <c r="E33" s="19"/>
      <c r="F33" s="19"/>
      <c r="G33" s="19"/>
      <c r="H33" s="19"/>
      <c r="I33" s="19"/>
      <c r="J33" s="294" t="s">
        <v>1303</v>
      </c>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BI33" s="349"/>
      <c r="BJ33" s="334"/>
      <c r="BK33" s="334"/>
      <c r="BL33" s="334"/>
      <c r="BM33" s="334"/>
      <c r="BN33" s="350"/>
      <c r="BP33" s="12">
        <v>-5</v>
      </c>
      <c r="BR33" s="293">
        <f t="shared" si="16"/>
        <v>0.2</v>
      </c>
      <c r="BS33" s="293"/>
      <c r="BT33" s="293"/>
    </row>
    <row r="34" spans="2:72"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BI34" s="349"/>
      <c r="BJ34" s="334"/>
      <c r="BK34" s="334"/>
      <c r="BL34" s="334"/>
      <c r="BM34" s="334"/>
      <c r="BN34" s="350"/>
      <c r="BP34" s="12">
        <v>-6</v>
      </c>
      <c r="BR34" s="293">
        <f t="shared" si="16"/>
        <v>0.2</v>
      </c>
      <c r="BS34" s="293"/>
      <c r="BT34" s="293"/>
    </row>
    <row r="35" spans="2:72"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BI35" s="351"/>
      <c r="BJ35" s="352"/>
      <c r="BK35" s="352"/>
      <c r="BL35" s="352"/>
      <c r="BM35" s="352"/>
      <c r="BN35" s="353"/>
      <c r="BP35" s="12">
        <v>-7</v>
      </c>
      <c r="BR35" s="293">
        <f t="shared" si="16"/>
        <v>0.2</v>
      </c>
      <c r="BS35" s="293"/>
      <c r="BT35" s="293"/>
    </row>
    <row r="36" spans="2:72" ht="13.5" customHeight="1" thickBot="1">
      <c r="BP36" s="12">
        <v>-8</v>
      </c>
      <c r="BR36" s="293">
        <f t="shared" si="16"/>
        <v>0.2</v>
      </c>
      <c r="BS36" s="293"/>
      <c r="BT36" s="293"/>
    </row>
    <row r="37" spans="2:72"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2" ht="13.5" customHeight="1" thickBot="1">
      <c r="B38" s="18"/>
      <c r="C38" s="19" t="s">
        <v>387</v>
      </c>
      <c r="D38" s="19"/>
      <c r="E38" s="19"/>
      <c r="F38" s="19"/>
      <c r="G38" s="19"/>
      <c r="H38" s="19"/>
      <c r="I38" s="294"/>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
      </c>
      <c r="AE38" s="253"/>
      <c r="AF38" s="253"/>
      <c r="AG38" s="253"/>
      <c r="AH38" s="254"/>
      <c r="AI38" s="19"/>
      <c r="AJ38" s="19" t="s">
        <v>403</v>
      </c>
      <c r="AK38" s="19"/>
      <c r="AL38" s="19"/>
      <c r="AM38" s="19"/>
      <c r="AN38" s="19"/>
      <c r="AO38" s="19"/>
      <c r="AP38" s="278"/>
      <c r="AQ38" s="279"/>
      <c r="AR38" s="279"/>
      <c r="AS38" s="280"/>
      <c r="AT38" s="20"/>
      <c r="BI38" s="147" t="s">
        <v>850</v>
      </c>
      <c r="BJ38" s="148"/>
      <c r="BK38" s="148"/>
      <c r="BL38" s="354">
        <f>AP38+AP39-ABS(AP40)</f>
        <v>0</v>
      </c>
      <c r="BM38" s="354"/>
      <c r="BN38" s="355"/>
    </row>
    <row r="39" spans="2:72" ht="13.5" customHeight="1" thickBot="1">
      <c r="B39" s="18"/>
      <c r="C39" s="19" t="s">
        <v>388</v>
      </c>
      <c r="D39" s="19"/>
      <c r="E39" s="19"/>
      <c r="F39" s="19"/>
      <c r="G39" s="19"/>
      <c r="H39" s="19"/>
      <c r="I39" s="305"/>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
      </c>
      <c r="AE39" s="253"/>
      <c r="AF39" s="253"/>
      <c r="AG39" s="253"/>
      <c r="AH39" s="254"/>
      <c r="AI39" s="19"/>
      <c r="AJ39" s="19" t="s">
        <v>404</v>
      </c>
      <c r="AK39" s="19"/>
      <c r="AL39" s="19"/>
      <c r="AM39" s="19"/>
      <c r="AN39" s="19"/>
      <c r="AO39" s="19"/>
      <c r="AP39" s="263"/>
      <c r="AQ39" s="264"/>
      <c r="AR39" s="264"/>
      <c r="AS39" s="265"/>
      <c r="AT39" s="20"/>
      <c r="BI39" s="149" t="s">
        <v>851</v>
      </c>
      <c r="BJ39" s="14"/>
      <c r="BK39" s="14"/>
      <c r="BL39" s="356" t="str">
        <f>IF(I39="Custom","TRUE","FALSE")</f>
        <v>FALSE</v>
      </c>
      <c r="BM39" s="356"/>
      <c r="BN39" s="357"/>
    </row>
    <row r="40" spans="2:72" ht="13.5" customHeight="1" thickBot="1">
      <c r="B40" s="18"/>
      <c r="C40" s="19" t="s">
        <v>394</v>
      </c>
      <c r="D40" s="19"/>
      <c r="E40" s="19"/>
      <c r="F40" s="19"/>
      <c r="G40" s="19"/>
      <c r="H40" s="19"/>
      <c r="I40" s="373" t="str">
        <f>IF(I39="","",VLOOKUP(I39,PowerEffectsChart,33,FALSE))</f>
        <v/>
      </c>
      <c r="J40" s="272"/>
      <c r="K40" s="272"/>
      <c r="L40" s="374"/>
      <c r="M40" s="19"/>
      <c r="N40" s="19"/>
      <c r="O40" s="19"/>
      <c r="P40" s="19"/>
      <c r="Q40" s="19"/>
      <c r="R40" s="19"/>
      <c r="S40" s="19"/>
      <c r="T40" s="19"/>
      <c r="U40" s="19"/>
      <c r="V40" s="19"/>
      <c r="W40" s="19"/>
      <c r="X40" s="19"/>
      <c r="Y40" s="19"/>
      <c r="Z40" s="19" t="s">
        <v>391</v>
      </c>
      <c r="AA40" s="19"/>
      <c r="AB40" s="19"/>
      <c r="AC40" s="19"/>
      <c r="AD40" s="252" t="str">
        <f>IF(I39="","",VLOOKUP(I39,PowerEffectsChart,18,FALSE))</f>
        <v/>
      </c>
      <c r="AE40" s="253"/>
      <c r="AF40" s="253"/>
      <c r="AG40" s="253"/>
      <c r="AH40" s="254"/>
      <c r="AI40" s="19"/>
      <c r="AJ40" s="19" t="s">
        <v>405</v>
      </c>
      <c r="AK40" s="19"/>
      <c r="AL40" s="19"/>
      <c r="AM40" s="19"/>
      <c r="AN40" s="19"/>
      <c r="AO40" s="19"/>
      <c r="AP40" s="278"/>
      <c r="AQ40" s="279"/>
      <c r="AR40" s="279"/>
      <c r="AS40" s="280"/>
      <c r="AT40" s="20"/>
      <c r="BI40" s="149" t="s">
        <v>852</v>
      </c>
      <c r="BJ40" s="14"/>
      <c r="BK40" s="14"/>
      <c r="BL40" s="356" t="str">
        <f>IF(I38="","",IF(BL38&gt;0,BL38,IF(BL39="TRUE",BL38,VLOOKUP(BL38,$BP$28:$BT$36,3,FALSE))))</f>
        <v/>
      </c>
      <c r="BM40" s="356"/>
      <c r="BN40" s="357"/>
    </row>
    <row r="41" spans="2:72" ht="13.5" customHeight="1" thickBot="1">
      <c r="B41" s="18"/>
      <c r="C41" s="19" t="s">
        <v>395</v>
      </c>
      <c r="D41" s="19"/>
      <c r="E41" s="19"/>
      <c r="F41" s="19"/>
      <c r="G41" s="19"/>
      <c r="H41" s="19"/>
      <c r="I41" s="360" t="str">
        <f>IF(I39="","",VLOOKUP(I39,PowerEffectsChart,38,FALSE))</f>
        <v/>
      </c>
      <c r="J41" s="361"/>
      <c r="K41" s="361"/>
      <c r="L41" s="361"/>
      <c r="M41" s="361"/>
      <c r="N41" s="361"/>
      <c r="O41" s="361"/>
      <c r="P41" s="361"/>
      <c r="Q41" s="361"/>
      <c r="R41" s="361"/>
      <c r="S41" s="361"/>
      <c r="T41" s="361"/>
      <c r="U41" s="361"/>
      <c r="V41" s="361"/>
      <c r="W41" s="361"/>
      <c r="X41" s="362"/>
      <c r="Y41" s="19"/>
      <c r="Z41" s="19" t="s">
        <v>392</v>
      </c>
      <c r="AA41" s="19"/>
      <c r="AB41" s="19"/>
      <c r="AC41" s="19"/>
      <c r="AD41" s="252" t="str">
        <f>IF(I39="","",VLOOKUP(I39,PowerEffectsChart,23,FALSE))</f>
        <v/>
      </c>
      <c r="AE41" s="253"/>
      <c r="AF41" s="253"/>
      <c r="AG41" s="253"/>
      <c r="AH41" s="254"/>
      <c r="AI41" s="19"/>
      <c r="AJ41" s="19" t="s">
        <v>406</v>
      </c>
      <c r="AK41" s="19"/>
      <c r="AL41" s="19"/>
      <c r="AM41" s="19"/>
      <c r="AN41" s="19"/>
      <c r="AO41" s="19"/>
      <c r="AP41" s="263"/>
      <c r="AQ41" s="264"/>
      <c r="AR41" s="264"/>
      <c r="AS41" s="265"/>
      <c r="AT41" s="20"/>
      <c r="BI41" s="149" t="s">
        <v>853</v>
      </c>
      <c r="BJ41" s="14"/>
      <c r="BK41" s="14"/>
      <c r="BL41" s="356" t="str">
        <f>IF(I38="","",AP41*BL40)</f>
        <v/>
      </c>
      <c r="BM41" s="356"/>
      <c r="BN41" s="357"/>
    </row>
    <row r="42" spans="2:72" ht="13.5" customHeight="1" thickBot="1">
      <c r="B42" s="18"/>
      <c r="C42" s="19"/>
      <c r="D42" s="19"/>
      <c r="E42" s="19"/>
      <c r="F42" s="19"/>
      <c r="G42" s="19"/>
      <c r="H42" s="19"/>
      <c r="I42" s="363"/>
      <c r="J42" s="364"/>
      <c r="K42" s="364"/>
      <c r="L42" s="364"/>
      <c r="M42" s="364"/>
      <c r="N42" s="364"/>
      <c r="O42" s="364"/>
      <c r="P42" s="364"/>
      <c r="Q42" s="364"/>
      <c r="R42" s="364"/>
      <c r="S42" s="364"/>
      <c r="T42" s="364"/>
      <c r="U42" s="364"/>
      <c r="V42" s="364"/>
      <c r="W42" s="364"/>
      <c r="X42" s="365"/>
      <c r="Y42" s="19"/>
      <c r="Z42" s="19" t="s">
        <v>393</v>
      </c>
      <c r="AA42" s="19"/>
      <c r="AB42" s="19"/>
      <c r="AC42" s="19"/>
      <c r="AD42" s="252" t="str">
        <f>IF(I39="","",VLOOKUP(I39,PowerEffectsChart,28,FALSE))</f>
        <v/>
      </c>
      <c r="AE42" s="253"/>
      <c r="AF42" s="253"/>
      <c r="AG42" s="253"/>
      <c r="AH42" s="254"/>
      <c r="AI42" s="19"/>
      <c r="AJ42" s="19" t="s">
        <v>407</v>
      </c>
      <c r="AK42" s="19"/>
      <c r="AL42" s="19"/>
      <c r="AM42" s="19"/>
      <c r="AN42" s="19"/>
      <c r="AO42" s="19"/>
      <c r="AP42" s="278"/>
      <c r="AQ42" s="279"/>
      <c r="AR42" s="279"/>
      <c r="AS42" s="280"/>
      <c r="AT42" s="20"/>
      <c r="BI42" s="149" t="s">
        <v>423</v>
      </c>
      <c r="BJ42" s="14"/>
      <c r="BK42" s="14"/>
      <c r="BL42" s="356">
        <f>AP42</f>
        <v>0</v>
      </c>
      <c r="BM42" s="356"/>
      <c r="BN42" s="357"/>
    </row>
    <row r="43" spans="2:72" ht="13.5" customHeight="1" thickBot="1">
      <c r="B43" s="18"/>
      <c r="C43" s="19"/>
      <c r="D43" s="19"/>
      <c r="E43" s="19"/>
      <c r="F43" s="19"/>
      <c r="G43" s="19"/>
      <c r="H43" s="19"/>
      <c r="I43" s="363"/>
      <c r="J43" s="364"/>
      <c r="K43" s="364"/>
      <c r="L43" s="364"/>
      <c r="M43" s="364"/>
      <c r="N43" s="364"/>
      <c r="O43" s="364"/>
      <c r="P43" s="364"/>
      <c r="Q43" s="364"/>
      <c r="R43" s="364"/>
      <c r="S43" s="364"/>
      <c r="T43" s="364"/>
      <c r="U43" s="364"/>
      <c r="V43" s="364"/>
      <c r="W43" s="364"/>
      <c r="X43" s="365"/>
      <c r="Y43" s="19"/>
      <c r="Z43" s="19"/>
      <c r="AA43" s="19"/>
      <c r="AB43" s="19"/>
      <c r="AC43" s="19"/>
      <c r="AD43" s="19"/>
      <c r="AE43" s="19"/>
      <c r="AF43" s="19"/>
      <c r="AG43" s="19"/>
      <c r="AH43" s="19"/>
      <c r="AI43" s="19"/>
      <c r="AJ43" s="19"/>
      <c r="AK43" s="19"/>
      <c r="AL43" s="19"/>
      <c r="AM43" s="19"/>
      <c r="AN43" s="19"/>
      <c r="AO43" s="19"/>
      <c r="AP43" s="19"/>
      <c r="AQ43" s="19"/>
      <c r="AR43" s="19"/>
      <c r="AS43" s="19"/>
      <c r="AT43" s="20"/>
      <c r="BI43" s="149"/>
      <c r="BJ43" s="14"/>
      <c r="BK43" s="14"/>
      <c r="BL43" s="14"/>
      <c r="BM43" s="14"/>
      <c r="BN43" s="150"/>
    </row>
    <row r="44" spans="2:72" ht="13.5" customHeight="1" thickBot="1">
      <c r="B44" s="18"/>
      <c r="C44" s="19" t="s">
        <v>396</v>
      </c>
      <c r="D44" s="19"/>
      <c r="E44" s="19"/>
      <c r="F44" s="19"/>
      <c r="G44" s="19"/>
      <c r="H44" s="19"/>
      <c r="I44" s="339" t="str">
        <f>IF(I39="","",VLOOKUP(I39,PowerEffectsChart,58,FALSE))</f>
        <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BL44</f>
        <v>0</v>
      </c>
      <c r="AQ44" s="253"/>
      <c r="AR44" s="253"/>
      <c r="AS44" s="254"/>
      <c r="AT44" s="20"/>
      <c r="BI44" s="151" t="s">
        <v>37</v>
      </c>
      <c r="BJ44" s="152"/>
      <c r="BK44" s="152"/>
      <c r="BL44" s="358">
        <f>IF(I38="",0,ROUNDUP(BL41+BL42,0))</f>
        <v>0</v>
      </c>
      <c r="BM44" s="358"/>
      <c r="BN44" s="359"/>
    </row>
    <row r="45" spans="2:72" ht="13.5" customHeight="1" thickBot="1">
      <c r="B45" s="18"/>
      <c r="C45" s="19" t="s">
        <v>397</v>
      </c>
      <c r="D45" s="19"/>
      <c r="E45" s="19"/>
      <c r="F45" s="19"/>
      <c r="G45" s="19"/>
      <c r="H45" s="19"/>
      <c r="I45" s="339" t="str">
        <f>IF(I39="","",VLOOKUP(I39,PowerEffectsChart,78,FALSE))</f>
        <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BI45" s="12" t="s">
        <v>619</v>
      </c>
    </row>
    <row r="46" spans="2:72" ht="13.5" customHeight="1" thickBot="1">
      <c r="B46" s="18"/>
      <c r="C46" s="19" t="s">
        <v>398</v>
      </c>
      <c r="D46" s="19"/>
      <c r="E46" s="19"/>
      <c r="F46" s="19"/>
      <c r="G46" s="19"/>
      <c r="H46" s="19"/>
      <c r="I46" s="339" t="str">
        <f>IF(I39="","",VLOOKUP(I39,PowerEffectsChart,98,FALSE))</f>
        <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BI46" s="346" t="str">
        <f>IF(Basics!$U$37="NO",IF(J48="","",J48&amp;"; "),IF(J48="","",J48&amp;"; ")&amp;IF(J49="","",J49&amp;"; ")&amp;IF(J50="","",J50&amp;"; ")&amp;IF(J51="","",J51&amp;"; "))</f>
        <v/>
      </c>
      <c r="BJ46" s="347"/>
      <c r="BK46" s="347"/>
      <c r="BL46" s="347"/>
      <c r="BM46" s="347"/>
      <c r="BN46" s="348"/>
    </row>
    <row r="47" spans="2:72"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BI47" s="349"/>
      <c r="BJ47" s="334"/>
      <c r="BK47" s="334"/>
      <c r="BL47" s="334"/>
      <c r="BM47" s="334"/>
      <c r="BN47" s="350"/>
    </row>
    <row r="48" spans="2:72"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BI48" s="349"/>
      <c r="BJ48" s="334"/>
      <c r="BK48" s="334"/>
      <c r="BL48" s="334"/>
      <c r="BM48" s="334"/>
      <c r="BN48" s="350"/>
    </row>
    <row r="49" spans="2:66"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BI49" s="349"/>
      <c r="BJ49" s="334"/>
      <c r="BK49" s="334"/>
      <c r="BL49" s="334"/>
      <c r="BM49" s="334"/>
      <c r="BN49" s="350"/>
    </row>
    <row r="50" spans="2:66"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BI50" s="349"/>
      <c r="BJ50" s="334"/>
      <c r="BK50" s="334"/>
      <c r="BL50" s="334"/>
      <c r="BM50" s="334"/>
      <c r="BN50" s="350"/>
    </row>
    <row r="51" spans="2:66"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BI51" s="349"/>
      <c r="BJ51" s="334"/>
      <c r="BK51" s="334"/>
      <c r="BL51" s="334"/>
      <c r="BM51" s="334"/>
      <c r="BN51" s="350"/>
    </row>
    <row r="52" spans="2:66"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BI52" s="351"/>
      <c r="BJ52" s="352"/>
      <c r="BK52" s="352"/>
      <c r="BL52" s="352"/>
      <c r="BM52" s="352"/>
      <c r="BN52" s="353"/>
    </row>
    <row r="53" spans="2:66" ht="13.5" customHeight="1" thickBot="1"/>
    <row r="54" spans="2:66"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66" ht="13.5" customHeight="1" thickBot="1">
      <c r="B55" s="18"/>
      <c r="C55" s="19" t="s">
        <v>387</v>
      </c>
      <c r="D55" s="19"/>
      <c r="E55" s="19"/>
      <c r="F55" s="19"/>
      <c r="G55" s="19"/>
      <c r="H55" s="19"/>
      <c r="I55" s="294"/>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
      </c>
      <c r="AE55" s="253"/>
      <c r="AF55" s="253"/>
      <c r="AG55" s="253"/>
      <c r="AH55" s="254"/>
      <c r="AI55" s="19"/>
      <c r="AJ55" s="19" t="s">
        <v>403</v>
      </c>
      <c r="AK55" s="19"/>
      <c r="AL55" s="19"/>
      <c r="AM55" s="19"/>
      <c r="AN55" s="19"/>
      <c r="AO55" s="19"/>
      <c r="AP55" s="278"/>
      <c r="AQ55" s="279"/>
      <c r="AR55" s="279"/>
      <c r="AS55" s="280"/>
      <c r="AT55" s="20"/>
      <c r="BI55" s="147" t="s">
        <v>850</v>
      </c>
      <c r="BJ55" s="148"/>
      <c r="BK55" s="148"/>
      <c r="BL55" s="354">
        <f>AP55+AP56-ABS(AP57)</f>
        <v>0</v>
      </c>
      <c r="BM55" s="354"/>
      <c r="BN55" s="355"/>
    </row>
    <row r="56" spans="2:66" ht="13.5" customHeight="1" thickBot="1">
      <c r="B56" s="18"/>
      <c r="C56" s="19" t="s">
        <v>388</v>
      </c>
      <c r="D56" s="19"/>
      <c r="E56" s="19"/>
      <c r="F56" s="19"/>
      <c r="G56" s="19"/>
      <c r="H56" s="19"/>
      <c r="I56" s="305"/>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
      </c>
      <c r="AE56" s="253"/>
      <c r="AF56" s="253"/>
      <c r="AG56" s="253"/>
      <c r="AH56" s="254"/>
      <c r="AI56" s="19"/>
      <c r="AJ56" s="19" t="s">
        <v>404</v>
      </c>
      <c r="AK56" s="19"/>
      <c r="AL56" s="19"/>
      <c r="AM56" s="19"/>
      <c r="AN56" s="19"/>
      <c r="AO56" s="19"/>
      <c r="AP56" s="263"/>
      <c r="AQ56" s="264"/>
      <c r="AR56" s="264"/>
      <c r="AS56" s="265"/>
      <c r="AT56" s="20"/>
      <c r="BI56" s="149" t="s">
        <v>851</v>
      </c>
      <c r="BJ56" s="14"/>
      <c r="BK56" s="14"/>
      <c r="BL56" s="356" t="str">
        <f>IF(I56="Custom","TRUE","FALSE")</f>
        <v>FALSE</v>
      </c>
      <c r="BM56" s="356"/>
      <c r="BN56" s="357"/>
    </row>
    <row r="57" spans="2:66" ht="13.5" customHeight="1" thickBot="1">
      <c r="B57" s="18"/>
      <c r="C57" s="19" t="s">
        <v>394</v>
      </c>
      <c r="D57" s="19"/>
      <c r="E57" s="19"/>
      <c r="F57" s="19"/>
      <c r="G57" s="19"/>
      <c r="H57" s="19"/>
      <c r="I57" s="373" t="str">
        <f>IF(I56="","",VLOOKUP(I56,PowerEffectsChart,33,FALSE))</f>
        <v/>
      </c>
      <c r="J57" s="272"/>
      <c r="K57" s="272"/>
      <c r="L57" s="374"/>
      <c r="M57" s="19"/>
      <c r="N57" s="19"/>
      <c r="O57" s="19"/>
      <c r="P57" s="19"/>
      <c r="Q57" s="19"/>
      <c r="R57" s="19"/>
      <c r="S57" s="19"/>
      <c r="T57" s="19"/>
      <c r="U57" s="19"/>
      <c r="V57" s="19"/>
      <c r="W57" s="19"/>
      <c r="X57" s="19"/>
      <c r="Y57" s="19"/>
      <c r="Z57" s="19" t="s">
        <v>391</v>
      </c>
      <c r="AA57" s="19"/>
      <c r="AB57" s="19"/>
      <c r="AC57" s="19"/>
      <c r="AD57" s="252" t="str">
        <f>IF(I56="","",VLOOKUP(I56,PowerEffectsChart,18,FALSE))</f>
        <v/>
      </c>
      <c r="AE57" s="253"/>
      <c r="AF57" s="253"/>
      <c r="AG57" s="253"/>
      <c r="AH57" s="254"/>
      <c r="AI57" s="19"/>
      <c r="AJ57" s="19" t="s">
        <v>405</v>
      </c>
      <c r="AK57" s="19"/>
      <c r="AL57" s="19"/>
      <c r="AM57" s="19"/>
      <c r="AN57" s="19"/>
      <c r="AO57" s="19"/>
      <c r="AP57" s="278"/>
      <c r="AQ57" s="279"/>
      <c r="AR57" s="279"/>
      <c r="AS57" s="280"/>
      <c r="AT57" s="20"/>
      <c r="BI57" s="149" t="s">
        <v>852</v>
      </c>
      <c r="BJ57" s="14"/>
      <c r="BK57" s="14"/>
      <c r="BL57" s="356" t="str">
        <f>IF(I55="","",IF(BL55&gt;0,BL55,IF(BL56="TRUE",BL55,VLOOKUP(BL55,$BP$28:$BT$36,3,FALSE))))</f>
        <v/>
      </c>
      <c r="BM57" s="356"/>
      <c r="BN57" s="357"/>
    </row>
    <row r="58" spans="2:66" ht="13.5" customHeight="1" thickBot="1">
      <c r="B58" s="18"/>
      <c r="C58" s="19" t="s">
        <v>395</v>
      </c>
      <c r="D58" s="19"/>
      <c r="E58" s="19"/>
      <c r="F58" s="19"/>
      <c r="G58" s="19"/>
      <c r="H58" s="19"/>
      <c r="I58" s="360" t="str">
        <f>IF(I56="","",VLOOKUP(I56,PowerEffectsChart,38,FALSE))</f>
        <v/>
      </c>
      <c r="J58" s="361"/>
      <c r="K58" s="361"/>
      <c r="L58" s="361"/>
      <c r="M58" s="361"/>
      <c r="N58" s="361"/>
      <c r="O58" s="361"/>
      <c r="P58" s="361"/>
      <c r="Q58" s="361"/>
      <c r="R58" s="361"/>
      <c r="S58" s="361"/>
      <c r="T58" s="361"/>
      <c r="U58" s="361"/>
      <c r="V58" s="361"/>
      <c r="W58" s="361"/>
      <c r="X58" s="362"/>
      <c r="Y58" s="19"/>
      <c r="Z58" s="19" t="s">
        <v>392</v>
      </c>
      <c r="AA58" s="19"/>
      <c r="AB58" s="19"/>
      <c r="AC58" s="19"/>
      <c r="AD58" s="252" t="str">
        <f>IF(I56="","",VLOOKUP(I56,PowerEffectsChart,23,FALSE))</f>
        <v/>
      </c>
      <c r="AE58" s="253"/>
      <c r="AF58" s="253"/>
      <c r="AG58" s="253"/>
      <c r="AH58" s="254"/>
      <c r="AI58" s="19"/>
      <c r="AJ58" s="19" t="s">
        <v>406</v>
      </c>
      <c r="AK58" s="19"/>
      <c r="AL58" s="19"/>
      <c r="AM58" s="19"/>
      <c r="AN58" s="19"/>
      <c r="AO58" s="19"/>
      <c r="AP58" s="263"/>
      <c r="AQ58" s="264"/>
      <c r="AR58" s="264"/>
      <c r="AS58" s="265"/>
      <c r="AT58" s="20"/>
      <c r="BI58" s="149" t="s">
        <v>853</v>
      </c>
      <c r="BJ58" s="14"/>
      <c r="BK58" s="14"/>
      <c r="BL58" s="356" t="str">
        <f>IF(I55="","",AP58*BL57)</f>
        <v/>
      </c>
      <c r="BM58" s="356"/>
      <c r="BN58" s="357"/>
    </row>
    <row r="59" spans="2:66" ht="13.5" customHeight="1" thickBot="1">
      <c r="B59" s="18"/>
      <c r="C59" s="19"/>
      <c r="D59" s="19"/>
      <c r="E59" s="19"/>
      <c r="F59" s="19"/>
      <c r="G59" s="19"/>
      <c r="H59" s="19"/>
      <c r="I59" s="363"/>
      <c r="J59" s="364"/>
      <c r="K59" s="364"/>
      <c r="L59" s="364"/>
      <c r="M59" s="364"/>
      <c r="N59" s="364"/>
      <c r="O59" s="364"/>
      <c r="P59" s="364"/>
      <c r="Q59" s="364"/>
      <c r="R59" s="364"/>
      <c r="S59" s="364"/>
      <c r="T59" s="364"/>
      <c r="U59" s="364"/>
      <c r="V59" s="364"/>
      <c r="W59" s="364"/>
      <c r="X59" s="365"/>
      <c r="Y59" s="19"/>
      <c r="Z59" s="19" t="s">
        <v>393</v>
      </c>
      <c r="AA59" s="19"/>
      <c r="AB59" s="19"/>
      <c r="AC59" s="19"/>
      <c r="AD59" s="252" t="str">
        <f>IF(I56="","",VLOOKUP(I56,PowerEffectsChart,28,FALSE))</f>
        <v/>
      </c>
      <c r="AE59" s="253"/>
      <c r="AF59" s="253"/>
      <c r="AG59" s="253"/>
      <c r="AH59" s="254"/>
      <c r="AI59" s="19"/>
      <c r="AJ59" s="19" t="s">
        <v>407</v>
      </c>
      <c r="AK59" s="19"/>
      <c r="AL59" s="19"/>
      <c r="AM59" s="19"/>
      <c r="AN59" s="19"/>
      <c r="AO59" s="19"/>
      <c r="AP59" s="278"/>
      <c r="AQ59" s="279"/>
      <c r="AR59" s="279"/>
      <c r="AS59" s="280"/>
      <c r="AT59" s="20"/>
      <c r="BI59" s="149" t="s">
        <v>423</v>
      </c>
      <c r="BJ59" s="14"/>
      <c r="BK59" s="14"/>
      <c r="BL59" s="356">
        <f>AP59</f>
        <v>0</v>
      </c>
      <c r="BM59" s="356"/>
      <c r="BN59" s="357"/>
    </row>
    <row r="60" spans="2:66" ht="13.5" customHeight="1" thickBot="1">
      <c r="B60" s="18"/>
      <c r="C60" s="19"/>
      <c r="D60" s="19"/>
      <c r="E60" s="19"/>
      <c r="F60" s="19"/>
      <c r="G60" s="19"/>
      <c r="H60" s="19"/>
      <c r="I60" s="363"/>
      <c r="J60" s="364"/>
      <c r="K60" s="364"/>
      <c r="L60" s="364"/>
      <c r="M60" s="364"/>
      <c r="N60" s="364"/>
      <c r="O60" s="364"/>
      <c r="P60" s="364"/>
      <c r="Q60" s="364"/>
      <c r="R60" s="364"/>
      <c r="S60" s="364"/>
      <c r="T60" s="364"/>
      <c r="U60" s="364"/>
      <c r="V60" s="364"/>
      <c r="W60" s="364"/>
      <c r="X60" s="365"/>
      <c r="Y60" s="19"/>
      <c r="Z60" s="19"/>
      <c r="AA60" s="19"/>
      <c r="AB60" s="19"/>
      <c r="AC60" s="19"/>
      <c r="AD60" s="19"/>
      <c r="AE60" s="19"/>
      <c r="AF60" s="19"/>
      <c r="AG60" s="19"/>
      <c r="AH60" s="19"/>
      <c r="AI60" s="19"/>
      <c r="AJ60" s="19"/>
      <c r="AK60" s="19"/>
      <c r="AL60" s="19"/>
      <c r="AM60" s="19"/>
      <c r="AN60" s="19"/>
      <c r="AO60" s="19"/>
      <c r="AP60" s="19"/>
      <c r="AQ60" s="19"/>
      <c r="AR60" s="19"/>
      <c r="AS60" s="19"/>
      <c r="AT60" s="20"/>
      <c r="BI60" s="149"/>
      <c r="BJ60" s="14"/>
      <c r="BK60" s="14"/>
      <c r="BL60" s="14"/>
      <c r="BM60" s="14"/>
      <c r="BN60" s="150"/>
    </row>
    <row r="61" spans="2:66" ht="13.5" customHeight="1" thickBot="1">
      <c r="B61" s="18"/>
      <c r="C61" s="19" t="s">
        <v>396</v>
      </c>
      <c r="D61" s="19"/>
      <c r="E61" s="19"/>
      <c r="F61" s="19"/>
      <c r="G61" s="19"/>
      <c r="H61" s="19"/>
      <c r="I61" s="339" t="str">
        <f>IF(I56="","",VLOOKUP(I56,PowerEffectsChart,58,FALSE))</f>
        <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BL61</f>
        <v>0</v>
      </c>
      <c r="AQ61" s="253"/>
      <c r="AR61" s="253"/>
      <c r="AS61" s="254"/>
      <c r="AT61" s="20"/>
      <c r="BI61" s="151" t="s">
        <v>37</v>
      </c>
      <c r="BJ61" s="152"/>
      <c r="BK61" s="152"/>
      <c r="BL61" s="358">
        <f>IF(I55="",0,ROUNDUP(BL58+BL59,0))</f>
        <v>0</v>
      </c>
      <c r="BM61" s="358"/>
      <c r="BN61" s="359"/>
    </row>
    <row r="62" spans="2:66" ht="13.5" customHeight="1" thickBot="1">
      <c r="B62" s="18"/>
      <c r="C62" s="19" t="s">
        <v>397</v>
      </c>
      <c r="D62" s="19"/>
      <c r="E62" s="19"/>
      <c r="F62" s="19"/>
      <c r="G62" s="19"/>
      <c r="H62" s="19"/>
      <c r="I62" s="339" t="str">
        <f>IF(I56="","",VLOOKUP(I56,PowerEffectsChart,78,FALSE))</f>
        <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BI62" s="12" t="s">
        <v>619</v>
      </c>
    </row>
    <row r="63" spans="2:66" ht="13.5" customHeight="1" thickBot="1">
      <c r="B63" s="18"/>
      <c r="C63" s="19" t="s">
        <v>398</v>
      </c>
      <c r="D63" s="19"/>
      <c r="E63" s="19"/>
      <c r="F63" s="19"/>
      <c r="G63" s="19"/>
      <c r="H63" s="19"/>
      <c r="I63" s="339" t="str">
        <f>IF(I56="","",VLOOKUP(I56,PowerEffectsChart,98,FALSE))</f>
        <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BI63" s="346" t="str">
        <f>IF(Basics!$U$37="NO",IF(J65="","",J65&amp;"; "),IF(J65="","",J65&amp;"; ")&amp;IF(J66="","",J66&amp;"; ")&amp;IF(J67="","",J67&amp;"; ")&amp;IF(J68="","",J68&amp;"; "))</f>
        <v/>
      </c>
      <c r="BJ63" s="347"/>
      <c r="BK63" s="347"/>
      <c r="BL63" s="347"/>
      <c r="BM63" s="347"/>
      <c r="BN63" s="348"/>
    </row>
    <row r="64" spans="2:66"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BI64" s="349"/>
      <c r="BJ64" s="334"/>
      <c r="BK64" s="334"/>
      <c r="BL64" s="334"/>
      <c r="BM64" s="334"/>
      <c r="BN64" s="350"/>
    </row>
    <row r="65" spans="2:66"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BI65" s="349"/>
      <c r="BJ65" s="334"/>
      <c r="BK65" s="334"/>
      <c r="BL65" s="334"/>
      <c r="BM65" s="334"/>
      <c r="BN65" s="350"/>
    </row>
    <row r="66" spans="2:66"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BI66" s="349"/>
      <c r="BJ66" s="334"/>
      <c r="BK66" s="334"/>
      <c r="BL66" s="334"/>
      <c r="BM66" s="334"/>
      <c r="BN66" s="350"/>
    </row>
    <row r="67" spans="2:66"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BI67" s="349"/>
      <c r="BJ67" s="334"/>
      <c r="BK67" s="334"/>
      <c r="BL67" s="334"/>
      <c r="BM67" s="334"/>
      <c r="BN67" s="350"/>
    </row>
    <row r="68" spans="2:66"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BI68" s="349"/>
      <c r="BJ68" s="334"/>
      <c r="BK68" s="334"/>
      <c r="BL68" s="334"/>
      <c r="BM68" s="334"/>
      <c r="BN68" s="350"/>
    </row>
    <row r="69" spans="2:66"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BI69" s="351"/>
      <c r="BJ69" s="352"/>
      <c r="BK69" s="352"/>
      <c r="BL69" s="352"/>
      <c r="BM69" s="352"/>
      <c r="BN69" s="353"/>
    </row>
    <row r="70" spans="2:66" ht="13.5" customHeight="1" thickBot="1"/>
    <row r="71" spans="2:66"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66"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BI72" s="147" t="s">
        <v>850</v>
      </c>
      <c r="BJ72" s="148"/>
      <c r="BK72" s="148"/>
      <c r="BL72" s="354">
        <f>AP72+AP73-ABS(AP74)</f>
        <v>0</v>
      </c>
      <c r="BM72" s="354"/>
      <c r="BN72" s="355"/>
    </row>
    <row r="73" spans="2:66"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BI73" s="149" t="s">
        <v>851</v>
      </c>
      <c r="BJ73" s="14"/>
      <c r="BK73" s="14"/>
      <c r="BL73" s="356" t="str">
        <f>IF(I73="Custom","TRUE","FALSE")</f>
        <v>FALSE</v>
      </c>
      <c r="BM73" s="356"/>
      <c r="BN73" s="357"/>
    </row>
    <row r="74" spans="2:66" ht="13.5" customHeight="1" thickBot="1">
      <c r="B74" s="18"/>
      <c r="C74" s="19" t="s">
        <v>394</v>
      </c>
      <c r="D74" s="19"/>
      <c r="E74" s="19"/>
      <c r="F74" s="19"/>
      <c r="G74" s="19"/>
      <c r="H74" s="19"/>
      <c r="I74" s="373" t="str">
        <f>IF(I73="","",VLOOKUP(I73,PowerEffectsChart,33,FALSE))</f>
        <v/>
      </c>
      <c r="J74" s="272"/>
      <c r="K74" s="272"/>
      <c r="L74" s="374"/>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BI74" s="149" t="s">
        <v>852</v>
      </c>
      <c r="BJ74" s="14"/>
      <c r="BK74" s="14"/>
      <c r="BL74" s="356" t="str">
        <f>IF(I72="","",IF(BL72&gt;0,BL72,IF(BL73="TRUE",BL72,VLOOKUP(BL72,$BP$28:$BT$36,3,FALSE))))</f>
        <v/>
      </c>
      <c r="BM74" s="356"/>
      <c r="BN74" s="357"/>
    </row>
    <row r="75" spans="2:66" ht="13.5" customHeight="1" thickBot="1">
      <c r="B75" s="18"/>
      <c r="C75" s="19" t="s">
        <v>395</v>
      </c>
      <c r="D75" s="19"/>
      <c r="E75" s="19"/>
      <c r="F75" s="19"/>
      <c r="G75" s="19"/>
      <c r="H75" s="19"/>
      <c r="I75" s="360" t="str">
        <f>IF(I73="","",VLOOKUP(I73,PowerEffectsChart,38,FALSE))</f>
        <v/>
      </c>
      <c r="J75" s="361"/>
      <c r="K75" s="361"/>
      <c r="L75" s="361"/>
      <c r="M75" s="361"/>
      <c r="N75" s="361"/>
      <c r="O75" s="361"/>
      <c r="P75" s="361"/>
      <c r="Q75" s="361"/>
      <c r="R75" s="361"/>
      <c r="S75" s="361"/>
      <c r="T75" s="361"/>
      <c r="U75" s="361"/>
      <c r="V75" s="361"/>
      <c r="W75" s="361"/>
      <c r="X75" s="362"/>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BI75" s="149" t="s">
        <v>853</v>
      </c>
      <c r="BJ75" s="14"/>
      <c r="BK75" s="14"/>
      <c r="BL75" s="356" t="str">
        <f>IF(I72="","",AP75*BL74)</f>
        <v/>
      </c>
      <c r="BM75" s="356"/>
      <c r="BN75" s="357"/>
    </row>
    <row r="76" spans="2:66" ht="13.5" customHeight="1" thickBot="1">
      <c r="B76" s="18"/>
      <c r="C76" s="19"/>
      <c r="D76" s="19"/>
      <c r="E76" s="19"/>
      <c r="F76" s="19"/>
      <c r="G76" s="19"/>
      <c r="H76" s="19"/>
      <c r="I76" s="363"/>
      <c r="J76" s="364"/>
      <c r="K76" s="364"/>
      <c r="L76" s="364"/>
      <c r="M76" s="364"/>
      <c r="N76" s="364"/>
      <c r="O76" s="364"/>
      <c r="P76" s="364"/>
      <c r="Q76" s="364"/>
      <c r="R76" s="364"/>
      <c r="S76" s="364"/>
      <c r="T76" s="364"/>
      <c r="U76" s="364"/>
      <c r="V76" s="364"/>
      <c r="W76" s="364"/>
      <c r="X76" s="365"/>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BI76" s="149" t="s">
        <v>423</v>
      </c>
      <c r="BJ76" s="14"/>
      <c r="BK76" s="14"/>
      <c r="BL76" s="356">
        <f>AP76</f>
        <v>0</v>
      </c>
      <c r="BM76" s="356"/>
      <c r="BN76" s="357"/>
    </row>
    <row r="77" spans="2:66" ht="13.5" customHeight="1" thickBot="1">
      <c r="B77" s="18"/>
      <c r="C77" s="19"/>
      <c r="D77" s="19"/>
      <c r="E77" s="19"/>
      <c r="F77" s="19"/>
      <c r="G77" s="19"/>
      <c r="H77" s="19"/>
      <c r="I77" s="363"/>
      <c r="J77" s="364"/>
      <c r="K77" s="364"/>
      <c r="L77" s="364"/>
      <c r="M77" s="364"/>
      <c r="N77" s="364"/>
      <c r="O77" s="364"/>
      <c r="P77" s="364"/>
      <c r="Q77" s="364"/>
      <c r="R77" s="364"/>
      <c r="S77" s="364"/>
      <c r="T77" s="364"/>
      <c r="U77" s="364"/>
      <c r="V77" s="364"/>
      <c r="W77" s="364"/>
      <c r="X77" s="365"/>
      <c r="Y77" s="19"/>
      <c r="Z77" s="19"/>
      <c r="AA77" s="19"/>
      <c r="AB77" s="19"/>
      <c r="AC77" s="19"/>
      <c r="AD77" s="19"/>
      <c r="AE77" s="19"/>
      <c r="AF77" s="19"/>
      <c r="AG77" s="19"/>
      <c r="AH77" s="19"/>
      <c r="AI77" s="19"/>
      <c r="AJ77" s="19"/>
      <c r="AK77" s="19"/>
      <c r="AL77" s="19"/>
      <c r="AM77" s="19"/>
      <c r="AN77" s="19"/>
      <c r="AO77" s="19"/>
      <c r="AP77" s="19"/>
      <c r="AQ77" s="19"/>
      <c r="AR77" s="19"/>
      <c r="AS77" s="19"/>
      <c r="AT77" s="20"/>
      <c r="BI77" s="149"/>
      <c r="BJ77" s="14"/>
      <c r="BK77" s="14"/>
      <c r="BL77" s="14"/>
      <c r="BM77" s="14"/>
      <c r="BN77" s="150"/>
    </row>
    <row r="78" spans="2:66"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BL78</f>
        <v>0</v>
      </c>
      <c r="AQ78" s="253"/>
      <c r="AR78" s="253"/>
      <c r="AS78" s="254"/>
      <c r="AT78" s="20"/>
      <c r="BI78" s="151" t="s">
        <v>37</v>
      </c>
      <c r="BJ78" s="152"/>
      <c r="BK78" s="152"/>
      <c r="BL78" s="358">
        <f>IF(I72="",0,ROUNDUP(BL75+BL76,0))</f>
        <v>0</v>
      </c>
      <c r="BM78" s="358"/>
      <c r="BN78" s="359"/>
    </row>
    <row r="79" spans="2:66"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BI79" s="12" t="s">
        <v>619</v>
      </c>
    </row>
    <row r="80" spans="2:66"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BI80" s="346" t="str">
        <f>IF(Basics!$U$37="NO",IF(J82="","",J82&amp;"; "),IF(J82="","",J82&amp;"; ")&amp;IF(J83="","",J83&amp;"; ")&amp;IF(J84="","",J84&amp;"; ")&amp;IF(J85="","",J85&amp;"; "))</f>
        <v/>
      </c>
      <c r="BJ80" s="347"/>
      <c r="BK80" s="347"/>
      <c r="BL80" s="347"/>
      <c r="BM80" s="347"/>
      <c r="BN80" s="348"/>
    </row>
    <row r="81" spans="2:66"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BI81" s="349"/>
      <c r="BJ81" s="334"/>
      <c r="BK81" s="334"/>
      <c r="BL81" s="334"/>
      <c r="BM81" s="334"/>
      <c r="BN81" s="350"/>
    </row>
    <row r="82" spans="2:66"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BI82" s="349"/>
      <c r="BJ82" s="334"/>
      <c r="BK82" s="334"/>
      <c r="BL82" s="334"/>
      <c r="BM82" s="334"/>
      <c r="BN82" s="350"/>
    </row>
    <row r="83" spans="2:66"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BI83" s="349"/>
      <c r="BJ83" s="334"/>
      <c r="BK83" s="334"/>
      <c r="BL83" s="334"/>
      <c r="BM83" s="334"/>
      <c r="BN83" s="350"/>
    </row>
    <row r="84" spans="2:66"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BI84" s="349"/>
      <c r="BJ84" s="334"/>
      <c r="BK84" s="334"/>
      <c r="BL84" s="334"/>
      <c r="BM84" s="334"/>
      <c r="BN84" s="350"/>
    </row>
    <row r="85" spans="2:66"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BI85" s="349"/>
      <c r="BJ85" s="334"/>
      <c r="BK85" s="334"/>
      <c r="BL85" s="334"/>
      <c r="BM85" s="334"/>
      <c r="BN85" s="350"/>
    </row>
    <row r="86" spans="2:66"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BI86" s="351"/>
      <c r="BJ86" s="352"/>
      <c r="BK86" s="352"/>
      <c r="BL86" s="352"/>
      <c r="BM86" s="352"/>
      <c r="BN86" s="353"/>
    </row>
    <row r="87" spans="2:66" ht="13.5" customHeight="1" thickBot="1"/>
    <row r="88" spans="2:66"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66"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BI89" s="147" t="s">
        <v>850</v>
      </c>
      <c r="BJ89" s="148"/>
      <c r="BK89" s="148"/>
      <c r="BL89" s="354">
        <f>AP89+AP90-ABS(AP91)</f>
        <v>0</v>
      </c>
      <c r="BM89" s="354"/>
      <c r="BN89" s="355"/>
    </row>
    <row r="90" spans="2:66"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BI90" s="149" t="s">
        <v>851</v>
      </c>
      <c r="BJ90" s="14"/>
      <c r="BK90" s="14"/>
      <c r="BL90" s="356" t="str">
        <f>IF(I90="Custom","TRUE","FALSE")</f>
        <v>FALSE</v>
      </c>
      <c r="BM90" s="356"/>
      <c r="BN90" s="357"/>
    </row>
    <row r="91" spans="2:66" ht="13.5" customHeight="1" thickBot="1">
      <c r="B91" s="18"/>
      <c r="C91" s="19" t="s">
        <v>394</v>
      </c>
      <c r="D91" s="19"/>
      <c r="E91" s="19"/>
      <c r="F91" s="19"/>
      <c r="G91" s="19"/>
      <c r="H91" s="19"/>
      <c r="I91" s="373" t="str">
        <f>IF(I90="","",VLOOKUP(I90,PowerEffectsChart,33,FALSE))</f>
        <v/>
      </c>
      <c r="J91" s="272"/>
      <c r="K91" s="272"/>
      <c r="L91" s="374"/>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BI91" s="149" t="s">
        <v>852</v>
      </c>
      <c r="BJ91" s="14"/>
      <c r="BK91" s="14"/>
      <c r="BL91" s="356" t="str">
        <f>IF(I89="","",IF(BL89&gt;0,BL89,IF(BL90="TRUE",BL89,VLOOKUP(BL89,$BP$28:$BT$36,3,FALSE))))</f>
        <v/>
      </c>
      <c r="BM91" s="356"/>
      <c r="BN91" s="357"/>
    </row>
    <row r="92" spans="2:66" ht="13.5" customHeight="1" thickBot="1">
      <c r="B92" s="18"/>
      <c r="C92" s="19" t="s">
        <v>395</v>
      </c>
      <c r="D92" s="19"/>
      <c r="E92" s="19"/>
      <c r="F92" s="19"/>
      <c r="G92" s="19"/>
      <c r="H92" s="19"/>
      <c r="I92" s="360" t="str">
        <f>IF(I90="","",VLOOKUP(I90,PowerEffectsChart,38,FALSE))</f>
        <v/>
      </c>
      <c r="J92" s="361"/>
      <c r="K92" s="361"/>
      <c r="L92" s="361"/>
      <c r="M92" s="361"/>
      <c r="N92" s="361"/>
      <c r="O92" s="361"/>
      <c r="P92" s="361"/>
      <c r="Q92" s="361"/>
      <c r="R92" s="361"/>
      <c r="S92" s="361"/>
      <c r="T92" s="361"/>
      <c r="U92" s="361"/>
      <c r="V92" s="361"/>
      <c r="W92" s="361"/>
      <c r="X92" s="362"/>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BI92" s="149" t="s">
        <v>853</v>
      </c>
      <c r="BJ92" s="14"/>
      <c r="BK92" s="14"/>
      <c r="BL92" s="356" t="str">
        <f>IF(I89="","",AP92*BL91)</f>
        <v/>
      </c>
      <c r="BM92" s="356"/>
      <c r="BN92" s="357"/>
    </row>
    <row r="93" spans="2:66" ht="13.5" customHeight="1" thickBot="1">
      <c r="B93" s="18"/>
      <c r="C93" s="19"/>
      <c r="D93" s="19"/>
      <c r="E93" s="19"/>
      <c r="F93" s="19"/>
      <c r="G93" s="19"/>
      <c r="H93" s="19"/>
      <c r="I93" s="363"/>
      <c r="J93" s="364"/>
      <c r="K93" s="364"/>
      <c r="L93" s="364"/>
      <c r="M93" s="364"/>
      <c r="N93" s="364"/>
      <c r="O93" s="364"/>
      <c r="P93" s="364"/>
      <c r="Q93" s="364"/>
      <c r="R93" s="364"/>
      <c r="S93" s="364"/>
      <c r="T93" s="364"/>
      <c r="U93" s="364"/>
      <c r="V93" s="364"/>
      <c r="W93" s="364"/>
      <c r="X93" s="365"/>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BI93" s="149" t="s">
        <v>423</v>
      </c>
      <c r="BJ93" s="14"/>
      <c r="BK93" s="14"/>
      <c r="BL93" s="356">
        <f>AP93</f>
        <v>0</v>
      </c>
      <c r="BM93" s="356"/>
      <c r="BN93" s="357"/>
    </row>
    <row r="94" spans="2:66" ht="13.5" customHeight="1" thickBot="1">
      <c r="B94" s="18"/>
      <c r="C94" s="19"/>
      <c r="D94" s="19"/>
      <c r="E94" s="19"/>
      <c r="F94" s="19"/>
      <c r="G94" s="19"/>
      <c r="H94" s="19"/>
      <c r="I94" s="363"/>
      <c r="J94" s="364"/>
      <c r="K94" s="364"/>
      <c r="L94" s="364"/>
      <c r="M94" s="364"/>
      <c r="N94" s="364"/>
      <c r="O94" s="364"/>
      <c r="P94" s="364"/>
      <c r="Q94" s="364"/>
      <c r="R94" s="364"/>
      <c r="S94" s="364"/>
      <c r="T94" s="364"/>
      <c r="U94" s="364"/>
      <c r="V94" s="364"/>
      <c r="W94" s="364"/>
      <c r="X94" s="365"/>
      <c r="Y94" s="19"/>
      <c r="Z94" s="19"/>
      <c r="AA94" s="19"/>
      <c r="AB94" s="19"/>
      <c r="AC94" s="19"/>
      <c r="AD94" s="19"/>
      <c r="AE94" s="19"/>
      <c r="AF94" s="19"/>
      <c r="AG94" s="19"/>
      <c r="AH94" s="19"/>
      <c r="AI94" s="19"/>
      <c r="AJ94" s="19"/>
      <c r="AK94" s="19"/>
      <c r="AL94" s="19"/>
      <c r="AM94" s="19"/>
      <c r="AN94" s="19"/>
      <c r="AO94" s="19"/>
      <c r="AP94" s="19"/>
      <c r="AQ94" s="19"/>
      <c r="AR94" s="19"/>
      <c r="AS94" s="19"/>
      <c r="AT94" s="20"/>
      <c r="BI94" s="149"/>
      <c r="BJ94" s="14"/>
      <c r="BK94" s="14"/>
      <c r="BL94" s="14"/>
      <c r="BM94" s="14"/>
      <c r="BN94" s="150"/>
    </row>
    <row r="95" spans="2:66"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BL95</f>
        <v>0</v>
      </c>
      <c r="AQ95" s="253"/>
      <c r="AR95" s="253"/>
      <c r="AS95" s="254"/>
      <c r="AT95" s="20"/>
      <c r="BI95" s="151" t="s">
        <v>37</v>
      </c>
      <c r="BJ95" s="152"/>
      <c r="BK95" s="152"/>
      <c r="BL95" s="358">
        <f>IF(I89="",0,ROUNDUP(BL92+BL93,0))</f>
        <v>0</v>
      </c>
      <c r="BM95" s="358"/>
      <c r="BN95" s="359"/>
    </row>
    <row r="96" spans="2:66"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BI96" s="12" t="s">
        <v>619</v>
      </c>
    </row>
    <row r="97" spans="2:66"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BI97" s="346" t="str">
        <f>IF(Basics!$U$37="NO",IF(J99="","",J99&amp;"; "),IF(J99="","",J99&amp;"; ")&amp;IF(J100="","",J100&amp;"; ")&amp;IF(J101="","",J101&amp;"; ")&amp;IF(J102="","",J102&amp;"; "))</f>
        <v/>
      </c>
      <c r="BJ97" s="347"/>
      <c r="BK97" s="347"/>
      <c r="BL97" s="347"/>
      <c r="BM97" s="347"/>
      <c r="BN97" s="348"/>
    </row>
    <row r="98" spans="2:66"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BI98" s="349"/>
      <c r="BJ98" s="334"/>
      <c r="BK98" s="334"/>
      <c r="BL98" s="334"/>
      <c r="BM98" s="334"/>
      <c r="BN98" s="350"/>
    </row>
    <row r="99" spans="2:66"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BI99" s="349"/>
      <c r="BJ99" s="334"/>
      <c r="BK99" s="334"/>
      <c r="BL99" s="334"/>
      <c r="BM99" s="334"/>
      <c r="BN99" s="350"/>
    </row>
    <row r="100" spans="2:66"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BI100" s="349"/>
      <c r="BJ100" s="334"/>
      <c r="BK100" s="334"/>
      <c r="BL100" s="334"/>
      <c r="BM100" s="334"/>
      <c r="BN100" s="350"/>
    </row>
    <row r="101" spans="2:66"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BI101" s="349"/>
      <c r="BJ101" s="334"/>
      <c r="BK101" s="334"/>
      <c r="BL101" s="334"/>
      <c r="BM101" s="334"/>
      <c r="BN101" s="350"/>
    </row>
    <row r="102" spans="2:66"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BI102" s="349"/>
      <c r="BJ102" s="334"/>
      <c r="BK102" s="334"/>
      <c r="BL102" s="334"/>
      <c r="BM102" s="334"/>
      <c r="BN102" s="350"/>
    </row>
    <row r="103" spans="2:66"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BI103" s="351"/>
      <c r="BJ103" s="352"/>
      <c r="BK103" s="352"/>
      <c r="BL103" s="352"/>
      <c r="BM103" s="352"/>
      <c r="BN103" s="353"/>
    </row>
    <row r="104" spans="2:66" ht="13.5" customHeight="1" thickBot="1"/>
    <row r="105" spans="2:66"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66"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BI106" s="147" t="s">
        <v>850</v>
      </c>
      <c r="BJ106" s="148"/>
      <c r="BK106" s="148"/>
      <c r="BL106" s="354">
        <f>AP106+AP107-ABS(AP108)</f>
        <v>0</v>
      </c>
      <c r="BM106" s="354"/>
      <c r="BN106" s="355"/>
    </row>
    <row r="107" spans="2:66"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BI107" s="149" t="s">
        <v>851</v>
      </c>
      <c r="BJ107" s="14"/>
      <c r="BK107" s="14"/>
      <c r="BL107" s="356" t="str">
        <f>IF(I107="Custom","TRUE","FALSE")</f>
        <v>FALSE</v>
      </c>
      <c r="BM107" s="356"/>
      <c r="BN107" s="357"/>
    </row>
    <row r="108" spans="2:66" ht="13.5" customHeight="1" thickBot="1">
      <c r="B108" s="18"/>
      <c r="C108" s="19" t="s">
        <v>394</v>
      </c>
      <c r="D108" s="19"/>
      <c r="E108" s="19"/>
      <c r="F108" s="19"/>
      <c r="G108" s="19"/>
      <c r="H108" s="19"/>
      <c r="I108" s="373" t="str">
        <f>IF(I107="","",VLOOKUP(I107,PowerEffectsChart,33,FALSE))</f>
        <v/>
      </c>
      <c r="J108" s="272"/>
      <c r="K108" s="272"/>
      <c r="L108" s="374"/>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BI108" s="149" t="s">
        <v>852</v>
      </c>
      <c r="BJ108" s="14"/>
      <c r="BK108" s="14"/>
      <c r="BL108" s="356" t="str">
        <f>IF(I106="","",IF(BL106&gt;0,BL106,IF(BL107="TRUE",BL106,VLOOKUP(BL106,$BP$28:$BT$36,3,FALSE))))</f>
        <v/>
      </c>
      <c r="BM108" s="356"/>
      <c r="BN108" s="357"/>
    </row>
    <row r="109" spans="2:66" ht="13.5" customHeight="1" thickBot="1">
      <c r="B109" s="18"/>
      <c r="C109" s="19" t="s">
        <v>395</v>
      </c>
      <c r="D109" s="19"/>
      <c r="E109" s="19"/>
      <c r="F109" s="19"/>
      <c r="G109" s="19"/>
      <c r="H109" s="19"/>
      <c r="I109" s="360" t="str">
        <f>IF(I107="","",VLOOKUP(I107,PowerEffectsChart,38,FALSE))</f>
        <v/>
      </c>
      <c r="J109" s="361"/>
      <c r="K109" s="361"/>
      <c r="L109" s="361"/>
      <c r="M109" s="361"/>
      <c r="N109" s="361"/>
      <c r="O109" s="361"/>
      <c r="P109" s="361"/>
      <c r="Q109" s="361"/>
      <c r="R109" s="361"/>
      <c r="S109" s="361"/>
      <c r="T109" s="361"/>
      <c r="U109" s="361"/>
      <c r="V109" s="361"/>
      <c r="W109" s="361"/>
      <c r="X109" s="362"/>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BI109" s="149" t="s">
        <v>853</v>
      </c>
      <c r="BJ109" s="14"/>
      <c r="BK109" s="14"/>
      <c r="BL109" s="356" t="str">
        <f>IF(I106="","",AP109*BL108)</f>
        <v/>
      </c>
      <c r="BM109" s="356"/>
      <c r="BN109" s="357"/>
    </row>
    <row r="110" spans="2:66" ht="13.5" customHeight="1" thickBot="1">
      <c r="B110" s="18"/>
      <c r="C110" s="19"/>
      <c r="D110" s="19"/>
      <c r="E110" s="19"/>
      <c r="F110" s="19"/>
      <c r="G110" s="19"/>
      <c r="H110" s="19"/>
      <c r="I110" s="363"/>
      <c r="J110" s="364"/>
      <c r="K110" s="364"/>
      <c r="L110" s="364"/>
      <c r="M110" s="364"/>
      <c r="N110" s="364"/>
      <c r="O110" s="364"/>
      <c r="P110" s="364"/>
      <c r="Q110" s="364"/>
      <c r="R110" s="364"/>
      <c r="S110" s="364"/>
      <c r="T110" s="364"/>
      <c r="U110" s="364"/>
      <c r="V110" s="364"/>
      <c r="W110" s="364"/>
      <c r="X110" s="365"/>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BI110" s="149" t="s">
        <v>423</v>
      </c>
      <c r="BJ110" s="14"/>
      <c r="BK110" s="14"/>
      <c r="BL110" s="356">
        <f>AP110</f>
        <v>0</v>
      </c>
      <c r="BM110" s="356"/>
      <c r="BN110" s="357"/>
    </row>
    <row r="111" spans="2:66" ht="13.5" customHeight="1" thickBot="1">
      <c r="B111" s="18"/>
      <c r="C111" s="19"/>
      <c r="D111" s="19"/>
      <c r="E111" s="19"/>
      <c r="F111" s="19"/>
      <c r="G111" s="19"/>
      <c r="H111" s="19"/>
      <c r="I111" s="363"/>
      <c r="J111" s="364"/>
      <c r="K111" s="364"/>
      <c r="L111" s="364"/>
      <c r="M111" s="364"/>
      <c r="N111" s="364"/>
      <c r="O111" s="364"/>
      <c r="P111" s="364"/>
      <c r="Q111" s="364"/>
      <c r="R111" s="364"/>
      <c r="S111" s="364"/>
      <c r="T111" s="364"/>
      <c r="U111" s="364"/>
      <c r="V111" s="364"/>
      <c r="W111" s="364"/>
      <c r="X111" s="365"/>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BI111" s="149"/>
      <c r="BJ111" s="14"/>
      <c r="BK111" s="14"/>
      <c r="BL111" s="14"/>
      <c r="BM111" s="14"/>
      <c r="BN111" s="150"/>
    </row>
    <row r="112" spans="2:66"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BL112</f>
        <v>0</v>
      </c>
      <c r="AQ112" s="253"/>
      <c r="AR112" s="253"/>
      <c r="AS112" s="254"/>
      <c r="AT112" s="20"/>
      <c r="BI112" s="151" t="s">
        <v>37</v>
      </c>
      <c r="BJ112" s="152"/>
      <c r="BK112" s="152"/>
      <c r="BL112" s="358">
        <f>IF(I106="",0,ROUNDUP(BL109+BL110,0))</f>
        <v>0</v>
      </c>
      <c r="BM112" s="358"/>
      <c r="BN112" s="359"/>
    </row>
    <row r="113" spans="2:66"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BI113" s="12" t="s">
        <v>619</v>
      </c>
    </row>
    <row r="114" spans="2:66"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BI114" s="346" t="str">
        <f>IF(Basics!$U$37="NO",IF(J116="","",J116&amp;"; "),IF(J116="","",J116&amp;"; ")&amp;IF(J117="","",J117&amp;"; ")&amp;IF(J118="","",J118&amp;"; ")&amp;IF(J119="","",J119&amp;"; "))</f>
        <v/>
      </c>
      <c r="BJ114" s="347"/>
      <c r="BK114" s="347"/>
      <c r="BL114" s="347"/>
      <c r="BM114" s="347"/>
      <c r="BN114" s="348"/>
    </row>
    <row r="115" spans="2:66"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BI115" s="349"/>
      <c r="BJ115" s="334"/>
      <c r="BK115" s="334"/>
      <c r="BL115" s="334"/>
      <c r="BM115" s="334"/>
      <c r="BN115" s="350"/>
    </row>
    <row r="116" spans="2:66"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BI116" s="349"/>
      <c r="BJ116" s="334"/>
      <c r="BK116" s="334"/>
      <c r="BL116" s="334"/>
      <c r="BM116" s="334"/>
      <c r="BN116" s="350"/>
    </row>
    <row r="117" spans="2:66"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BI117" s="349"/>
      <c r="BJ117" s="334"/>
      <c r="BK117" s="334"/>
      <c r="BL117" s="334"/>
      <c r="BM117" s="334"/>
      <c r="BN117" s="350"/>
    </row>
    <row r="118" spans="2:66"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BI118" s="349"/>
      <c r="BJ118" s="334"/>
      <c r="BK118" s="334"/>
      <c r="BL118" s="334"/>
      <c r="BM118" s="334"/>
      <c r="BN118" s="350"/>
    </row>
    <row r="119" spans="2:66"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BI119" s="349"/>
      <c r="BJ119" s="334"/>
      <c r="BK119" s="334"/>
      <c r="BL119" s="334"/>
      <c r="BM119" s="334"/>
      <c r="BN119" s="350"/>
    </row>
    <row r="120" spans="2:66"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BI120" s="351"/>
      <c r="BJ120" s="352"/>
      <c r="BK120" s="352"/>
      <c r="BL120" s="352"/>
      <c r="BM120" s="352"/>
      <c r="BN120" s="353"/>
    </row>
    <row r="121" spans="2:66" ht="13.5" customHeight="1" thickBot="1"/>
    <row r="122" spans="2:66"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66"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BI123" s="147" t="s">
        <v>850</v>
      </c>
      <c r="BJ123" s="148"/>
      <c r="BK123" s="148"/>
      <c r="BL123" s="354">
        <f>AP123+AP124-ABS(AP125)</f>
        <v>0</v>
      </c>
      <c r="BM123" s="354"/>
      <c r="BN123" s="355"/>
    </row>
    <row r="124" spans="2:66"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BI124" s="149" t="s">
        <v>851</v>
      </c>
      <c r="BJ124" s="14"/>
      <c r="BK124" s="14"/>
      <c r="BL124" s="356" t="str">
        <f>IF(I124="Custom","TRUE","FALSE")</f>
        <v>FALSE</v>
      </c>
      <c r="BM124" s="356"/>
      <c r="BN124" s="357"/>
    </row>
    <row r="125" spans="2:66" ht="13.5" customHeight="1" thickBot="1">
      <c r="B125" s="18"/>
      <c r="C125" s="19" t="s">
        <v>394</v>
      </c>
      <c r="D125" s="19"/>
      <c r="E125" s="19"/>
      <c r="F125" s="19"/>
      <c r="G125" s="19"/>
      <c r="H125" s="19"/>
      <c r="I125" s="373" t="str">
        <f>IF(I124="","",VLOOKUP(I124,PowerEffectsChart,33,FALSE))</f>
        <v/>
      </c>
      <c r="J125" s="272"/>
      <c r="K125" s="272"/>
      <c r="L125" s="374"/>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BI125" s="149" t="s">
        <v>852</v>
      </c>
      <c r="BJ125" s="14"/>
      <c r="BK125" s="14"/>
      <c r="BL125" s="356" t="str">
        <f>IF(I123="","",IF(BL123&gt;0,BL123,IF(BL124="TRUE",BL123,VLOOKUP(BL123,$BP$28:$BT$36,3,FALSE))))</f>
        <v/>
      </c>
      <c r="BM125" s="356"/>
      <c r="BN125" s="357"/>
    </row>
    <row r="126" spans="2:66" ht="13.5" customHeight="1" thickBot="1">
      <c r="B126" s="18"/>
      <c r="C126" s="19" t="s">
        <v>395</v>
      </c>
      <c r="D126" s="19"/>
      <c r="E126" s="19"/>
      <c r="F126" s="19"/>
      <c r="G126" s="19"/>
      <c r="H126" s="19"/>
      <c r="I126" s="360" t="str">
        <f>IF(I124="","",VLOOKUP(I124,PowerEffectsChart,38,FALSE))</f>
        <v/>
      </c>
      <c r="J126" s="361"/>
      <c r="K126" s="361"/>
      <c r="L126" s="361"/>
      <c r="M126" s="361"/>
      <c r="N126" s="361"/>
      <c r="O126" s="361"/>
      <c r="P126" s="361"/>
      <c r="Q126" s="361"/>
      <c r="R126" s="361"/>
      <c r="S126" s="361"/>
      <c r="T126" s="361"/>
      <c r="U126" s="361"/>
      <c r="V126" s="361"/>
      <c r="W126" s="361"/>
      <c r="X126" s="362"/>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BI126" s="149" t="s">
        <v>853</v>
      </c>
      <c r="BJ126" s="14"/>
      <c r="BK126" s="14"/>
      <c r="BL126" s="356" t="str">
        <f>IF(I123="","",AP126*BL125)</f>
        <v/>
      </c>
      <c r="BM126" s="356"/>
      <c r="BN126" s="357"/>
    </row>
    <row r="127" spans="2:66" ht="13.5" customHeight="1" thickBot="1">
      <c r="B127" s="18"/>
      <c r="C127" s="19"/>
      <c r="D127" s="19"/>
      <c r="E127" s="19"/>
      <c r="F127" s="19"/>
      <c r="G127" s="19"/>
      <c r="H127" s="19"/>
      <c r="I127" s="363"/>
      <c r="J127" s="364"/>
      <c r="K127" s="364"/>
      <c r="L127" s="364"/>
      <c r="M127" s="364"/>
      <c r="N127" s="364"/>
      <c r="O127" s="364"/>
      <c r="P127" s="364"/>
      <c r="Q127" s="364"/>
      <c r="R127" s="364"/>
      <c r="S127" s="364"/>
      <c r="T127" s="364"/>
      <c r="U127" s="364"/>
      <c r="V127" s="364"/>
      <c r="W127" s="364"/>
      <c r="X127" s="365"/>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BI127" s="149" t="s">
        <v>423</v>
      </c>
      <c r="BJ127" s="14"/>
      <c r="BK127" s="14"/>
      <c r="BL127" s="356">
        <f>AP127</f>
        <v>0</v>
      </c>
      <c r="BM127" s="356"/>
      <c r="BN127" s="357"/>
    </row>
    <row r="128" spans="2:66" ht="13.5" customHeight="1" thickBot="1">
      <c r="B128" s="18"/>
      <c r="C128" s="19"/>
      <c r="D128" s="19"/>
      <c r="E128" s="19"/>
      <c r="F128" s="19"/>
      <c r="G128" s="19"/>
      <c r="H128" s="19"/>
      <c r="I128" s="363"/>
      <c r="J128" s="364"/>
      <c r="K128" s="364"/>
      <c r="L128" s="364"/>
      <c r="M128" s="364"/>
      <c r="N128" s="364"/>
      <c r="O128" s="364"/>
      <c r="P128" s="364"/>
      <c r="Q128" s="364"/>
      <c r="R128" s="364"/>
      <c r="S128" s="364"/>
      <c r="T128" s="364"/>
      <c r="U128" s="364"/>
      <c r="V128" s="364"/>
      <c r="W128" s="364"/>
      <c r="X128" s="365"/>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BI128" s="149"/>
      <c r="BJ128" s="14"/>
      <c r="BK128" s="14"/>
      <c r="BL128" s="14"/>
      <c r="BM128" s="14"/>
      <c r="BN128" s="150"/>
    </row>
    <row r="129" spans="2:66"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BL129</f>
        <v>0</v>
      </c>
      <c r="AQ129" s="253"/>
      <c r="AR129" s="253"/>
      <c r="AS129" s="254"/>
      <c r="AT129" s="20"/>
      <c r="BI129" s="151" t="s">
        <v>37</v>
      </c>
      <c r="BJ129" s="152"/>
      <c r="BK129" s="152"/>
      <c r="BL129" s="358">
        <f>IF(I123="",0,ROUNDUP(BL126+BL127,0))</f>
        <v>0</v>
      </c>
      <c r="BM129" s="358"/>
      <c r="BN129" s="359"/>
    </row>
    <row r="130" spans="2:66"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BI130" s="12" t="s">
        <v>619</v>
      </c>
    </row>
    <row r="131" spans="2:66"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BI131" s="346" t="str">
        <f>IF(Basics!$U$37="NO",IF(J133="","",J133&amp;"; "),IF(J133="","",J133&amp;"; ")&amp;IF(J134="","",J134&amp;"; ")&amp;IF(J135="","",J135&amp;"; ")&amp;IF(J136="","",J136&amp;"; "))</f>
        <v/>
      </c>
      <c r="BJ131" s="347"/>
      <c r="BK131" s="347"/>
      <c r="BL131" s="347"/>
      <c r="BM131" s="347"/>
      <c r="BN131" s="348"/>
    </row>
    <row r="132" spans="2:66"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BI132" s="349"/>
      <c r="BJ132" s="334"/>
      <c r="BK132" s="334"/>
      <c r="BL132" s="334"/>
      <c r="BM132" s="334"/>
      <c r="BN132" s="350"/>
    </row>
    <row r="133" spans="2:66"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BI133" s="349"/>
      <c r="BJ133" s="334"/>
      <c r="BK133" s="334"/>
      <c r="BL133" s="334"/>
      <c r="BM133" s="334"/>
      <c r="BN133" s="350"/>
    </row>
    <row r="134" spans="2:66"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BI134" s="349"/>
      <c r="BJ134" s="334"/>
      <c r="BK134" s="334"/>
      <c r="BL134" s="334"/>
      <c r="BM134" s="334"/>
      <c r="BN134" s="350"/>
    </row>
    <row r="135" spans="2:66"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BI135" s="349"/>
      <c r="BJ135" s="334"/>
      <c r="BK135" s="334"/>
      <c r="BL135" s="334"/>
      <c r="BM135" s="334"/>
      <c r="BN135" s="350"/>
    </row>
    <row r="136" spans="2:66"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BI136" s="349"/>
      <c r="BJ136" s="334"/>
      <c r="BK136" s="334"/>
      <c r="BL136" s="334"/>
      <c r="BM136" s="334"/>
      <c r="BN136" s="350"/>
    </row>
    <row r="137" spans="2:66"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BI137" s="351"/>
      <c r="BJ137" s="352"/>
      <c r="BK137" s="352"/>
      <c r="BL137" s="352"/>
      <c r="BM137" s="352"/>
      <c r="BN137" s="353"/>
    </row>
    <row r="138" spans="2:66" ht="13.5" customHeight="1" thickBot="1"/>
    <row r="139" spans="2:66"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66"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BI140" s="147" t="s">
        <v>850</v>
      </c>
      <c r="BJ140" s="148"/>
      <c r="BK140" s="148"/>
      <c r="BL140" s="354">
        <f>AP140+AP141-ABS(AP142)</f>
        <v>0</v>
      </c>
      <c r="BM140" s="354"/>
      <c r="BN140" s="355"/>
    </row>
    <row r="141" spans="2:66"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BI141" s="149" t="s">
        <v>851</v>
      </c>
      <c r="BJ141" s="14"/>
      <c r="BK141" s="14"/>
      <c r="BL141" s="356" t="str">
        <f>IF(I141="Custom","TRUE","FALSE")</f>
        <v>FALSE</v>
      </c>
      <c r="BM141" s="356"/>
      <c r="BN141" s="357"/>
    </row>
    <row r="142" spans="2:66" ht="13.5" customHeight="1" thickBot="1">
      <c r="B142" s="18"/>
      <c r="C142" s="19" t="s">
        <v>394</v>
      </c>
      <c r="D142" s="19"/>
      <c r="E142" s="19"/>
      <c r="F142" s="19"/>
      <c r="G142" s="19"/>
      <c r="H142" s="19"/>
      <c r="I142" s="373" t="str">
        <f>IF(I141="","",VLOOKUP(I141,PowerEffectsChart,33,FALSE))</f>
        <v/>
      </c>
      <c r="J142" s="272"/>
      <c r="K142" s="272"/>
      <c r="L142" s="374"/>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BI142" s="149" t="s">
        <v>852</v>
      </c>
      <c r="BJ142" s="14"/>
      <c r="BK142" s="14"/>
      <c r="BL142" s="356" t="str">
        <f>IF(I140="","",IF(BL140&gt;0,BL140,IF(BL141="TRUE",BL140,VLOOKUP(BL140,$BP$28:$BT$36,3,FALSE))))</f>
        <v/>
      </c>
      <c r="BM142" s="356"/>
      <c r="BN142" s="357"/>
    </row>
    <row r="143" spans="2:66" ht="13.5" customHeight="1" thickBot="1">
      <c r="B143" s="18"/>
      <c r="C143" s="19" t="s">
        <v>395</v>
      </c>
      <c r="D143" s="19"/>
      <c r="E143" s="19"/>
      <c r="F143" s="19"/>
      <c r="G143" s="19"/>
      <c r="H143" s="19"/>
      <c r="I143" s="360" t="str">
        <f>IF(I141="","",VLOOKUP(I141,PowerEffectsChart,38,FALSE))</f>
        <v/>
      </c>
      <c r="J143" s="361"/>
      <c r="K143" s="361"/>
      <c r="L143" s="361"/>
      <c r="M143" s="361"/>
      <c r="N143" s="361"/>
      <c r="O143" s="361"/>
      <c r="P143" s="361"/>
      <c r="Q143" s="361"/>
      <c r="R143" s="361"/>
      <c r="S143" s="361"/>
      <c r="T143" s="361"/>
      <c r="U143" s="361"/>
      <c r="V143" s="361"/>
      <c r="W143" s="361"/>
      <c r="X143" s="362"/>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BI143" s="149" t="s">
        <v>853</v>
      </c>
      <c r="BJ143" s="14"/>
      <c r="BK143" s="14"/>
      <c r="BL143" s="356" t="str">
        <f>IF(I140="","",AP143*BL142)</f>
        <v/>
      </c>
      <c r="BM143" s="356"/>
      <c r="BN143" s="357"/>
    </row>
    <row r="144" spans="2:66" ht="13.5" customHeight="1" thickBot="1">
      <c r="B144" s="18"/>
      <c r="C144" s="19"/>
      <c r="D144" s="19"/>
      <c r="E144" s="19"/>
      <c r="F144" s="19"/>
      <c r="G144" s="19"/>
      <c r="H144" s="19"/>
      <c r="I144" s="363"/>
      <c r="J144" s="364"/>
      <c r="K144" s="364"/>
      <c r="L144" s="364"/>
      <c r="M144" s="364"/>
      <c r="N144" s="364"/>
      <c r="O144" s="364"/>
      <c r="P144" s="364"/>
      <c r="Q144" s="364"/>
      <c r="R144" s="364"/>
      <c r="S144" s="364"/>
      <c r="T144" s="364"/>
      <c r="U144" s="364"/>
      <c r="V144" s="364"/>
      <c r="W144" s="364"/>
      <c r="X144" s="365"/>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BI144" s="149" t="s">
        <v>423</v>
      </c>
      <c r="BJ144" s="14"/>
      <c r="BK144" s="14"/>
      <c r="BL144" s="356">
        <f>AP144</f>
        <v>0</v>
      </c>
      <c r="BM144" s="356"/>
      <c r="BN144" s="357"/>
    </row>
    <row r="145" spans="2:66" ht="13.5" customHeight="1" thickBot="1">
      <c r="B145" s="18"/>
      <c r="C145" s="19"/>
      <c r="D145" s="19"/>
      <c r="E145" s="19"/>
      <c r="F145" s="19"/>
      <c r="G145" s="19"/>
      <c r="H145" s="19"/>
      <c r="I145" s="363"/>
      <c r="J145" s="364"/>
      <c r="K145" s="364"/>
      <c r="L145" s="364"/>
      <c r="M145" s="364"/>
      <c r="N145" s="364"/>
      <c r="O145" s="364"/>
      <c r="P145" s="364"/>
      <c r="Q145" s="364"/>
      <c r="R145" s="364"/>
      <c r="S145" s="364"/>
      <c r="T145" s="364"/>
      <c r="U145" s="364"/>
      <c r="V145" s="364"/>
      <c r="W145" s="364"/>
      <c r="X145" s="365"/>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BI145" s="149"/>
      <c r="BJ145" s="14"/>
      <c r="BK145" s="14"/>
      <c r="BL145" s="14"/>
      <c r="BM145" s="14"/>
      <c r="BN145" s="150"/>
    </row>
    <row r="146" spans="2:66"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BL146</f>
        <v>0</v>
      </c>
      <c r="AQ146" s="253"/>
      <c r="AR146" s="253"/>
      <c r="AS146" s="254"/>
      <c r="AT146" s="20"/>
      <c r="BI146" s="151" t="s">
        <v>37</v>
      </c>
      <c r="BJ146" s="152"/>
      <c r="BK146" s="152"/>
      <c r="BL146" s="358">
        <f>IF(I140="",0,ROUNDUP(BL143+BL144,0))</f>
        <v>0</v>
      </c>
      <c r="BM146" s="358"/>
      <c r="BN146" s="359"/>
    </row>
    <row r="147" spans="2:66"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BI147" s="12" t="s">
        <v>619</v>
      </c>
    </row>
    <row r="148" spans="2:66"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BI148" s="346" t="str">
        <f>IF(Basics!$U$37="NO",IF(J150="","",J150&amp;"; "),IF(J150="","",J150&amp;"; ")&amp;IF(J151="","",J151&amp;"; ")&amp;IF(J152="","",J152&amp;"; ")&amp;IF(J153="","",J153&amp;"; "))</f>
        <v/>
      </c>
      <c r="BJ148" s="347"/>
      <c r="BK148" s="347"/>
      <c r="BL148" s="347"/>
      <c r="BM148" s="347"/>
      <c r="BN148" s="348"/>
    </row>
    <row r="149" spans="2:66"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BI149" s="349"/>
      <c r="BJ149" s="334"/>
      <c r="BK149" s="334"/>
      <c r="BL149" s="334"/>
      <c r="BM149" s="334"/>
      <c r="BN149" s="350"/>
    </row>
    <row r="150" spans="2:66"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BI150" s="349"/>
      <c r="BJ150" s="334"/>
      <c r="BK150" s="334"/>
      <c r="BL150" s="334"/>
      <c r="BM150" s="334"/>
      <c r="BN150" s="350"/>
    </row>
    <row r="151" spans="2:66"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BI151" s="349"/>
      <c r="BJ151" s="334"/>
      <c r="BK151" s="334"/>
      <c r="BL151" s="334"/>
      <c r="BM151" s="334"/>
      <c r="BN151" s="350"/>
    </row>
    <row r="152" spans="2:66"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BI152" s="349"/>
      <c r="BJ152" s="334"/>
      <c r="BK152" s="334"/>
      <c r="BL152" s="334"/>
      <c r="BM152" s="334"/>
      <c r="BN152" s="350"/>
    </row>
    <row r="153" spans="2:66"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BI153" s="349"/>
      <c r="BJ153" s="334"/>
      <c r="BK153" s="334"/>
      <c r="BL153" s="334"/>
      <c r="BM153" s="334"/>
      <c r="BN153" s="350"/>
    </row>
    <row r="154" spans="2:66"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BI154" s="351"/>
      <c r="BJ154" s="352"/>
      <c r="BK154" s="352"/>
      <c r="BL154" s="352"/>
      <c r="BM154" s="352"/>
      <c r="BN154" s="353"/>
    </row>
    <row r="155" spans="2:66" ht="13.5" customHeight="1" thickBot="1"/>
    <row r="156" spans="2:66"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66"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BI157" s="147" t="s">
        <v>850</v>
      </c>
      <c r="BJ157" s="148"/>
      <c r="BK157" s="148"/>
      <c r="BL157" s="354">
        <f>AP157+AP158-ABS(AP159)</f>
        <v>0</v>
      </c>
      <c r="BM157" s="354"/>
      <c r="BN157" s="355"/>
    </row>
    <row r="158" spans="2:66"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BI158" s="149" t="s">
        <v>851</v>
      </c>
      <c r="BJ158" s="14"/>
      <c r="BK158" s="14"/>
      <c r="BL158" s="356" t="str">
        <f>IF(I158="Custom","TRUE","FALSE")</f>
        <v>FALSE</v>
      </c>
      <c r="BM158" s="356"/>
      <c r="BN158" s="357"/>
    </row>
    <row r="159" spans="2:66" ht="13.5" customHeight="1" thickBot="1">
      <c r="B159" s="18"/>
      <c r="C159" s="19" t="s">
        <v>394</v>
      </c>
      <c r="D159" s="19"/>
      <c r="E159" s="19"/>
      <c r="F159" s="19"/>
      <c r="G159" s="19"/>
      <c r="H159" s="19"/>
      <c r="I159" s="373" t="str">
        <f>IF(I158="","",VLOOKUP(I158,PowerEffectsChart,33,FALSE))</f>
        <v/>
      </c>
      <c r="J159" s="272"/>
      <c r="K159" s="272"/>
      <c r="L159" s="374"/>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BI159" s="149" t="s">
        <v>852</v>
      </c>
      <c r="BJ159" s="14"/>
      <c r="BK159" s="14"/>
      <c r="BL159" s="356" t="str">
        <f>IF(I157="","",IF(BL157&gt;0,BL157,IF(BL158="TRUE",BL157,VLOOKUP(BL157,$BP$28:$BT$36,3,FALSE))))</f>
        <v/>
      </c>
      <c r="BM159" s="356"/>
      <c r="BN159" s="357"/>
    </row>
    <row r="160" spans="2:66" ht="13.5" customHeight="1" thickBot="1">
      <c r="B160" s="18"/>
      <c r="C160" s="19" t="s">
        <v>395</v>
      </c>
      <c r="D160" s="19"/>
      <c r="E160" s="19"/>
      <c r="F160" s="19"/>
      <c r="G160" s="19"/>
      <c r="H160" s="19"/>
      <c r="I160" s="360" t="str">
        <f>IF(I158="","",VLOOKUP(I158,PowerEffectsChart,38,FALSE))</f>
        <v/>
      </c>
      <c r="J160" s="361"/>
      <c r="K160" s="361"/>
      <c r="L160" s="361"/>
      <c r="M160" s="361"/>
      <c r="N160" s="361"/>
      <c r="O160" s="361"/>
      <c r="P160" s="361"/>
      <c r="Q160" s="361"/>
      <c r="R160" s="361"/>
      <c r="S160" s="361"/>
      <c r="T160" s="361"/>
      <c r="U160" s="361"/>
      <c r="V160" s="361"/>
      <c r="W160" s="361"/>
      <c r="X160" s="362"/>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BI160" s="149" t="s">
        <v>853</v>
      </c>
      <c r="BJ160" s="14"/>
      <c r="BK160" s="14"/>
      <c r="BL160" s="356" t="str">
        <f>IF(I157="","",AP160*BL159)</f>
        <v/>
      </c>
      <c r="BM160" s="356"/>
      <c r="BN160" s="357"/>
    </row>
    <row r="161" spans="2:66" ht="13.5" customHeight="1" thickBot="1">
      <c r="B161" s="18"/>
      <c r="C161" s="19"/>
      <c r="D161" s="19"/>
      <c r="E161" s="19"/>
      <c r="F161" s="19"/>
      <c r="G161" s="19"/>
      <c r="H161" s="19"/>
      <c r="I161" s="363"/>
      <c r="J161" s="364"/>
      <c r="K161" s="364"/>
      <c r="L161" s="364"/>
      <c r="M161" s="364"/>
      <c r="N161" s="364"/>
      <c r="O161" s="364"/>
      <c r="P161" s="364"/>
      <c r="Q161" s="364"/>
      <c r="R161" s="364"/>
      <c r="S161" s="364"/>
      <c r="T161" s="364"/>
      <c r="U161" s="364"/>
      <c r="V161" s="364"/>
      <c r="W161" s="364"/>
      <c r="X161" s="365"/>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BI161" s="149" t="s">
        <v>423</v>
      </c>
      <c r="BJ161" s="14"/>
      <c r="BK161" s="14"/>
      <c r="BL161" s="356">
        <f>AP161</f>
        <v>0</v>
      </c>
      <c r="BM161" s="356"/>
      <c r="BN161" s="357"/>
    </row>
    <row r="162" spans="2:66" ht="13.5" customHeight="1" thickBot="1">
      <c r="B162" s="18"/>
      <c r="C162" s="19"/>
      <c r="D162" s="19"/>
      <c r="E162" s="19"/>
      <c r="F162" s="19"/>
      <c r="G162" s="19"/>
      <c r="H162" s="19"/>
      <c r="I162" s="363"/>
      <c r="J162" s="364"/>
      <c r="K162" s="364"/>
      <c r="L162" s="364"/>
      <c r="M162" s="364"/>
      <c r="N162" s="364"/>
      <c r="O162" s="364"/>
      <c r="P162" s="364"/>
      <c r="Q162" s="364"/>
      <c r="R162" s="364"/>
      <c r="S162" s="364"/>
      <c r="T162" s="364"/>
      <c r="U162" s="364"/>
      <c r="V162" s="364"/>
      <c r="W162" s="364"/>
      <c r="X162" s="365"/>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BI162" s="149"/>
      <c r="BJ162" s="14"/>
      <c r="BK162" s="14"/>
      <c r="BL162" s="14"/>
      <c r="BM162" s="14"/>
      <c r="BN162" s="150"/>
    </row>
    <row r="163" spans="2:66"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BL163</f>
        <v>0</v>
      </c>
      <c r="AQ163" s="253"/>
      <c r="AR163" s="253"/>
      <c r="AS163" s="254"/>
      <c r="AT163" s="20"/>
      <c r="BI163" s="151" t="s">
        <v>37</v>
      </c>
      <c r="BJ163" s="152"/>
      <c r="BK163" s="152"/>
      <c r="BL163" s="358">
        <f>IF(I157="",0,ROUNDUP(BL160+BL161,0))</f>
        <v>0</v>
      </c>
      <c r="BM163" s="358"/>
      <c r="BN163" s="359"/>
    </row>
    <row r="164" spans="2:66"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BI164" s="12" t="s">
        <v>619</v>
      </c>
    </row>
    <row r="165" spans="2:66"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BI165" s="346" t="str">
        <f>IF(Basics!$U$37="NO",IF(J167="","",J167&amp;"; "),IF(J167="","",J167&amp;"; ")&amp;IF(J168="","",J168&amp;"; ")&amp;IF(J169="","",J169&amp;"; ")&amp;IF(J170="","",J170&amp;"; "))</f>
        <v/>
      </c>
      <c r="BJ165" s="347"/>
      <c r="BK165" s="347"/>
      <c r="BL165" s="347"/>
      <c r="BM165" s="347"/>
      <c r="BN165" s="348"/>
    </row>
    <row r="166" spans="2:66"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BI166" s="349"/>
      <c r="BJ166" s="334"/>
      <c r="BK166" s="334"/>
      <c r="BL166" s="334"/>
      <c r="BM166" s="334"/>
      <c r="BN166" s="350"/>
    </row>
    <row r="167" spans="2:66"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BI167" s="349"/>
      <c r="BJ167" s="334"/>
      <c r="BK167" s="334"/>
      <c r="BL167" s="334"/>
      <c r="BM167" s="334"/>
      <c r="BN167" s="350"/>
    </row>
    <row r="168" spans="2:66"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BI168" s="349"/>
      <c r="BJ168" s="334"/>
      <c r="BK168" s="334"/>
      <c r="BL168" s="334"/>
      <c r="BM168" s="334"/>
      <c r="BN168" s="350"/>
    </row>
    <row r="169" spans="2:66"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BI169" s="349"/>
      <c r="BJ169" s="334"/>
      <c r="BK169" s="334"/>
      <c r="BL169" s="334"/>
      <c r="BM169" s="334"/>
      <c r="BN169" s="350"/>
    </row>
    <row r="170" spans="2:66"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BI170" s="349"/>
      <c r="BJ170" s="334"/>
      <c r="BK170" s="334"/>
      <c r="BL170" s="334"/>
      <c r="BM170" s="334"/>
      <c r="BN170" s="350"/>
    </row>
    <row r="171" spans="2:66"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BI171" s="351"/>
      <c r="BJ171" s="352"/>
      <c r="BK171" s="352"/>
      <c r="BL171" s="352"/>
      <c r="BM171" s="352"/>
      <c r="BN171" s="353"/>
    </row>
    <row r="172" spans="2:66" ht="13.5" customHeight="1" thickBot="1"/>
    <row r="173" spans="2:66"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66"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BI174" s="147" t="s">
        <v>850</v>
      </c>
      <c r="BJ174" s="148"/>
      <c r="BK174" s="148"/>
      <c r="BL174" s="354">
        <f>AP174+AP175-ABS(AP176)</f>
        <v>0</v>
      </c>
      <c r="BM174" s="354"/>
      <c r="BN174" s="355"/>
    </row>
    <row r="175" spans="2:66"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BI175" s="149" t="s">
        <v>851</v>
      </c>
      <c r="BJ175" s="14"/>
      <c r="BK175" s="14"/>
      <c r="BL175" s="356" t="str">
        <f>IF(I175="Custom","TRUE","FALSE")</f>
        <v>FALSE</v>
      </c>
      <c r="BM175" s="356"/>
      <c r="BN175" s="357"/>
    </row>
    <row r="176" spans="2:66" ht="13.5" customHeight="1" thickBot="1">
      <c r="B176" s="18"/>
      <c r="C176" s="19" t="s">
        <v>394</v>
      </c>
      <c r="D176" s="19"/>
      <c r="E176" s="19"/>
      <c r="F176" s="19"/>
      <c r="G176" s="19"/>
      <c r="H176" s="19"/>
      <c r="I176" s="373" t="str">
        <f>IF(I175="","",VLOOKUP(I175,PowerEffectsChart,33,FALSE))</f>
        <v/>
      </c>
      <c r="J176" s="272"/>
      <c r="K176" s="272"/>
      <c r="L176" s="374"/>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BI176" s="149" t="s">
        <v>852</v>
      </c>
      <c r="BJ176" s="14"/>
      <c r="BK176" s="14"/>
      <c r="BL176" s="356" t="str">
        <f>IF(I174="","",IF(BL174&gt;0,BL174,IF(BL175="TRUE",BL174,VLOOKUP(BL174,$BP$28:$BT$36,3,FALSE))))</f>
        <v/>
      </c>
      <c r="BM176" s="356"/>
      <c r="BN176" s="357"/>
    </row>
    <row r="177" spans="2:66" ht="13.5" customHeight="1" thickBot="1">
      <c r="B177" s="18"/>
      <c r="C177" s="19" t="s">
        <v>395</v>
      </c>
      <c r="D177" s="19"/>
      <c r="E177" s="19"/>
      <c r="F177" s="19"/>
      <c r="G177" s="19"/>
      <c r="H177" s="19"/>
      <c r="I177" s="360" t="str">
        <f>IF(I175="","",VLOOKUP(I175,PowerEffectsChart,38,FALSE))</f>
        <v/>
      </c>
      <c r="J177" s="361"/>
      <c r="K177" s="361"/>
      <c r="L177" s="361"/>
      <c r="M177" s="361"/>
      <c r="N177" s="361"/>
      <c r="O177" s="361"/>
      <c r="P177" s="361"/>
      <c r="Q177" s="361"/>
      <c r="R177" s="361"/>
      <c r="S177" s="361"/>
      <c r="T177" s="361"/>
      <c r="U177" s="361"/>
      <c r="V177" s="361"/>
      <c r="W177" s="361"/>
      <c r="X177" s="362"/>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BI177" s="149" t="s">
        <v>853</v>
      </c>
      <c r="BJ177" s="14"/>
      <c r="BK177" s="14"/>
      <c r="BL177" s="356" t="str">
        <f>IF(I174="","",AP177*BL176)</f>
        <v/>
      </c>
      <c r="BM177" s="356"/>
      <c r="BN177" s="357"/>
    </row>
    <row r="178" spans="2:66" ht="13.5" customHeight="1" thickBot="1">
      <c r="B178" s="18"/>
      <c r="C178" s="19"/>
      <c r="D178" s="19"/>
      <c r="E178" s="19"/>
      <c r="F178" s="19"/>
      <c r="G178" s="19"/>
      <c r="H178" s="19"/>
      <c r="I178" s="363"/>
      <c r="J178" s="364"/>
      <c r="K178" s="364"/>
      <c r="L178" s="364"/>
      <c r="M178" s="364"/>
      <c r="N178" s="364"/>
      <c r="O178" s="364"/>
      <c r="P178" s="364"/>
      <c r="Q178" s="364"/>
      <c r="R178" s="364"/>
      <c r="S178" s="364"/>
      <c r="T178" s="364"/>
      <c r="U178" s="364"/>
      <c r="V178" s="364"/>
      <c r="W178" s="364"/>
      <c r="X178" s="365"/>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BI178" s="149" t="s">
        <v>423</v>
      </c>
      <c r="BJ178" s="14"/>
      <c r="BK178" s="14"/>
      <c r="BL178" s="356">
        <f>AP178</f>
        <v>0</v>
      </c>
      <c r="BM178" s="356"/>
      <c r="BN178" s="357"/>
    </row>
    <row r="179" spans="2:66" ht="13.5" customHeight="1" thickBot="1">
      <c r="B179" s="18"/>
      <c r="C179" s="19"/>
      <c r="D179" s="19"/>
      <c r="E179" s="19"/>
      <c r="F179" s="19"/>
      <c r="G179" s="19"/>
      <c r="H179" s="19"/>
      <c r="I179" s="363"/>
      <c r="J179" s="364"/>
      <c r="K179" s="364"/>
      <c r="L179" s="364"/>
      <c r="M179" s="364"/>
      <c r="N179" s="364"/>
      <c r="O179" s="364"/>
      <c r="P179" s="364"/>
      <c r="Q179" s="364"/>
      <c r="R179" s="364"/>
      <c r="S179" s="364"/>
      <c r="T179" s="364"/>
      <c r="U179" s="364"/>
      <c r="V179" s="364"/>
      <c r="W179" s="364"/>
      <c r="X179" s="365"/>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BI179" s="149"/>
      <c r="BJ179" s="14"/>
      <c r="BK179" s="14"/>
      <c r="BL179" s="14"/>
      <c r="BM179" s="14"/>
      <c r="BN179" s="150"/>
    </row>
    <row r="180" spans="2:66"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BL180</f>
        <v>0</v>
      </c>
      <c r="AQ180" s="253"/>
      <c r="AR180" s="253"/>
      <c r="AS180" s="254"/>
      <c r="AT180" s="20"/>
      <c r="BI180" s="151" t="s">
        <v>37</v>
      </c>
      <c r="BJ180" s="152"/>
      <c r="BK180" s="152"/>
      <c r="BL180" s="358">
        <f>IF(I174="",0,ROUNDUP(BL177+BL178,0))</f>
        <v>0</v>
      </c>
      <c r="BM180" s="358"/>
      <c r="BN180" s="359"/>
    </row>
    <row r="181" spans="2:66"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BI181" s="12" t="s">
        <v>619</v>
      </c>
    </row>
    <row r="182" spans="2:66"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BI182" s="346" t="str">
        <f>IF(Basics!$U$37="NO",IF(J184="","",J184&amp;"; "),IF(J184="","",J184&amp;"; ")&amp;IF(J185="","",J185&amp;"; ")&amp;IF(J186="","",J186&amp;"; ")&amp;IF(J187="","",J187&amp;"; "))</f>
        <v/>
      </c>
      <c r="BJ182" s="347"/>
      <c r="BK182" s="347"/>
      <c r="BL182" s="347"/>
      <c r="BM182" s="347"/>
      <c r="BN182" s="348"/>
    </row>
    <row r="183" spans="2:66"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BI183" s="349"/>
      <c r="BJ183" s="334"/>
      <c r="BK183" s="334"/>
      <c r="BL183" s="334"/>
      <c r="BM183" s="334"/>
      <c r="BN183" s="350"/>
    </row>
    <row r="184" spans="2:66"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BI184" s="349"/>
      <c r="BJ184" s="334"/>
      <c r="BK184" s="334"/>
      <c r="BL184" s="334"/>
      <c r="BM184" s="334"/>
      <c r="BN184" s="350"/>
    </row>
    <row r="185" spans="2:66"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BI185" s="349"/>
      <c r="BJ185" s="334"/>
      <c r="BK185" s="334"/>
      <c r="BL185" s="334"/>
      <c r="BM185" s="334"/>
      <c r="BN185" s="350"/>
    </row>
    <row r="186" spans="2:66"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BI186" s="349"/>
      <c r="BJ186" s="334"/>
      <c r="BK186" s="334"/>
      <c r="BL186" s="334"/>
      <c r="BM186" s="334"/>
      <c r="BN186" s="350"/>
    </row>
    <row r="187" spans="2:66"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BI187" s="349"/>
      <c r="BJ187" s="334"/>
      <c r="BK187" s="334"/>
      <c r="BL187" s="334"/>
      <c r="BM187" s="334"/>
      <c r="BN187" s="350"/>
    </row>
    <row r="188" spans="2:66"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BI188" s="351"/>
      <c r="BJ188" s="352"/>
      <c r="BK188" s="352"/>
      <c r="BL188" s="352"/>
      <c r="BM188" s="352"/>
      <c r="BN188" s="353"/>
    </row>
    <row r="189" spans="2:66" ht="13.5" customHeight="1" thickBot="1"/>
    <row r="190" spans="2:66"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66"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BI191" s="147" t="s">
        <v>850</v>
      </c>
      <c r="BJ191" s="148"/>
      <c r="BK191" s="148"/>
      <c r="BL191" s="354">
        <f>AP191+AP192-ABS(AP193)</f>
        <v>0</v>
      </c>
      <c r="BM191" s="354"/>
      <c r="BN191" s="355"/>
    </row>
    <row r="192" spans="2:66"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BI192" s="149" t="s">
        <v>851</v>
      </c>
      <c r="BJ192" s="14"/>
      <c r="BK192" s="14"/>
      <c r="BL192" s="356" t="str">
        <f>IF(I192="Custom","TRUE","FALSE")</f>
        <v>FALSE</v>
      </c>
      <c r="BM192" s="356"/>
      <c r="BN192" s="357"/>
    </row>
    <row r="193" spans="2:66" ht="13.5" customHeight="1" thickBot="1">
      <c r="B193" s="18"/>
      <c r="C193" s="19" t="s">
        <v>394</v>
      </c>
      <c r="D193" s="19"/>
      <c r="E193" s="19"/>
      <c r="F193" s="19"/>
      <c r="G193" s="19"/>
      <c r="H193" s="19"/>
      <c r="I193" s="373" t="str">
        <f>IF(I192="","",VLOOKUP(I192,PowerEffectsChart,33,FALSE))</f>
        <v/>
      </c>
      <c r="J193" s="272"/>
      <c r="K193" s="272"/>
      <c r="L193" s="374"/>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BI193" s="149" t="s">
        <v>852</v>
      </c>
      <c r="BJ193" s="14"/>
      <c r="BK193" s="14"/>
      <c r="BL193" s="356" t="str">
        <f>IF(I191="","",IF(BL191&gt;0,BL191,IF(BL192="TRUE",BL191,VLOOKUP(BL191,$BP$28:$BT$36,3,FALSE))))</f>
        <v/>
      </c>
      <c r="BM193" s="356"/>
      <c r="BN193" s="357"/>
    </row>
    <row r="194" spans="2:66" ht="13.5" customHeight="1" thickBot="1">
      <c r="B194" s="18"/>
      <c r="C194" s="19" t="s">
        <v>395</v>
      </c>
      <c r="D194" s="19"/>
      <c r="E194" s="19"/>
      <c r="F194" s="19"/>
      <c r="G194" s="19"/>
      <c r="H194" s="19"/>
      <c r="I194" s="360" t="str">
        <f>IF(I192="","",VLOOKUP(I192,PowerEffectsChart,38,FALSE))</f>
        <v/>
      </c>
      <c r="J194" s="361"/>
      <c r="K194" s="361"/>
      <c r="L194" s="361"/>
      <c r="M194" s="361"/>
      <c r="N194" s="361"/>
      <c r="O194" s="361"/>
      <c r="P194" s="361"/>
      <c r="Q194" s="361"/>
      <c r="R194" s="361"/>
      <c r="S194" s="361"/>
      <c r="T194" s="361"/>
      <c r="U194" s="361"/>
      <c r="V194" s="361"/>
      <c r="W194" s="361"/>
      <c r="X194" s="362"/>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BI194" s="149" t="s">
        <v>853</v>
      </c>
      <c r="BJ194" s="14"/>
      <c r="BK194" s="14"/>
      <c r="BL194" s="356" t="str">
        <f>IF(I191="","",AP194*BL193)</f>
        <v/>
      </c>
      <c r="BM194" s="356"/>
      <c r="BN194" s="357"/>
    </row>
    <row r="195" spans="2:66" ht="13.5" customHeight="1" thickBot="1">
      <c r="B195" s="18"/>
      <c r="C195" s="19"/>
      <c r="D195" s="19"/>
      <c r="E195" s="19"/>
      <c r="F195" s="19"/>
      <c r="G195" s="19"/>
      <c r="H195" s="19"/>
      <c r="I195" s="363"/>
      <c r="J195" s="364"/>
      <c r="K195" s="364"/>
      <c r="L195" s="364"/>
      <c r="M195" s="364"/>
      <c r="N195" s="364"/>
      <c r="O195" s="364"/>
      <c r="P195" s="364"/>
      <c r="Q195" s="364"/>
      <c r="R195" s="364"/>
      <c r="S195" s="364"/>
      <c r="T195" s="364"/>
      <c r="U195" s="364"/>
      <c r="V195" s="364"/>
      <c r="W195" s="364"/>
      <c r="X195" s="365"/>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BI195" s="149" t="s">
        <v>423</v>
      </c>
      <c r="BJ195" s="14"/>
      <c r="BK195" s="14"/>
      <c r="BL195" s="356">
        <f>AP195</f>
        <v>0</v>
      </c>
      <c r="BM195" s="356"/>
      <c r="BN195" s="357"/>
    </row>
    <row r="196" spans="2:66" ht="13.5" customHeight="1" thickBot="1">
      <c r="B196" s="18"/>
      <c r="C196" s="19"/>
      <c r="D196" s="19"/>
      <c r="E196" s="19"/>
      <c r="F196" s="19"/>
      <c r="G196" s="19"/>
      <c r="H196" s="19"/>
      <c r="I196" s="363"/>
      <c r="J196" s="364"/>
      <c r="K196" s="364"/>
      <c r="L196" s="364"/>
      <c r="M196" s="364"/>
      <c r="N196" s="364"/>
      <c r="O196" s="364"/>
      <c r="P196" s="364"/>
      <c r="Q196" s="364"/>
      <c r="R196" s="364"/>
      <c r="S196" s="364"/>
      <c r="T196" s="364"/>
      <c r="U196" s="364"/>
      <c r="V196" s="364"/>
      <c r="W196" s="364"/>
      <c r="X196" s="365"/>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BI196" s="149"/>
      <c r="BJ196" s="14"/>
      <c r="BK196" s="14"/>
      <c r="BL196" s="14"/>
      <c r="BM196" s="14"/>
      <c r="BN196" s="150"/>
    </row>
    <row r="197" spans="2:66"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BL197</f>
        <v>0</v>
      </c>
      <c r="AQ197" s="253"/>
      <c r="AR197" s="253"/>
      <c r="AS197" s="254"/>
      <c r="AT197" s="20"/>
      <c r="BI197" s="151" t="s">
        <v>37</v>
      </c>
      <c r="BJ197" s="152"/>
      <c r="BK197" s="152"/>
      <c r="BL197" s="358">
        <f>IF(I191="",0,ROUNDUP(BL194+BL195,0))</f>
        <v>0</v>
      </c>
      <c r="BM197" s="358"/>
      <c r="BN197" s="359"/>
    </row>
    <row r="198" spans="2:66"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BI198" s="12" t="s">
        <v>619</v>
      </c>
    </row>
    <row r="199" spans="2:66"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BI199" s="346" t="str">
        <f>IF(Basics!$U$37="NO",IF(J201="","",J201&amp;"; "),IF(J201="","",J201&amp;"; ")&amp;IF(J202="","",J202&amp;"; ")&amp;IF(J203="","",J203&amp;"; ")&amp;IF(J204="","",J204&amp;"; "))</f>
        <v/>
      </c>
      <c r="BJ199" s="347"/>
      <c r="BK199" s="347"/>
      <c r="BL199" s="347"/>
      <c r="BM199" s="347"/>
      <c r="BN199" s="348"/>
    </row>
    <row r="200" spans="2:66"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BI200" s="349"/>
      <c r="BJ200" s="334"/>
      <c r="BK200" s="334"/>
      <c r="BL200" s="334"/>
      <c r="BM200" s="334"/>
      <c r="BN200" s="350"/>
    </row>
    <row r="201" spans="2:66"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BI201" s="349"/>
      <c r="BJ201" s="334"/>
      <c r="BK201" s="334"/>
      <c r="BL201" s="334"/>
      <c r="BM201" s="334"/>
      <c r="BN201" s="350"/>
    </row>
    <row r="202" spans="2:66"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BI202" s="349"/>
      <c r="BJ202" s="334"/>
      <c r="BK202" s="334"/>
      <c r="BL202" s="334"/>
      <c r="BM202" s="334"/>
      <c r="BN202" s="350"/>
    </row>
    <row r="203" spans="2:66"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BI203" s="349"/>
      <c r="BJ203" s="334"/>
      <c r="BK203" s="334"/>
      <c r="BL203" s="334"/>
      <c r="BM203" s="334"/>
      <c r="BN203" s="350"/>
    </row>
    <row r="204" spans="2:66"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BI204" s="349"/>
      <c r="BJ204" s="334"/>
      <c r="BK204" s="334"/>
      <c r="BL204" s="334"/>
      <c r="BM204" s="334"/>
      <c r="BN204" s="350"/>
    </row>
    <row r="205" spans="2:66"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BI205" s="351"/>
      <c r="BJ205" s="352"/>
      <c r="BK205" s="352"/>
      <c r="BL205" s="352"/>
      <c r="BM205" s="352"/>
      <c r="BN205" s="353"/>
    </row>
    <row r="206" spans="2:66" ht="13.5" customHeight="1" thickBot="1"/>
    <row r="207" spans="2:66"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66"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BI208" s="147" t="s">
        <v>850</v>
      </c>
      <c r="BJ208" s="148"/>
      <c r="BK208" s="148"/>
      <c r="BL208" s="354">
        <f>AP208+AP209-ABS(AP210)</f>
        <v>0</v>
      </c>
      <c r="BM208" s="354"/>
      <c r="BN208" s="355"/>
    </row>
    <row r="209" spans="2:66"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BI209" s="149" t="s">
        <v>851</v>
      </c>
      <c r="BJ209" s="14"/>
      <c r="BK209" s="14"/>
      <c r="BL209" s="356" t="str">
        <f>IF(I209="Custom","TRUE","FALSE")</f>
        <v>FALSE</v>
      </c>
      <c r="BM209" s="356"/>
      <c r="BN209" s="357"/>
    </row>
    <row r="210" spans="2:66" ht="13.5" customHeight="1" thickBot="1">
      <c r="B210" s="18"/>
      <c r="C210" s="19" t="s">
        <v>394</v>
      </c>
      <c r="D210" s="19"/>
      <c r="E210" s="19"/>
      <c r="F210" s="19"/>
      <c r="G210" s="19"/>
      <c r="H210" s="19"/>
      <c r="I210" s="373" t="str">
        <f>IF(I209="","",VLOOKUP(I209,PowerEffectsChart,33,FALSE))</f>
        <v/>
      </c>
      <c r="J210" s="272"/>
      <c r="K210" s="272"/>
      <c r="L210" s="374"/>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BI210" s="149" t="s">
        <v>852</v>
      </c>
      <c r="BJ210" s="14"/>
      <c r="BK210" s="14"/>
      <c r="BL210" s="356" t="str">
        <f>IF(I208="","",IF(BL208&gt;0,BL208,IF(BL209="TRUE",BL208,VLOOKUP(BL208,$BP$28:$BT$36,3,FALSE))))</f>
        <v/>
      </c>
      <c r="BM210" s="356"/>
      <c r="BN210" s="357"/>
    </row>
    <row r="211" spans="2:66" ht="13.5" customHeight="1" thickBot="1">
      <c r="B211" s="18"/>
      <c r="C211" s="19" t="s">
        <v>395</v>
      </c>
      <c r="D211" s="19"/>
      <c r="E211" s="19"/>
      <c r="F211" s="19"/>
      <c r="G211" s="19"/>
      <c r="H211" s="19"/>
      <c r="I211" s="360" t="str">
        <f>IF(I209="","",VLOOKUP(I209,PowerEffectsChart,38,FALSE))</f>
        <v/>
      </c>
      <c r="J211" s="361"/>
      <c r="K211" s="361"/>
      <c r="L211" s="361"/>
      <c r="M211" s="361"/>
      <c r="N211" s="361"/>
      <c r="O211" s="361"/>
      <c r="P211" s="361"/>
      <c r="Q211" s="361"/>
      <c r="R211" s="361"/>
      <c r="S211" s="361"/>
      <c r="T211" s="361"/>
      <c r="U211" s="361"/>
      <c r="V211" s="361"/>
      <c r="W211" s="361"/>
      <c r="X211" s="362"/>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BI211" s="149" t="s">
        <v>853</v>
      </c>
      <c r="BJ211" s="14"/>
      <c r="BK211" s="14"/>
      <c r="BL211" s="356" t="str">
        <f>IF(I208="","",AP211*BL210)</f>
        <v/>
      </c>
      <c r="BM211" s="356"/>
      <c r="BN211" s="357"/>
    </row>
    <row r="212" spans="2:66" ht="13.5" customHeight="1" thickBot="1">
      <c r="B212" s="18"/>
      <c r="C212" s="19"/>
      <c r="D212" s="19"/>
      <c r="E212" s="19"/>
      <c r="F212" s="19"/>
      <c r="G212" s="19"/>
      <c r="H212" s="19"/>
      <c r="I212" s="363"/>
      <c r="J212" s="364"/>
      <c r="K212" s="364"/>
      <c r="L212" s="364"/>
      <c r="M212" s="364"/>
      <c r="N212" s="364"/>
      <c r="O212" s="364"/>
      <c r="P212" s="364"/>
      <c r="Q212" s="364"/>
      <c r="R212" s="364"/>
      <c r="S212" s="364"/>
      <c r="T212" s="364"/>
      <c r="U212" s="364"/>
      <c r="V212" s="364"/>
      <c r="W212" s="364"/>
      <c r="X212" s="365"/>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BI212" s="149" t="s">
        <v>423</v>
      </c>
      <c r="BJ212" s="14"/>
      <c r="BK212" s="14"/>
      <c r="BL212" s="356">
        <f>AP212</f>
        <v>0</v>
      </c>
      <c r="BM212" s="356"/>
      <c r="BN212" s="357"/>
    </row>
    <row r="213" spans="2:66" ht="13.5" customHeight="1" thickBot="1">
      <c r="B213" s="18"/>
      <c r="C213" s="19"/>
      <c r="D213" s="19"/>
      <c r="E213" s="19"/>
      <c r="F213" s="19"/>
      <c r="G213" s="19"/>
      <c r="H213" s="19"/>
      <c r="I213" s="363"/>
      <c r="J213" s="364"/>
      <c r="K213" s="364"/>
      <c r="L213" s="364"/>
      <c r="M213" s="364"/>
      <c r="N213" s="364"/>
      <c r="O213" s="364"/>
      <c r="P213" s="364"/>
      <c r="Q213" s="364"/>
      <c r="R213" s="364"/>
      <c r="S213" s="364"/>
      <c r="T213" s="364"/>
      <c r="U213" s="364"/>
      <c r="V213" s="364"/>
      <c r="W213" s="364"/>
      <c r="X213" s="365"/>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BI213" s="149"/>
      <c r="BJ213" s="14"/>
      <c r="BK213" s="14"/>
      <c r="BL213" s="14"/>
      <c r="BM213" s="14"/>
      <c r="BN213" s="150"/>
    </row>
    <row r="214" spans="2:66"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BL214</f>
        <v>0</v>
      </c>
      <c r="AQ214" s="253"/>
      <c r="AR214" s="253"/>
      <c r="AS214" s="254"/>
      <c r="AT214" s="20"/>
      <c r="BI214" s="151" t="s">
        <v>37</v>
      </c>
      <c r="BJ214" s="152"/>
      <c r="BK214" s="152"/>
      <c r="BL214" s="358">
        <f>IF(I208="",0,ROUNDUP(BL211+BL212,0))</f>
        <v>0</v>
      </c>
      <c r="BM214" s="358"/>
      <c r="BN214" s="359"/>
    </row>
    <row r="215" spans="2:66"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BI215" s="12" t="s">
        <v>619</v>
      </c>
    </row>
    <row r="216" spans="2:66"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BI216" s="346" t="str">
        <f>IF(Basics!$U$37="NO",IF(J218="","",J218&amp;"; "),IF(J218="","",J218&amp;"; ")&amp;IF(J219="","",J219&amp;"; ")&amp;IF(J220="","",J220&amp;"; ")&amp;IF(J221="","",J221&amp;"; "))</f>
        <v/>
      </c>
      <c r="BJ216" s="347"/>
      <c r="BK216" s="347"/>
      <c r="BL216" s="347"/>
      <c r="BM216" s="347"/>
      <c r="BN216" s="348"/>
    </row>
    <row r="217" spans="2:66"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BI217" s="349"/>
      <c r="BJ217" s="334"/>
      <c r="BK217" s="334"/>
      <c r="BL217" s="334"/>
      <c r="BM217" s="334"/>
      <c r="BN217" s="350"/>
    </row>
    <row r="218" spans="2:66"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BI218" s="349"/>
      <c r="BJ218" s="334"/>
      <c r="BK218" s="334"/>
      <c r="BL218" s="334"/>
      <c r="BM218" s="334"/>
      <c r="BN218" s="350"/>
    </row>
    <row r="219" spans="2:66"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BI219" s="349"/>
      <c r="BJ219" s="334"/>
      <c r="BK219" s="334"/>
      <c r="BL219" s="334"/>
      <c r="BM219" s="334"/>
      <c r="BN219" s="350"/>
    </row>
    <row r="220" spans="2:66"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BI220" s="349"/>
      <c r="BJ220" s="334"/>
      <c r="BK220" s="334"/>
      <c r="BL220" s="334"/>
      <c r="BM220" s="334"/>
      <c r="BN220" s="350"/>
    </row>
    <row r="221" spans="2:66"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BI221" s="349"/>
      <c r="BJ221" s="334"/>
      <c r="BK221" s="334"/>
      <c r="BL221" s="334"/>
      <c r="BM221" s="334"/>
      <c r="BN221" s="350"/>
    </row>
    <row r="222" spans="2:66"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BI222" s="351"/>
      <c r="BJ222" s="352"/>
      <c r="BK222" s="352"/>
      <c r="BL222" s="352"/>
      <c r="BM222" s="352"/>
      <c r="BN222" s="353"/>
    </row>
    <row r="223" spans="2:66" ht="13.5" customHeight="1" thickBot="1"/>
    <row r="224" spans="2:66"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66"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BI225" s="147" t="s">
        <v>850</v>
      </c>
      <c r="BJ225" s="148"/>
      <c r="BK225" s="148"/>
      <c r="BL225" s="354">
        <f>AP225+AP226-ABS(AP227)</f>
        <v>0</v>
      </c>
      <c r="BM225" s="354"/>
      <c r="BN225" s="355"/>
    </row>
    <row r="226" spans="2:66"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BI226" s="149" t="s">
        <v>851</v>
      </c>
      <c r="BJ226" s="14"/>
      <c r="BK226" s="14"/>
      <c r="BL226" s="356" t="str">
        <f>IF(I226="Custom","TRUE","FALSE")</f>
        <v>FALSE</v>
      </c>
      <c r="BM226" s="356"/>
      <c r="BN226" s="357"/>
    </row>
    <row r="227" spans="2:66" ht="13.5" customHeight="1" thickBot="1">
      <c r="B227" s="18"/>
      <c r="C227" s="19" t="s">
        <v>394</v>
      </c>
      <c r="D227" s="19"/>
      <c r="E227" s="19"/>
      <c r="F227" s="19"/>
      <c r="G227" s="19"/>
      <c r="H227" s="19"/>
      <c r="I227" s="373" t="str">
        <f>IF(I226="","",VLOOKUP(I226,PowerEffectsChart,33,FALSE))</f>
        <v/>
      </c>
      <c r="J227" s="272"/>
      <c r="K227" s="272"/>
      <c r="L227" s="374"/>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BI227" s="149" t="s">
        <v>852</v>
      </c>
      <c r="BJ227" s="14"/>
      <c r="BK227" s="14"/>
      <c r="BL227" s="356" t="str">
        <f>IF(I225="","",IF(BL225&gt;0,BL225,IF(BL226="TRUE",BL225,VLOOKUP(BL225,$BP$28:$BT$36,3,FALSE))))</f>
        <v/>
      </c>
      <c r="BM227" s="356"/>
      <c r="BN227" s="357"/>
    </row>
    <row r="228" spans="2:66" ht="13.5" customHeight="1" thickBot="1">
      <c r="B228" s="18"/>
      <c r="C228" s="19" t="s">
        <v>395</v>
      </c>
      <c r="D228" s="19"/>
      <c r="E228" s="19"/>
      <c r="F228" s="19"/>
      <c r="G228" s="19"/>
      <c r="H228" s="19"/>
      <c r="I228" s="360" t="str">
        <f>IF(I226="","",VLOOKUP(I226,PowerEffectsChart,38,FALSE))</f>
        <v/>
      </c>
      <c r="J228" s="361"/>
      <c r="K228" s="361"/>
      <c r="L228" s="361"/>
      <c r="M228" s="361"/>
      <c r="N228" s="361"/>
      <c r="O228" s="361"/>
      <c r="P228" s="361"/>
      <c r="Q228" s="361"/>
      <c r="R228" s="361"/>
      <c r="S228" s="361"/>
      <c r="T228" s="361"/>
      <c r="U228" s="361"/>
      <c r="V228" s="361"/>
      <c r="W228" s="361"/>
      <c r="X228" s="362"/>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BI228" s="149" t="s">
        <v>853</v>
      </c>
      <c r="BJ228" s="14"/>
      <c r="BK228" s="14"/>
      <c r="BL228" s="356" t="str">
        <f>IF(I225="","",AP228*BL227)</f>
        <v/>
      </c>
      <c r="BM228" s="356"/>
      <c r="BN228" s="357"/>
    </row>
    <row r="229" spans="2:66" ht="13.5" customHeight="1" thickBot="1">
      <c r="B229" s="18"/>
      <c r="C229" s="19"/>
      <c r="D229" s="19"/>
      <c r="E229" s="19"/>
      <c r="F229" s="19"/>
      <c r="G229" s="19"/>
      <c r="H229" s="19"/>
      <c r="I229" s="363"/>
      <c r="J229" s="364"/>
      <c r="K229" s="364"/>
      <c r="L229" s="364"/>
      <c r="M229" s="364"/>
      <c r="N229" s="364"/>
      <c r="O229" s="364"/>
      <c r="P229" s="364"/>
      <c r="Q229" s="364"/>
      <c r="R229" s="364"/>
      <c r="S229" s="364"/>
      <c r="T229" s="364"/>
      <c r="U229" s="364"/>
      <c r="V229" s="364"/>
      <c r="W229" s="364"/>
      <c r="X229" s="365"/>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BI229" s="149" t="s">
        <v>423</v>
      </c>
      <c r="BJ229" s="14"/>
      <c r="BK229" s="14"/>
      <c r="BL229" s="356">
        <f>AP229</f>
        <v>0</v>
      </c>
      <c r="BM229" s="356"/>
      <c r="BN229" s="357"/>
    </row>
    <row r="230" spans="2:66" ht="13.5" customHeight="1" thickBot="1">
      <c r="B230" s="18"/>
      <c r="C230" s="19"/>
      <c r="D230" s="19"/>
      <c r="E230" s="19"/>
      <c r="F230" s="19"/>
      <c r="G230" s="19"/>
      <c r="H230" s="19"/>
      <c r="I230" s="363"/>
      <c r="J230" s="364"/>
      <c r="K230" s="364"/>
      <c r="L230" s="364"/>
      <c r="M230" s="364"/>
      <c r="N230" s="364"/>
      <c r="O230" s="364"/>
      <c r="P230" s="364"/>
      <c r="Q230" s="364"/>
      <c r="R230" s="364"/>
      <c r="S230" s="364"/>
      <c r="T230" s="364"/>
      <c r="U230" s="364"/>
      <c r="V230" s="364"/>
      <c r="W230" s="364"/>
      <c r="X230" s="365"/>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BI230" s="149"/>
      <c r="BJ230" s="14"/>
      <c r="BK230" s="14"/>
      <c r="BL230" s="14"/>
      <c r="BM230" s="14"/>
      <c r="BN230" s="150"/>
    </row>
    <row r="231" spans="2:66"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BL231</f>
        <v>0</v>
      </c>
      <c r="AQ231" s="253"/>
      <c r="AR231" s="253"/>
      <c r="AS231" s="254"/>
      <c r="AT231" s="20"/>
      <c r="BI231" s="151" t="s">
        <v>37</v>
      </c>
      <c r="BJ231" s="152"/>
      <c r="BK231" s="152"/>
      <c r="BL231" s="358">
        <f>IF(I225="",0,ROUNDUP(BL228+BL229,0))</f>
        <v>0</v>
      </c>
      <c r="BM231" s="358"/>
      <c r="BN231" s="359"/>
    </row>
    <row r="232" spans="2:66"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BI232" s="12" t="s">
        <v>619</v>
      </c>
    </row>
    <row r="233" spans="2:66"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BI233" s="346" t="str">
        <f>IF(Basics!$U$37="NO",IF(J235="","",J235&amp;"; "),IF(J235="","",J235&amp;"; ")&amp;IF(J236="","",J236&amp;"; ")&amp;IF(J237="","",J237&amp;"; ")&amp;IF(J238="","",J238&amp;"; "))</f>
        <v/>
      </c>
      <c r="BJ233" s="347"/>
      <c r="BK233" s="347"/>
      <c r="BL233" s="347"/>
      <c r="BM233" s="347"/>
      <c r="BN233" s="348"/>
    </row>
    <row r="234" spans="2:66"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BI234" s="349"/>
      <c r="BJ234" s="334"/>
      <c r="BK234" s="334"/>
      <c r="BL234" s="334"/>
      <c r="BM234" s="334"/>
      <c r="BN234" s="350"/>
    </row>
    <row r="235" spans="2:66"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BI235" s="349"/>
      <c r="BJ235" s="334"/>
      <c r="BK235" s="334"/>
      <c r="BL235" s="334"/>
      <c r="BM235" s="334"/>
      <c r="BN235" s="350"/>
    </row>
    <row r="236" spans="2:66"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BI236" s="349"/>
      <c r="BJ236" s="334"/>
      <c r="BK236" s="334"/>
      <c r="BL236" s="334"/>
      <c r="BM236" s="334"/>
      <c r="BN236" s="350"/>
    </row>
    <row r="237" spans="2:66"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BI237" s="349"/>
      <c r="BJ237" s="334"/>
      <c r="BK237" s="334"/>
      <c r="BL237" s="334"/>
      <c r="BM237" s="334"/>
      <c r="BN237" s="350"/>
    </row>
    <row r="238" spans="2:66"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BI238" s="349"/>
      <c r="BJ238" s="334"/>
      <c r="BK238" s="334"/>
      <c r="BL238" s="334"/>
      <c r="BM238" s="334"/>
      <c r="BN238" s="350"/>
    </row>
    <row r="239" spans="2:66"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BI239" s="351"/>
      <c r="BJ239" s="352"/>
      <c r="BK239" s="352"/>
      <c r="BL239" s="352"/>
      <c r="BM239" s="352"/>
      <c r="BN239" s="353"/>
    </row>
    <row r="240" spans="2:66" ht="13.5" customHeight="1" thickBot="1"/>
    <row r="241" spans="2:66"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66"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BI242" s="147" t="s">
        <v>850</v>
      </c>
      <c r="BJ242" s="148"/>
      <c r="BK242" s="148"/>
      <c r="BL242" s="354">
        <f>AP242+AP243-ABS(AP244)</f>
        <v>0</v>
      </c>
      <c r="BM242" s="354"/>
      <c r="BN242" s="355"/>
    </row>
    <row r="243" spans="2:66"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BI243" s="149" t="s">
        <v>851</v>
      </c>
      <c r="BJ243" s="14"/>
      <c r="BK243" s="14"/>
      <c r="BL243" s="356" t="str">
        <f>IF(I243="Custom","TRUE","FALSE")</f>
        <v>FALSE</v>
      </c>
      <c r="BM243" s="356"/>
      <c r="BN243" s="357"/>
    </row>
    <row r="244" spans="2:66" ht="13.5" customHeight="1" thickBot="1">
      <c r="B244" s="18"/>
      <c r="C244" s="19" t="s">
        <v>394</v>
      </c>
      <c r="D244" s="19"/>
      <c r="E244" s="19"/>
      <c r="F244" s="19"/>
      <c r="G244" s="19"/>
      <c r="H244" s="19"/>
      <c r="I244" s="373" t="str">
        <f>IF(I243="","",VLOOKUP(I243,PowerEffectsChart,33,FALSE))</f>
        <v/>
      </c>
      <c r="J244" s="272"/>
      <c r="K244" s="272"/>
      <c r="L244" s="374"/>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BI244" s="149" t="s">
        <v>852</v>
      </c>
      <c r="BJ244" s="14"/>
      <c r="BK244" s="14"/>
      <c r="BL244" s="356" t="str">
        <f>IF(I242="","",IF(BL242&gt;0,BL242,IF(BL243="TRUE",BL242,VLOOKUP(BL242,$BP$28:$BT$36,3,FALSE))))</f>
        <v/>
      </c>
      <c r="BM244" s="356"/>
      <c r="BN244" s="357"/>
    </row>
    <row r="245" spans="2:66" ht="13.5" customHeight="1" thickBot="1">
      <c r="B245" s="18"/>
      <c r="C245" s="19" t="s">
        <v>395</v>
      </c>
      <c r="D245" s="19"/>
      <c r="E245" s="19"/>
      <c r="F245" s="19"/>
      <c r="G245" s="19"/>
      <c r="H245" s="19"/>
      <c r="I245" s="360" t="str">
        <f>IF(I243="","",VLOOKUP(I243,PowerEffectsChart,38,FALSE))</f>
        <v/>
      </c>
      <c r="J245" s="361"/>
      <c r="K245" s="361"/>
      <c r="L245" s="361"/>
      <c r="M245" s="361"/>
      <c r="N245" s="361"/>
      <c r="O245" s="361"/>
      <c r="P245" s="361"/>
      <c r="Q245" s="361"/>
      <c r="R245" s="361"/>
      <c r="S245" s="361"/>
      <c r="T245" s="361"/>
      <c r="U245" s="361"/>
      <c r="V245" s="361"/>
      <c r="W245" s="361"/>
      <c r="X245" s="362"/>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BI245" s="149" t="s">
        <v>853</v>
      </c>
      <c r="BJ245" s="14"/>
      <c r="BK245" s="14"/>
      <c r="BL245" s="356" t="str">
        <f>IF(I242="","",AP245*BL244)</f>
        <v/>
      </c>
      <c r="BM245" s="356"/>
      <c r="BN245" s="357"/>
    </row>
    <row r="246" spans="2:66" ht="13.5" customHeight="1" thickBot="1">
      <c r="B246" s="18"/>
      <c r="C246" s="19"/>
      <c r="D246" s="19"/>
      <c r="E246" s="19"/>
      <c r="F246" s="19"/>
      <c r="G246" s="19"/>
      <c r="H246" s="19"/>
      <c r="I246" s="363"/>
      <c r="J246" s="364"/>
      <c r="K246" s="364"/>
      <c r="L246" s="364"/>
      <c r="M246" s="364"/>
      <c r="N246" s="364"/>
      <c r="O246" s="364"/>
      <c r="P246" s="364"/>
      <c r="Q246" s="364"/>
      <c r="R246" s="364"/>
      <c r="S246" s="364"/>
      <c r="T246" s="364"/>
      <c r="U246" s="364"/>
      <c r="V246" s="364"/>
      <c r="W246" s="364"/>
      <c r="X246" s="365"/>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BI246" s="149" t="s">
        <v>423</v>
      </c>
      <c r="BJ246" s="14"/>
      <c r="BK246" s="14"/>
      <c r="BL246" s="356">
        <f>AP246</f>
        <v>0</v>
      </c>
      <c r="BM246" s="356"/>
      <c r="BN246" s="357"/>
    </row>
    <row r="247" spans="2:66" ht="13.5" customHeight="1" thickBot="1">
      <c r="B247" s="18"/>
      <c r="C247" s="19"/>
      <c r="D247" s="19"/>
      <c r="E247" s="19"/>
      <c r="F247" s="19"/>
      <c r="G247" s="19"/>
      <c r="H247" s="19"/>
      <c r="I247" s="363"/>
      <c r="J247" s="364"/>
      <c r="K247" s="364"/>
      <c r="L247" s="364"/>
      <c r="M247" s="364"/>
      <c r="N247" s="364"/>
      <c r="O247" s="364"/>
      <c r="P247" s="364"/>
      <c r="Q247" s="364"/>
      <c r="R247" s="364"/>
      <c r="S247" s="364"/>
      <c r="T247" s="364"/>
      <c r="U247" s="364"/>
      <c r="V247" s="364"/>
      <c r="W247" s="364"/>
      <c r="X247" s="365"/>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BI247" s="149"/>
      <c r="BJ247" s="14"/>
      <c r="BK247" s="14"/>
      <c r="BL247" s="14"/>
      <c r="BM247" s="14"/>
      <c r="BN247" s="150"/>
    </row>
    <row r="248" spans="2:66"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BL248</f>
        <v>0</v>
      </c>
      <c r="AQ248" s="253"/>
      <c r="AR248" s="253"/>
      <c r="AS248" s="254"/>
      <c r="AT248" s="20"/>
      <c r="BI248" s="151" t="s">
        <v>37</v>
      </c>
      <c r="BJ248" s="152"/>
      <c r="BK248" s="152"/>
      <c r="BL248" s="358">
        <f>IF(I242="",0,ROUNDUP(BL245+BL246,0))</f>
        <v>0</v>
      </c>
      <c r="BM248" s="358"/>
      <c r="BN248" s="359"/>
    </row>
    <row r="249" spans="2:66"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BI249" s="12" t="s">
        <v>619</v>
      </c>
    </row>
    <row r="250" spans="2:66"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BI250" s="346" t="str">
        <f>IF(Basics!$U$37="NO",IF(J252="","",J252&amp;"; "),IF(J252="","",J252&amp;"; ")&amp;IF(J253="","",J253&amp;"; ")&amp;IF(J254="","",J254&amp;"; ")&amp;IF(J255="","",J255&amp;"; "))</f>
        <v/>
      </c>
      <c r="BJ250" s="347"/>
      <c r="BK250" s="347"/>
      <c r="BL250" s="347"/>
      <c r="BM250" s="347"/>
      <c r="BN250" s="348"/>
    </row>
    <row r="251" spans="2:66"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BI251" s="349"/>
      <c r="BJ251" s="334"/>
      <c r="BK251" s="334"/>
      <c r="BL251" s="334"/>
      <c r="BM251" s="334"/>
      <c r="BN251" s="350"/>
    </row>
    <row r="252" spans="2:66"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BI252" s="349"/>
      <c r="BJ252" s="334"/>
      <c r="BK252" s="334"/>
      <c r="BL252" s="334"/>
      <c r="BM252" s="334"/>
      <c r="BN252" s="350"/>
    </row>
    <row r="253" spans="2:66"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BI253" s="349"/>
      <c r="BJ253" s="334"/>
      <c r="BK253" s="334"/>
      <c r="BL253" s="334"/>
      <c r="BM253" s="334"/>
      <c r="BN253" s="350"/>
    </row>
    <row r="254" spans="2:66"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BI254" s="349"/>
      <c r="BJ254" s="334"/>
      <c r="BK254" s="334"/>
      <c r="BL254" s="334"/>
      <c r="BM254" s="334"/>
      <c r="BN254" s="350"/>
    </row>
    <row r="255" spans="2:66"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BI255" s="349"/>
      <c r="BJ255" s="334"/>
      <c r="BK255" s="334"/>
      <c r="BL255" s="334"/>
      <c r="BM255" s="334"/>
      <c r="BN255" s="350"/>
    </row>
    <row r="256" spans="2:66"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BI256" s="351"/>
      <c r="BJ256" s="352"/>
      <c r="BK256" s="352"/>
      <c r="BL256" s="352"/>
      <c r="BM256" s="352"/>
      <c r="BN256" s="353"/>
    </row>
    <row r="257" spans="2:66" ht="13.5" customHeight="1" thickBot="1"/>
    <row r="258" spans="2:66" ht="13.5" customHeight="1" thickBot="1">
      <c r="B258" s="15"/>
      <c r="C258" s="16"/>
      <c r="D258" s="16"/>
      <c r="E258" s="16"/>
      <c r="F258" s="16"/>
      <c r="G258" s="16"/>
      <c r="H258" s="16"/>
      <c r="I258" s="16"/>
      <c r="J258" s="16"/>
      <c r="K258" s="16"/>
      <c r="L258" s="16"/>
      <c r="M258" s="16"/>
      <c r="N258" s="16"/>
      <c r="O258" s="16"/>
      <c r="P258" s="16"/>
      <c r="Q258" s="16"/>
      <c r="R258" s="16"/>
      <c r="S258" s="16"/>
      <c r="T258" s="16"/>
      <c r="U258" s="163"/>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66"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BI259" s="147" t="s">
        <v>850</v>
      </c>
      <c r="BJ259" s="148"/>
      <c r="BK259" s="148"/>
      <c r="BL259" s="354">
        <f>AP259+AP260-ABS(AP261)</f>
        <v>0</v>
      </c>
      <c r="BM259" s="354"/>
      <c r="BN259" s="355"/>
    </row>
    <row r="260" spans="2:66"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BI260" s="149" t="s">
        <v>851</v>
      </c>
      <c r="BJ260" s="14"/>
      <c r="BK260" s="14"/>
      <c r="BL260" s="356" t="str">
        <f>IF(I260="Custom","TRUE","FALSE")</f>
        <v>FALSE</v>
      </c>
      <c r="BM260" s="356"/>
      <c r="BN260" s="357"/>
    </row>
    <row r="261" spans="2:66" ht="13.5" customHeight="1" thickBot="1">
      <c r="B261" s="18"/>
      <c r="C261" s="19" t="s">
        <v>394</v>
      </c>
      <c r="D261" s="19"/>
      <c r="E261" s="19"/>
      <c r="F261" s="19"/>
      <c r="G261" s="19"/>
      <c r="H261" s="19"/>
      <c r="I261" s="373" t="str">
        <f>IF(I260="","",VLOOKUP(I260,PowerEffectsChart,33,FALSE))</f>
        <v/>
      </c>
      <c r="J261" s="272"/>
      <c r="K261" s="272"/>
      <c r="L261" s="374"/>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BI261" s="149" t="s">
        <v>852</v>
      </c>
      <c r="BJ261" s="14"/>
      <c r="BK261" s="14"/>
      <c r="BL261" s="356" t="str">
        <f>IF(I259="","",IF(BL259&gt;0,BL259,IF(BL260="TRUE",BL259,VLOOKUP(BL259,$BP$28:$BT$36,3,FALSE))))</f>
        <v/>
      </c>
      <c r="BM261" s="356"/>
      <c r="BN261" s="357"/>
    </row>
    <row r="262" spans="2:66" ht="13.5" customHeight="1" thickBot="1">
      <c r="B262" s="18"/>
      <c r="C262" s="19" t="s">
        <v>395</v>
      </c>
      <c r="D262" s="19"/>
      <c r="E262" s="19"/>
      <c r="F262" s="19"/>
      <c r="G262" s="19"/>
      <c r="H262" s="19"/>
      <c r="I262" s="360" t="str">
        <f>IF(I260="","",VLOOKUP(I260,PowerEffectsChart,38,FALSE))</f>
        <v/>
      </c>
      <c r="J262" s="361"/>
      <c r="K262" s="361"/>
      <c r="L262" s="361"/>
      <c r="M262" s="361"/>
      <c r="N262" s="361"/>
      <c r="O262" s="361"/>
      <c r="P262" s="361"/>
      <c r="Q262" s="361"/>
      <c r="R262" s="361"/>
      <c r="S262" s="361"/>
      <c r="T262" s="361"/>
      <c r="U262" s="361"/>
      <c r="V262" s="361"/>
      <c r="W262" s="361"/>
      <c r="X262" s="362"/>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BI262" s="149" t="s">
        <v>853</v>
      </c>
      <c r="BJ262" s="14"/>
      <c r="BK262" s="14"/>
      <c r="BL262" s="356" t="str">
        <f>IF(I259="","",AP262*BL261)</f>
        <v/>
      </c>
      <c r="BM262" s="356"/>
      <c r="BN262" s="357"/>
    </row>
    <row r="263" spans="2:66" ht="13.5" customHeight="1" thickBot="1">
      <c r="B263" s="18"/>
      <c r="C263" s="19"/>
      <c r="D263" s="19"/>
      <c r="E263" s="19"/>
      <c r="F263" s="19"/>
      <c r="G263" s="19"/>
      <c r="H263" s="19"/>
      <c r="I263" s="363"/>
      <c r="J263" s="364"/>
      <c r="K263" s="364"/>
      <c r="L263" s="364"/>
      <c r="M263" s="364"/>
      <c r="N263" s="364"/>
      <c r="O263" s="364"/>
      <c r="P263" s="364"/>
      <c r="Q263" s="364"/>
      <c r="R263" s="364"/>
      <c r="S263" s="364"/>
      <c r="T263" s="364"/>
      <c r="U263" s="364"/>
      <c r="V263" s="364"/>
      <c r="W263" s="364"/>
      <c r="X263" s="365"/>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BI263" s="149" t="s">
        <v>423</v>
      </c>
      <c r="BJ263" s="14"/>
      <c r="BK263" s="14"/>
      <c r="BL263" s="356">
        <f>AP263</f>
        <v>0</v>
      </c>
      <c r="BM263" s="356"/>
      <c r="BN263" s="357"/>
    </row>
    <row r="264" spans="2:66" ht="13.5" customHeight="1" thickBot="1">
      <c r="B264" s="18"/>
      <c r="C264" s="19"/>
      <c r="D264" s="19"/>
      <c r="E264" s="19"/>
      <c r="F264" s="19"/>
      <c r="G264" s="19"/>
      <c r="H264" s="19"/>
      <c r="I264" s="363"/>
      <c r="J264" s="364"/>
      <c r="K264" s="364"/>
      <c r="L264" s="364"/>
      <c r="M264" s="364"/>
      <c r="N264" s="364"/>
      <c r="O264" s="364"/>
      <c r="P264" s="364"/>
      <c r="Q264" s="364"/>
      <c r="R264" s="364"/>
      <c r="S264" s="364"/>
      <c r="T264" s="364"/>
      <c r="U264" s="364"/>
      <c r="V264" s="364"/>
      <c r="W264" s="364"/>
      <c r="X264" s="365"/>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BI264" s="149"/>
      <c r="BJ264" s="14"/>
      <c r="BK264" s="14"/>
      <c r="BL264" s="14"/>
      <c r="BM264" s="14"/>
      <c r="BN264" s="150"/>
    </row>
    <row r="265" spans="2:66"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BL265</f>
        <v>0</v>
      </c>
      <c r="AQ265" s="253"/>
      <c r="AR265" s="253"/>
      <c r="AS265" s="254"/>
      <c r="AT265" s="20"/>
      <c r="BI265" s="151" t="s">
        <v>37</v>
      </c>
      <c r="BJ265" s="152"/>
      <c r="BK265" s="152"/>
      <c r="BL265" s="358">
        <f>IF(I259="",0,ROUNDUP(BL262+BL263,0))</f>
        <v>0</v>
      </c>
      <c r="BM265" s="358"/>
      <c r="BN265" s="359"/>
    </row>
    <row r="266" spans="2:66"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BI266" s="12" t="s">
        <v>619</v>
      </c>
    </row>
    <row r="267" spans="2:66"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BI267" s="346" t="str">
        <f>IF(Basics!$U$37="NO",IF(J269="","",J269&amp;"; "),IF(J269="","",J269&amp;"; ")&amp;IF(J270="","",J270&amp;"; ")&amp;IF(J271="","",J271&amp;"; ")&amp;IF(J272="","",J272&amp;"; "))</f>
        <v/>
      </c>
      <c r="BJ267" s="347"/>
      <c r="BK267" s="347"/>
      <c r="BL267" s="347"/>
      <c r="BM267" s="347"/>
      <c r="BN267" s="348"/>
    </row>
    <row r="268" spans="2:66"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BI268" s="349"/>
      <c r="BJ268" s="334"/>
      <c r="BK268" s="334"/>
      <c r="BL268" s="334"/>
      <c r="BM268" s="334"/>
      <c r="BN268" s="350"/>
    </row>
    <row r="269" spans="2:66"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BI269" s="349"/>
      <c r="BJ269" s="334"/>
      <c r="BK269" s="334"/>
      <c r="BL269" s="334"/>
      <c r="BM269" s="334"/>
      <c r="BN269" s="350"/>
    </row>
    <row r="270" spans="2:66"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BI270" s="349"/>
      <c r="BJ270" s="334"/>
      <c r="BK270" s="334"/>
      <c r="BL270" s="334"/>
      <c r="BM270" s="334"/>
      <c r="BN270" s="350"/>
    </row>
    <row r="271" spans="2:66"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BI271" s="349"/>
      <c r="BJ271" s="334"/>
      <c r="BK271" s="334"/>
      <c r="BL271" s="334"/>
      <c r="BM271" s="334"/>
      <c r="BN271" s="350"/>
    </row>
    <row r="272" spans="2:66"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BI272" s="349"/>
      <c r="BJ272" s="334"/>
      <c r="BK272" s="334"/>
      <c r="BL272" s="334"/>
      <c r="BM272" s="334"/>
      <c r="BN272" s="350"/>
    </row>
    <row r="273" spans="2:66"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BI273" s="351"/>
      <c r="BJ273" s="352"/>
      <c r="BK273" s="352"/>
      <c r="BL273" s="352"/>
      <c r="BM273" s="352"/>
      <c r="BN273" s="353"/>
    </row>
    <row r="274" spans="2:66" ht="13.5" customHeight="1" thickBot="1"/>
    <row r="275" spans="2:66"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66"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BI276" s="147" t="s">
        <v>850</v>
      </c>
      <c r="BJ276" s="148"/>
      <c r="BK276" s="148"/>
      <c r="BL276" s="354">
        <f>AP276+AP277-ABS(AP278)</f>
        <v>0</v>
      </c>
      <c r="BM276" s="354"/>
      <c r="BN276" s="355"/>
    </row>
    <row r="277" spans="2:66"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BI277" s="149" t="s">
        <v>851</v>
      </c>
      <c r="BJ277" s="14"/>
      <c r="BK277" s="14"/>
      <c r="BL277" s="356" t="str">
        <f>IF(I277="Custom","TRUE","FALSE")</f>
        <v>FALSE</v>
      </c>
      <c r="BM277" s="356"/>
      <c r="BN277" s="357"/>
    </row>
    <row r="278" spans="2:66" ht="13.5" customHeight="1" thickBot="1">
      <c r="B278" s="18"/>
      <c r="C278" s="19" t="s">
        <v>394</v>
      </c>
      <c r="D278" s="19"/>
      <c r="E278" s="19"/>
      <c r="F278" s="19"/>
      <c r="G278" s="19"/>
      <c r="H278" s="19"/>
      <c r="I278" s="373" t="str">
        <f>IF(I277="","",VLOOKUP(I277,PowerEffectsChart,33,FALSE))</f>
        <v/>
      </c>
      <c r="J278" s="272"/>
      <c r="K278" s="272"/>
      <c r="L278" s="374"/>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BI278" s="149" t="s">
        <v>852</v>
      </c>
      <c r="BJ278" s="14"/>
      <c r="BK278" s="14"/>
      <c r="BL278" s="356" t="str">
        <f>IF(I276="","",IF(BL276&gt;0,BL276,IF(BL277="TRUE",BL276,VLOOKUP(BL276,$BP$28:$BT$36,3,FALSE))))</f>
        <v/>
      </c>
      <c r="BM278" s="356"/>
      <c r="BN278" s="357"/>
    </row>
    <row r="279" spans="2:66" ht="13.5" customHeight="1" thickBot="1">
      <c r="B279" s="18"/>
      <c r="C279" s="19" t="s">
        <v>395</v>
      </c>
      <c r="D279" s="19"/>
      <c r="E279" s="19"/>
      <c r="F279" s="19"/>
      <c r="G279" s="19"/>
      <c r="H279" s="19"/>
      <c r="I279" s="360" t="str">
        <f>IF(I277="","",VLOOKUP(I277,PowerEffectsChart,38,FALSE))</f>
        <v/>
      </c>
      <c r="J279" s="361"/>
      <c r="K279" s="361"/>
      <c r="L279" s="361"/>
      <c r="M279" s="361"/>
      <c r="N279" s="361"/>
      <c r="O279" s="361"/>
      <c r="P279" s="361"/>
      <c r="Q279" s="361"/>
      <c r="R279" s="361"/>
      <c r="S279" s="361"/>
      <c r="T279" s="361"/>
      <c r="U279" s="361"/>
      <c r="V279" s="361"/>
      <c r="W279" s="361"/>
      <c r="X279" s="362"/>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BI279" s="149" t="s">
        <v>853</v>
      </c>
      <c r="BJ279" s="14"/>
      <c r="BK279" s="14"/>
      <c r="BL279" s="356" t="str">
        <f>IF(I276="","",AP279*BL278)</f>
        <v/>
      </c>
      <c r="BM279" s="356"/>
      <c r="BN279" s="357"/>
    </row>
    <row r="280" spans="2:66" ht="13.5" customHeight="1" thickBot="1">
      <c r="B280" s="18"/>
      <c r="C280" s="19"/>
      <c r="D280" s="19"/>
      <c r="E280" s="19"/>
      <c r="F280" s="19"/>
      <c r="G280" s="19"/>
      <c r="H280" s="19"/>
      <c r="I280" s="363"/>
      <c r="J280" s="364"/>
      <c r="K280" s="364"/>
      <c r="L280" s="364"/>
      <c r="M280" s="364"/>
      <c r="N280" s="364"/>
      <c r="O280" s="364"/>
      <c r="P280" s="364"/>
      <c r="Q280" s="364"/>
      <c r="R280" s="364"/>
      <c r="S280" s="364"/>
      <c r="T280" s="364"/>
      <c r="U280" s="364"/>
      <c r="V280" s="364"/>
      <c r="W280" s="364"/>
      <c r="X280" s="365"/>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BI280" s="149" t="s">
        <v>423</v>
      </c>
      <c r="BJ280" s="14"/>
      <c r="BK280" s="14"/>
      <c r="BL280" s="356">
        <f>AP280</f>
        <v>0</v>
      </c>
      <c r="BM280" s="356"/>
      <c r="BN280" s="357"/>
    </row>
    <row r="281" spans="2:66" ht="13.5" customHeight="1" thickBot="1">
      <c r="B281" s="18"/>
      <c r="C281" s="19"/>
      <c r="D281" s="19"/>
      <c r="E281" s="19"/>
      <c r="F281" s="19"/>
      <c r="G281" s="19"/>
      <c r="H281" s="19"/>
      <c r="I281" s="363"/>
      <c r="J281" s="364"/>
      <c r="K281" s="364"/>
      <c r="L281" s="364"/>
      <c r="M281" s="364"/>
      <c r="N281" s="364"/>
      <c r="O281" s="364"/>
      <c r="P281" s="364"/>
      <c r="Q281" s="364"/>
      <c r="R281" s="364"/>
      <c r="S281" s="364"/>
      <c r="T281" s="364"/>
      <c r="U281" s="364"/>
      <c r="V281" s="364"/>
      <c r="W281" s="364"/>
      <c r="X281" s="365"/>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BI281" s="149"/>
      <c r="BJ281" s="14"/>
      <c r="BK281" s="14"/>
      <c r="BL281" s="14"/>
      <c r="BM281" s="14"/>
      <c r="BN281" s="150"/>
    </row>
    <row r="282" spans="2:66"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BL282</f>
        <v>0</v>
      </c>
      <c r="AQ282" s="253"/>
      <c r="AR282" s="253"/>
      <c r="AS282" s="254"/>
      <c r="AT282" s="20"/>
      <c r="BI282" s="151" t="s">
        <v>37</v>
      </c>
      <c r="BJ282" s="152"/>
      <c r="BK282" s="152"/>
      <c r="BL282" s="358">
        <f>IF(I276="",0,ROUNDUP(BL279+BL280,0))</f>
        <v>0</v>
      </c>
      <c r="BM282" s="358"/>
      <c r="BN282" s="359"/>
    </row>
    <row r="283" spans="2:66"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BI283" s="12" t="s">
        <v>619</v>
      </c>
    </row>
    <row r="284" spans="2:66"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BI284" s="346" t="str">
        <f>IF(Basics!$U$37="NO",IF(J286="","",J286&amp;"; "),IF(J286="","",J286&amp;"; ")&amp;IF(J287="","",J287&amp;"; ")&amp;IF(J288="","",J288&amp;"; ")&amp;IF(J289="","",J289&amp;"; "))</f>
        <v/>
      </c>
      <c r="BJ284" s="347"/>
      <c r="BK284" s="347"/>
      <c r="BL284" s="347"/>
      <c r="BM284" s="347"/>
      <c r="BN284" s="348"/>
    </row>
    <row r="285" spans="2:66"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BI285" s="349"/>
      <c r="BJ285" s="334"/>
      <c r="BK285" s="334"/>
      <c r="BL285" s="334"/>
      <c r="BM285" s="334"/>
      <c r="BN285" s="350"/>
    </row>
    <row r="286" spans="2:66"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BI286" s="349"/>
      <c r="BJ286" s="334"/>
      <c r="BK286" s="334"/>
      <c r="BL286" s="334"/>
      <c r="BM286" s="334"/>
      <c r="BN286" s="350"/>
    </row>
    <row r="287" spans="2:66"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BI287" s="349"/>
      <c r="BJ287" s="334"/>
      <c r="BK287" s="334"/>
      <c r="BL287" s="334"/>
      <c r="BM287" s="334"/>
      <c r="BN287" s="350"/>
    </row>
    <row r="288" spans="2:66"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BI288" s="349"/>
      <c r="BJ288" s="334"/>
      <c r="BK288" s="334"/>
      <c r="BL288" s="334"/>
      <c r="BM288" s="334"/>
      <c r="BN288" s="350"/>
    </row>
    <row r="289" spans="2:66"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BI289" s="349"/>
      <c r="BJ289" s="334"/>
      <c r="BK289" s="334"/>
      <c r="BL289" s="334"/>
      <c r="BM289" s="334"/>
      <c r="BN289" s="350"/>
    </row>
    <row r="290" spans="2:66"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BI290" s="351"/>
      <c r="BJ290" s="352"/>
      <c r="BK290" s="352"/>
      <c r="BL290" s="352"/>
      <c r="BM290" s="352"/>
      <c r="BN290" s="353"/>
    </row>
    <row r="291" spans="2:66" ht="13.5" customHeight="1" thickBot="1"/>
    <row r="292" spans="2:66"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66"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BI293" s="147" t="s">
        <v>850</v>
      </c>
      <c r="BJ293" s="148"/>
      <c r="BK293" s="148"/>
      <c r="BL293" s="354">
        <f>AP293+AP294-ABS(AP295)</f>
        <v>0</v>
      </c>
      <c r="BM293" s="354"/>
      <c r="BN293" s="355"/>
    </row>
    <row r="294" spans="2:66"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BI294" s="149" t="s">
        <v>851</v>
      </c>
      <c r="BJ294" s="14"/>
      <c r="BK294" s="14"/>
      <c r="BL294" s="356" t="str">
        <f>IF(I294="Custom","TRUE","FALSE")</f>
        <v>FALSE</v>
      </c>
      <c r="BM294" s="356"/>
      <c r="BN294" s="357"/>
    </row>
    <row r="295" spans="2:66" ht="13.5" customHeight="1" thickBot="1">
      <c r="B295" s="18"/>
      <c r="C295" s="19" t="s">
        <v>394</v>
      </c>
      <c r="D295" s="19"/>
      <c r="E295" s="19"/>
      <c r="F295" s="19"/>
      <c r="G295" s="19"/>
      <c r="H295" s="19"/>
      <c r="I295" s="373" t="str">
        <f>IF(I294="","",VLOOKUP(I294,PowerEffectsChart,33,FALSE))</f>
        <v/>
      </c>
      <c r="J295" s="272"/>
      <c r="K295" s="272"/>
      <c r="L295" s="374"/>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BI295" s="149" t="s">
        <v>852</v>
      </c>
      <c r="BJ295" s="14"/>
      <c r="BK295" s="14"/>
      <c r="BL295" s="356" t="str">
        <f>IF(I293="","",IF(BL293&gt;0,BL293,IF(BL294="TRUE",BL293,VLOOKUP(BL293,$BP$28:$BT$36,3,FALSE))))</f>
        <v/>
      </c>
      <c r="BM295" s="356"/>
      <c r="BN295" s="357"/>
    </row>
    <row r="296" spans="2:66" ht="13.5" customHeight="1" thickBot="1">
      <c r="B296" s="18"/>
      <c r="C296" s="19" t="s">
        <v>395</v>
      </c>
      <c r="D296" s="19"/>
      <c r="E296" s="19"/>
      <c r="F296" s="19"/>
      <c r="G296" s="19"/>
      <c r="H296" s="19"/>
      <c r="I296" s="360" t="str">
        <f>IF(I294="","",VLOOKUP(I294,PowerEffectsChart,38,FALSE))</f>
        <v/>
      </c>
      <c r="J296" s="361"/>
      <c r="K296" s="361"/>
      <c r="L296" s="361"/>
      <c r="M296" s="361"/>
      <c r="N296" s="361"/>
      <c r="O296" s="361"/>
      <c r="P296" s="361"/>
      <c r="Q296" s="361"/>
      <c r="R296" s="361"/>
      <c r="S296" s="361"/>
      <c r="T296" s="361"/>
      <c r="U296" s="361"/>
      <c r="V296" s="361"/>
      <c r="W296" s="361"/>
      <c r="X296" s="362"/>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BI296" s="149" t="s">
        <v>853</v>
      </c>
      <c r="BJ296" s="14"/>
      <c r="BK296" s="14"/>
      <c r="BL296" s="356" t="str">
        <f>IF(I293="","",AP296*BL295)</f>
        <v/>
      </c>
      <c r="BM296" s="356"/>
      <c r="BN296" s="357"/>
    </row>
    <row r="297" spans="2:66" ht="13.5" customHeight="1" thickBot="1">
      <c r="B297" s="18"/>
      <c r="C297" s="19"/>
      <c r="D297" s="19"/>
      <c r="E297" s="19"/>
      <c r="F297" s="19"/>
      <c r="G297" s="19"/>
      <c r="H297" s="19"/>
      <c r="I297" s="363"/>
      <c r="J297" s="364"/>
      <c r="K297" s="364"/>
      <c r="L297" s="364"/>
      <c r="M297" s="364"/>
      <c r="N297" s="364"/>
      <c r="O297" s="364"/>
      <c r="P297" s="364"/>
      <c r="Q297" s="364"/>
      <c r="R297" s="364"/>
      <c r="S297" s="364"/>
      <c r="T297" s="364"/>
      <c r="U297" s="364"/>
      <c r="V297" s="364"/>
      <c r="W297" s="364"/>
      <c r="X297" s="365"/>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BI297" s="149" t="s">
        <v>423</v>
      </c>
      <c r="BJ297" s="14"/>
      <c r="BK297" s="14"/>
      <c r="BL297" s="356">
        <f>AP297</f>
        <v>0</v>
      </c>
      <c r="BM297" s="356"/>
      <c r="BN297" s="357"/>
    </row>
    <row r="298" spans="2:66" ht="13.5" customHeight="1" thickBot="1">
      <c r="B298" s="18"/>
      <c r="C298" s="19"/>
      <c r="D298" s="19"/>
      <c r="E298" s="19"/>
      <c r="F298" s="19"/>
      <c r="G298" s="19"/>
      <c r="H298" s="19"/>
      <c r="I298" s="363"/>
      <c r="J298" s="364"/>
      <c r="K298" s="364"/>
      <c r="L298" s="364"/>
      <c r="M298" s="364"/>
      <c r="N298" s="364"/>
      <c r="O298" s="364"/>
      <c r="P298" s="364"/>
      <c r="Q298" s="364"/>
      <c r="R298" s="364"/>
      <c r="S298" s="364"/>
      <c r="T298" s="364"/>
      <c r="U298" s="364"/>
      <c r="V298" s="364"/>
      <c r="W298" s="364"/>
      <c r="X298" s="365"/>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BI298" s="149"/>
      <c r="BJ298" s="14"/>
      <c r="BK298" s="14"/>
      <c r="BL298" s="14"/>
      <c r="BM298" s="14"/>
      <c r="BN298" s="150"/>
    </row>
    <row r="299" spans="2:66"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BL299</f>
        <v>0</v>
      </c>
      <c r="AQ299" s="253"/>
      <c r="AR299" s="253"/>
      <c r="AS299" s="254"/>
      <c r="AT299" s="20"/>
      <c r="BI299" s="151" t="s">
        <v>37</v>
      </c>
      <c r="BJ299" s="152"/>
      <c r="BK299" s="152"/>
      <c r="BL299" s="358">
        <f>IF(I293="",0,ROUNDUP(BL296+BL297,0))</f>
        <v>0</v>
      </c>
      <c r="BM299" s="358"/>
      <c r="BN299" s="359"/>
    </row>
    <row r="300" spans="2:66"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BI300" s="12" t="s">
        <v>619</v>
      </c>
    </row>
    <row r="301" spans="2:66"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BI301" s="346" t="str">
        <f>IF(Basics!$U$37="NO",IF(J303="","",J303&amp;"; "),IF(J303="","",J303&amp;"; ")&amp;IF(J304="","",J304&amp;"; ")&amp;IF(J305="","",J305&amp;"; ")&amp;IF(J306="","",J306&amp;"; "))</f>
        <v/>
      </c>
      <c r="BJ301" s="347"/>
      <c r="BK301" s="347"/>
      <c r="BL301" s="347"/>
      <c r="BM301" s="347"/>
      <c r="BN301" s="348"/>
    </row>
    <row r="302" spans="2:66"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BI302" s="349"/>
      <c r="BJ302" s="334"/>
      <c r="BK302" s="334"/>
      <c r="BL302" s="334"/>
      <c r="BM302" s="334"/>
      <c r="BN302" s="350"/>
    </row>
    <row r="303" spans="2:66"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BI303" s="349"/>
      <c r="BJ303" s="334"/>
      <c r="BK303" s="334"/>
      <c r="BL303" s="334"/>
      <c r="BM303" s="334"/>
      <c r="BN303" s="350"/>
    </row>
    <row r="304" spans="2:66"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BI304" s="349"/>
      <c r="BJ304" s="334"/>
      <c r="BK304" s="334"/>
      <c r="BL304" s="334"/>
      <c r="BM304" s="334"/>
      <c r="BN304" s="350"/>
    </row>
    <row r="305" spans="2:66"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BI305" s="349"/>
      <c r="BJ305" s="334"/>
      <c r="BK305" s="334"/>
      <c r="BL305" s="334"/>
      <c r="BM305" s="334"/>
      <c r="BN305" s="350"/>
    </row>
    <row r="306" spans="2:66"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BI306" s="349"/>
      <c r="BJ306" s="334"/>
      <c r="BK306" s="334"/>
      <c r="BL306" s="334"/>
      <c r="BM306" s="334"/>
      <c r="BN306" s="350"/>
    </row>
    <row r="307" spans="2:66"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BI307" s="351"/>
      <c r="BJ307" s="352"/>
      <c r="BK307" s="352"/>
      <c r="BL307" s="352"/>
      <c r="BM307" s="352"/>
      <c r="BN307" s="353"/>
    </row>
    <row r="308" spans="2:66" ht="13.5" customHeight="1" thickBot="1"/>
    <row r="309" spans="2:66"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66"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BI310" s="147" t="s">
        <v>850</v>
      </c>
      <c r="BJ310" s="148"/>
      <c r="BK310" s="148"/>
      <c r="BL310" s="354">
        <f>AP310+AP311-ABS(AP312)</f>
        <v>0</v>
      </c>
      <c r="BM310" s="354"/>
      <c r="BN310" s="355"/>
    </row>
    <row r="311" spans="2:66"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BI311" s="149" t="s">
        <v>851</v>
      </c>
      <c r="BJ311" s="14"/>
      <c r="BK311" s="14"/>
      <c r="BL311" s="356" t="str">
        <f>IF(I311="Custom","TRUE","FALSE")</f>
        <v>FALSE</v>
      </c>
      <c r="BM311" s="356"/>
      <c r="BN311" s="357"/>
    </row>
    <row r="312" spans="2:66" ht="13.5" customHeight="1" thickBot="1">
      <c r="B312" s="18"/>
      <c r="C312" s="19" t="s">
        <v>394</v>
      </c>
      <c r="D312" s="19"/>
      <c r="E312" s="19"/>
      <c r="F312" s="19"/>
      <c r="G312" s="19"/>
      <c r="H312" s="19"/>
      <c r="I312" s="373" t="str">
        <f>IF(I311="","",VLOOKUP(I311,PowerEffectsChart,33,FALSE))</f>
        <v/>
      </c>
      <c r="J312" s="272"/>
      <c r="K312" s="272"/>
      <c r="L312" s="374"/>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BI312" s="149" t="s">
        <v>852</v>
      </c>
      <c r="BJ312" s="14"/>
      <c r="BK312" s="14"/>
      <c r="BL312" s="356" t="str">
        <f>IF(I310="","",IF(BL310&gt;0,BL310,IF(BL311="TRUE",BL310,VLOOKUP(BL310,$BP$28:$BT$36,3,FALSE))))</f>
        <v/>
      </c>
      <c r="BM312" s="356"/>
      <c r="BN312" s="357"/>
    </row>
    <row r="313" spans="2:66" ht="13.5" customHeight="1" thickBot="1">
      <c r="B313" s="18"/>
      <c r="C313" s="19" t="s">
        <v>395</v>
      </c>
      <c r="D313" s="19"/>
      <c r="E313" s="19"/>
      <c r="F313" s="19"/>
      <c r="G313" s="19"/>
      <c r="H313" s="19"/>
      <c r="I313" s="360" t="str">
        <f>IF(I311="","",VLOOKUP(I311,PowerEffectsChart,38,FALSE))</f>
        <v/>
      </c>
      <c r="J313" s="361"/>
      <c r="K313" s="361"/>
      <c r="L313" s="361"/>
      <c r="M313" s="361"/>
      <c r="N313" s="361"/>
      <c r="O313" s="361"/>
      <c r="P313" s="361"/>
      <c r="Q313" s="361"/>
      <c r="R313" s="361"/>
      <c r="S313" s="361"/>
      <c r="T313" s="361"/>
      <c r="U313" s="361"/>
      <c r="V313" s="361"/>
      <c r="W313" s="361"/>
      <c r="X313" s="362"/>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BI313" s="149" t="s">
        <v>853</v>
      </c>
      <c r="BJ313" s="14"/>
      <c r="BK313" s="14"/>
      <c r="BL313" s="356" t="str">
        <f>IF(I310="","",AP313*BL312)</f>
        <v/>
      </c>
      <c r="BM313" s="356"/>
      <c r="BN313" s="357"/>
    </row>
    <row r="314" spans="2:66" ht="13.5" customHeight="1" thickBot="1">
      <c r="B314" s="18"/>
      <c r="C314" s="19"/>
      <c r="D314" s="19"/>
      <c r="E314" s="19"/>
      <c r="F314" s="19"/>
      <c r="G314" s="19"/>
      <c r="H314" s="19"/>
      <c r="I314" s="363"/>
      <c r="J314" s="364"/>
      <c r="K314" s="364"/>
      <c r="L314" s="364"/>
      <c r="M314" s="364"/>
      <c r="N314" s="364"/>
      <c r="O314" s="364"/>
      <c r="P314" s="364"/>
      <c r="Q314" s="364"/>
      <c r="R314" s="364"/>
      <c r="S314" s="364"/>
      <c r="T314" s="364"/>
      <c r="U314" s="364"/>
      <c r="V314" s="364"/>
      <c r="W314" s="364"/>
      <c r="X314" s="365"/>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BI314" s="149" t="s">
        <v>423</v>
      </c>
      <c r="BJ314" s="14"/>
      <c r="BK314" s="14"/>
      <c r="BL314" s="356">
        <f>AP314</f>
        <v>0</v>
      </c>
      <c r="BM314" s="356"/>
      <c r="BN314" s="357"/>
    </row>
    <row r="315" spans="2:66" ht="13.5" customHeight="1" thickBot="1">
      <c r="B315" s="18"/>
      <c r="C315" s="19"/>
      <c r="D315" s="19"/>
      <c r="E315" s="19"/>
      <c r="F315" s="19"/>
      <c r="G315" s="19"/>
      <c r="H315" s="19"/>
      <c r="I315" s="363"/>
      <c r="J315" s="364"/>
      <c r="K315" s="364"/>
      <c r="L315" s="364"/>
      <c r="M315" s="364"/>
      <c r="N315" s="364"/>
      <c r="O315" s="364"/>
      <c r="P315" s="364"/>
      <c r="Q315" s="364"/>
      <c r="R315" s="364"/>
      <c r="S315" s="364"/>
      <c r="T315" s="364"/>
      <c r="U315" s="364"/>
      <c r="V315" s="364"/>
      <c r="W315" s="364"/>
      <c r="X315" s="365"/>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BI315" s="149"/>
      <c r="BJ315" s="14"/>
      <c r="BK315" s="14"/>
      <c r="BL315" s="14"/>
      <c r="BM315" s="14"/>
      <c r="BN315" s="150"/>
    </row>
    <row r="316" spans="2:66"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BL316</f>
        <v>0</v>
      </c>
      <c r="AQ316" s="253"/>
      <c r="AR316" s="253"/>
      <c r="AS316" s="254"/>
      <c r="AT316" s="20"/>
      <c r="BI316" s="151" t="s">
        <v>37</v>
      </c>
      <c r="BJ316" s="152"/>
      <c r="BK316" s="152"/>
      <c r="BL316" s="358">
        <f>IF(I310="",0,ROUNDUP(BL313+BL314,0))</f>
        <v>0</v>
      </c>
      <c r="BM316" s="358"/>
      <c r="BN316" s="359"/>
    </row>
    <row r="317" spans="2:66"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BI317" s="12" t="s">
        <v>619</v>
      </c>
    </row>
    <row r="318" spans="2:66"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BI318" s="346" t="str">
        <f>IF(Basics!$U$37="NO",IF(J320="","",J320&amp;"; "),IF(J320="","",J320&amp;"; ")&amp;IF(J321="","",J321&amp;"; ")&amp;IF(J322="","",J322&amp;"; ")&amp;IF(J323="","",J323&amp;"; "))</f>
        <v/>
      </c>
      <c r="BJ318" s="347"/>
      <c r="BK318" s="347"/>
      <c r="BL318" s="347"/>
      <c r="BM318" s="347"/>
      <c r="BN318" s="348"/>
    </row>
    <row r="319" spans="2:66"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BI319" s="349"/>
      <c r="BJ319" s="334"/>
      <c r="BK319" s="334"/>
      <c r="BL319" s="334"/>
      <c r="BM319" s="334"/>
      <c r="BN319" s="350"/>
    </row>
    <row r="320" spans="2:66"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BI320" s="349"/>
      <c r="BJ320" s="334"/>
      <c r="BK320" s="334"/>
      <c r="BL320" s="334"/>
      <c r="BM320" s="334"/>
      <c r="BN320" s="350"/>
    </row>
    <row r="321" spans="2:66"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BI321" s="349"/>
      <c r="BJ321" s="334"/>
      <c r="BK321" s="334"/>
      <c r="BL321" s="334"/>
      <c r="BM321" s="334"/>
      <c r="BN321" s="350"/>
    </row>
    <row r="322" spans="2:66"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BI322" s="349"/>
      <c r="BJ322" s="334"/>
      <c r="BK322" s="334"/>
      <c r="BL322" s="334"/>
      <c r="BM322" s="334"/>
      <c r="BN322" s="350"/>
    </row>
    <row r="323" spans="2:66"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BI323" s="349"/>
      <c r="BJ323" s="334"/>
      <c r="BK323" s="334"/>
      <c r="BL323" s="334"/>
      <c r="BM323" s="334"/>
      <c r="BN323" s="350"/>
    </row>
    <row r="324" spans="2:66"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BI324" s="351"/>
      <c r="BJ324" s="352"/>
      <c r="BK324" s="352"/>
      <c r="BL324" s="352"/>
      <c r="BM324" s="352"/>
      <c r="BN324" s="353"/>
    </row>
    <row r="325" spans="2:66" ht="13.5" customHeight="1" thickBot="1"/>
    <row r="326" spans="2:66"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66"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BI327" s="147" t="s">
        <v>850</v>
      </c>
      <c r="BJ327" s="148"/>
      <c r="BK327" s="148"/>
      <c r="BL327" s="354">
        <f>AP327+AP328-ABS(AP329)</f>
        <v>0</v>
      </c>
      <c r="BM327" s="354"/>
      <c r="BN327" s="355"/>
    </row>
    <row r="328" spans="2:66"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BI328" s="149" t="s">
        <v>851</v>
      </c>
      <c r="BJ328" s="14"/>
      <c r="BK328" s="14"/>
      <c r="BL328" s="356" t="str">
        <f>IF(I328="Custom","TRUE","FALSE")</f>
        <v>FALSE</v>
      </c>
      <c r="BM328" s="356"/>
      <c r="BN328" s="357"/>
    </row>
    <row r="329" spans="2:66" ht="13.5" customHeight="1" thickBot="1">
      <c r="B329" s="18"/>
      <c r="C329" s="19" t="s">
        <v>394</v>
      </c>
      <c r="D329" s="19"/>
      <c r="E329" s="19"/>
      <c r="F329" s="19"/>
      <c r="G329" s="19"/>
      <c r="H329" s="19"/>
      <c r="I329" s="373" t="str">
        <f>IF(I328="","",VLOOKUP(I328,PowerEffectsChart,33,FALSE))</f>
        <v/>
      </c>
      <c r="J329" s="272"/>
      <c r="K329" s="272"/>
      <c r="L329" s="374"/>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BI329" s="149" t="s">
        <v>852</v>
      </c>
      <c r="BJ329" s="14"/>
      <c r="BK329" s="14"/>
      <c r="BL329" s="356" t="str">
        <f>IF(I327="","",IF(BL327&gt;0,BL327,IF(BL328="TRUE",BL327,VLOOKUP(BL327,$BP$28:$BT$36,3,FALSE))))</f>
        <v/>
      </c>
      <c r="BM329" s="356"/>
      <c r="BN329" s="357"/>
    </row>
    <row r="330" spans="2:66" ht="13.5" customHeight="1" thickBot="1">
      <c r="B330" s="18"/>
      <c r="C330" s="19" t="s">
        <v>395</v>
      </c>
      <c r="D330" s="19"/>
      <c r="E330" s="19"/>
      <c r="F330" s="19"/>
      <c r="G330" s="19"/>
      <c r="H330" s="19"/>
      <c r="I330" s="360" t="str">
        <f>IF(I328="","",VLOOKUP(I328,PowerEffectsChart,38,FALSE))</f>
        <v/>
      </c>
      <c r="J330" s="361"/>
      <c r="K330" s="361"/>
      <c r="L330" s="361"/>
      <c r="M330" s="361"/>
      <c r="N330" s="361"/>
      <c r="O330" s="361"/>
      <c r="P330" s="361"/>
      <c r="Q330" s="361"/>
      <c r="R330" s="361"/>
      <c r="S330" s="361"/>
      <c r="T330" s="361"/>
      <c r="U330" s="361"/>
      <c r="V330" s="361"/>
      <c r="W330" s="361"/>
      <c r="X330" s="362"/>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BI330" s="149" t="s">
        <v>853</v>
      </c>
      <c r="BJ330" s="14"/>
      <c r="BK330" s="14"/>
      <c r="BL330" s="356" t="str">
        <f>IF(I327="","",AP330*BL329)</f>
        <v/>
      </c>
      <c r="BM330" s="356"/>
      <c r="BN330" s="357"/>
    </row>
    <row r="331" spans="2:66" ht="13.5" customHeight="1" thickBot="1">
      <c r="B331" s="18"/>
      <c r="C331" s="19"/>
      <c r="D331" s="19"/>
      <c r="E331" s="19"/>
      <c r="F331" s="19"/>
      <c r="G331" s="19"/>
      <c r="H331" s="19"/>
      <c r="I331" s="363"/>
      <c r="J331" s="364"/>
      <c r="K331" s="364"/>
      <c r="L331" s="364"/>
      <c r="M331" s="364"/>
      <c r="N331" s="364"/>
      <c r="O331" s="364"/>
      <c r="P331" s="364"/>
      <c r="Q331" s="364"/>
      <c r="R331" s="364"/>
      <c r="S331" s="364"/>
      <c r="T331" s="364"/>
      <c r="U331" s="364"/>
      <c r="V331" s="364"/>
      <c r="W331" s="364"/>
      <c r="X331" s="365"/>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BI331" s="149" t="s">
        <v>423</v>
      </c>
      <c r="BJ331" s="14"/>
      <c r="BK331" s="14"/>
      <c r="BL331" s="356">
        <f>AP331</f>
        <v>0</v>
      </c>
      <c r="BM331" s="356"/>
      <c r="BN331" s="357"/>
    </row>
    <row r="332" spans="2:66" ht="13.5" customHeight="1" thickBot="1">
      <c r="B332" s="18"/>
      <c r="C332" s="19"/>
      <c r="D332" s="19"/>
      <c r="E332" s="19"/>
      <c r="F332" s="19"/>
      <c r="G332" s="19"/>
      <c r="H332" s="19"/>
      <c r="I332" s="363"/>
      <c r="J332" s="364"/>
      <c r="K332" s="364"/>
      <c r="L332" s="364"/>
      <c r="M332" s="364"/>
      <c r="N332" s="364"/>
      <c r="O332" s="364"/>
      <c r="P332" s="364"/>
      <c r="Q332" s="364"/>
      <c r="R332" s="364"/>
      <c r="S332" s="364"/>
      <c r="T332" s="364"/>
      <c r="U332" s="364"/>
      <c r="V332" s="364"/>
      <c r="W332" s="364"/>
      <c r="X332" s="365"/>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BI332" s="149"/>
      <c r="BJ332" s="14"/>
      <c r="BK332" s="14"/>
      <c r="BL332" s="14"/>
      <c r="BM332" s="14"/>
      <c r="BN332" s="150"/>
    </row>
    <row r="333" spans="2:66"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BL333</f>
        <v>0</v>
      </c>
      <c r="AQ333" s="253"/>
      <c r="AR333" s="253"/>
      <c r="AS333" s="254"/>
      <c r="AT333" s="20"/>
      <c r="BI333" s="151" t="s">
        <v>37</v>
      </c>
      <c r="BJ333" s="152"/>
      <c r="BK333" s="152"/>
      <c r="BL333" s="358">
        <f>IF(I327="",0,ROUNDUP(BL330+BL331,0))</f>
        <v>0</v>
      </c>
      <c r="BM333" s="358"/>
      <c r="BN333" s="359"/>
    </row>
    <row r="334" spans="2:66"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BI334" s="12" t="s">
        <v>619</v>
      </c>
    </row>
    <row r="335" spans="2:66"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BI335" s="346" t="str">
        <f>IF(Basics!$U$37="NO",IF(J337="","",J337&amp;"; "),IF(J337="","",J337&amp;"; ")&amp;IF(J338="","",J338&amp;"; ")&amp;IF(J339="","",J339&amp;"; ")&amp;IF(J340="","",J340&amp;"; "))</f>
        <v/>
      </c>
      <c r="BJ335" s="347"/>
      <c r="BK335" s="347"/>
      <c r="BL335" s="347"/>
      <c r="BM335" s="347"/>
      <c r="BN335" s="348"/>
    </row>
    <row r="336" spans="2:66"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BI336" s="349"/>
      <c r="BJ336" s="334"/>
      <c r="BK336" s="334"/>
      <c r="BL336" s="334"/>
      <c r="BM336" s="334"/>
      <c r="BN336" s="350"/>
    </row>
    <row r="337" spans="2:66"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BI337" s="349"/>
      <c r="BJ337" s="334"/>
      <c r="BK337" s="334"/>
      <c r="BL337" s="334"/>
      <c r="BM337" s="334"/>
      <c r="BN337" s="350"/>
    </row>
    <row r="338" spans="2:66"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BI338" s="349"/>
      <c r="BJ338" s="334"/>
      <c r="BK338" s="334"/>
      <c r="BL338" s="334"/>
      <c r="BM338" s="334"/>
      <c r="BN338" s="350"/>
    </row>
    <row r="339" spans="2:66"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BI339" s="349"/>
      <c r="BJ339" s="334"/>
      <c r="BK339" s="334"/>
      <c r="BL339" s="334"/>
      <c r="BM339" s="334"/>
      <c r="BN339" s="350"/>
    </row>
    <row r="340" spans="2:66"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BI340" s="349"/>
      <c r="BJ340" s="334"/>
      <c r="BK340" s="334"/>
      <c r="BL340" s="334"/>
      <c r="BM340" s="334"/>
      <c r="BN340" s="350"/>
    </row>
    <row r="341" spans="2:66"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BI341" s="351"/>
      <c r="BJ341" s="352"/>
      <c r="BK341" s="352"/>
      <c r="BL341" s="352"/>
      <c r="BM341" s="352"/>
      <c r="BN341" s="353"/>
    </row>
    <row r="342" spans="2:66" ht="13.5" customHeight="1" thickBot="1"/>
    <row r="343" spans="2:66"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66"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BI344" s="147" t="s">
        <v>850</v>
      </c>
      <c r="BJ344" s="148"/>
      <c r="BK344" s="148"/>
      <c r="BL344" s="354">
        <f>AP344+AP345-ABS(AP346)</f>
        <v>0</v>
      </c>
      <c r="BM344" s="354"/>
      <c r="BN344" s="355"/>
    </row>
    <row r="345" spans="2:66"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BI345" s="149" t="s">
        <v>851</v>
      </c>
      <c r="BJ345" s="14"/>
      <c r="BK345" s="14"/>
      <c r="BL345" s="356" t="str">
        <f>IF(I345="Custom","TRUE","FALSE")</f>
        <v>FALSE</v>
      </c>
      <c r="BM345" s="356"/>
      <c r="BN345" s="357"/>
    </row>
    <row r="346" spans="2:66" ht="13.5" customHeight="1" thickBot="1">
      <c r="B346" s="18"/>
      <c r="C346" s="19" t="s">
        <v>394</v>
      </c>
      <c r="D346" s="19"/>
      <c r="E346" s="19"/>
      <c r="F346" s="19"/>
      <c r="G346" s="19"/>
      <c r="H346" s="19"/>
      <c r="I346" s="373" t="str">
        <f>IF(I345="","",VLOOKUP(I345,PowerEffectsChart,33,FALSE))</f>
        <v/>
      </c>
      <c r="J346" s="272"/>
      <c r="K346" s="272"/>
      <c r="L346" s="374"/>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BI346" s="149" t="s">
        <v>852</v>
      </c>
      <c r="BJ346" s="14"/>
      <c r="BK346" s="14"/>
      <c r="BL346" s="356" t="str">
        <f>IF(I344="","",IF(BL344&gt;0,BL344,IF(BL345="TRUE",BL344,VLOOKUP(BL344,$BP$28:$BT$36,3,FALSE))))</f>
        <v/>
      </c>
      <c r="BM346" s="356"/>
      <c r="BN346" s="357"/>
    </row>
    <row r="347" spans="2:66" ht="13.5" customHeight="1" thickBot="1">
      <c r="B347" s="18"/>
      <c r="C347" s="19" t="s">
        <v>395</v>
      </c>
      <c r="D347" s="19"/>
      <c r="E347" s="19"/>
      <c r="F347" s="19"/>
      <c r="G347" s="19"/>
      <c r="H347" s="19"/>
      <c r="I347" s="360" t="str">
        <f>IF(I345="","",VLOOKUP(I345,PowerEffectsChart,38,FALSE))</f>
        <v/>
      </c>
      <c r="J347" s="361"/>
      <c r="K347" s="361"/>
      <c r="L347" s="361"/>
      <c r="M347" s="361"/>
      <c r="N347" s="361"/>
      <c r="O347" s="361"/>
      <c r="P347" s="361"/>
      <c r="Q347" s="361"/>
      <c r="R347" s="361"/>
      <c r="S347" s="361"/>
      <c r="T347" s="361"/>
      <c r="U347" s="361"/>
      <c r="V347" s="361"/>
      <c r="W347" s="361"/>
      <c r="X347" s="362"/>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BI347" s="149" t="s">
        <v>853</v>
      </c>
      <c r="BJ347" s="14"/>
      <c r="BK347" s="14"/>
      <c r="BL347" s="356" t="str">
        <f>IF(I344="","",AP347*BL346)</f>
        <v/>
      </c>
      <c r="BM347" s="356"/>
      <c r="BN347" s="357"/>
    </row>
    <row r="348" spans="2:66" ht="13.5" customHeight="1" thickBot="1">
      <c r="B348" s="18"/>
      <c r="C348" s="19"/>
      <c r="D348" s="19"/>
      <c r="E348" s="19"/>
      <c r="F348" s="19"/>
      <c r="G348" s="19"/>
      <c r="H348" s="19"/>
      <c r="I348" s="363"/>
      <c r="J348" s="364"/>
      <c r="K348" s="364"/>
      <c r="L348" s="364"/>
      <c r="M348" s="364"/>
      <c r="N348" s="364"/>
      <c r="O348" s="364"/>
      <c r="P348" s="364"/>
      <c r="Q348" s="364"/>
      <c r="R348" s="364"/>
      <c r="S348" s="364"/>
      <c r="T348" s="364"/>
      <c r="U348" s="364"/>
      <c r="V348" s="364"/>
      <c r="W348" s="364"/>
      <c r="X348" s="365"/>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BI348" s="149" t="s">
        <v>423</v>
      </c>
      <c r="BJ348" s="14"/>
      <c r="BK348" s="14"/>
      <c r="BL348" s="356">
        <f>AP348</f>
        <v>0</v>
      </c>
      <c r="BM348" s="356"/>
      <c r="BN348" s="357"/>
    </row>
    <row r="349" spans="2:66" ht="13.5" customHeight="1" thickBot="1">
      <c r="B349" s="18"/>
      <c r="C349" s="19"/>
      <c r="D349" s="19"/>
      <c r="E349" s="19"/>
      <c r="F349" s="19"/>
      <c r="G349" s="19"/>
      <c r="H349" s="19"/>
      <c r="I349" s="363"/>
      <c r="J349" s="364"/>
      <c r="K349" s="364"/>
      <c r="L349" s="364"/>
      <c r="M349" s="364"/>
      <c r="N349" s="364"/>
      <c r="O349" s="364"/>
      <c r="P349" s="364"/>
      <c r="Q349" s="364"/>
      <c r="R349" s="364"/>
      <c r="S349" s="364"/>
      <c r="T349" s="364"/>
      <c r="U349" s="364"/>
      <c r="V349" s="364"/>
      <c r="W349" s="364"/>
      <c r="X349" s="365"/>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BI349" s="149"/>
      <c r="BJ349" s="14"/>
      <c r="BK349" s="14"/>
      <c r="BL349" s="14"/>
      <c r="BM349" s="14"/>
      <c r="BN349" s="150"/>
    </row>
    <row r="350" spans="2:66"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BL350</f>
        <v>0</v>
      </c>
      <c r="AQ350" s="253"/>
      <c r="AR350" s="253"/>
      <c r="AS350" s="254"/>
      <c r="AT350" s="20"/>
      <c r="BI350" s="151" t="s">
        <v>37</v>
      </c>
      <c r="BJ350" s="152"/>
      <c r="BK350" s="152"/>
      <c r="BL350" s="358">
        <f>IF(I344="",0,ROUNDUP(BL347+BL348,0))</f>
        <v>0</v>
      </c>
      <c r="BM350" s="358"/>
      <c r="BN350" s="359"/>
    </row>
    <row r="351" spans="2:66"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BI351" s="12" t="s">
        <v>619</v>
      </c>
    </row>
    <row r="352" spans="2:66"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BI352" s="346" t="str">
        <f>IF(Basics!$U$37="NO",IF(J354="","",J354&amp;"; "),IF(J354="","",J354&amp;"; ")&amp;IF(J355="","",J355&amp;"; ")&amp;IF(J356="","",J356&amp;"; ")&amp;IF(J357="","",J357&amp;"; "))</f>
        <v/>
      </c>
      <c r="BJ352" s="347"/>
      <c r="BK352" s="347"/>
      <c r="BL352" s="347"/>
      <c r="BM352" s="347"/>
      <c r="BN352" s="348"/>
    </row>
    <row r="353" spans="2:66"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BI353" s="349"/>
      <c r="BJ353" s="334"/>
      <c r="BK353" s="334"/>
      <c r="BL353" s="334"/>
      <c r="BM353" s="334"/>
      <c r="BN353" s="350"/>
    </row>
    <row r="354" spans="2:66"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BI354" s="349"/>
      <c r="BJ354" s="334"/>
      <c r="BK354" s="334"/>
      <c r="BL354" s="334"/>
      <c r="BM354" s="334"/>
      <c r="BN354" s="350"/>
    </row>
    <row r="355" spans="2:66"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BI355" s="349"/>
      <c r="BJ355" s="334"/>
      <c r="BK355" s="334"/>
      <c r="BL355" s="334"/>
      <c r="BM355" s="334"/>
      <c r="BN355" s="350"/>
    </row>
    <row r="356" spans="2:66"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BI356" s="349"/>
      <c r="BJ356" s="334"/>
      <c r="BK356" s="334"/>
      <c r="BL356" s="334"/>
      <c r="BM356" s="334"/>
      <c r="BN356" s="350"/>
    </row>
    <row r="357" spans="2:66"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BI357" s="349"/>
      <c r="BJ357" s="334"/>
      <c r="BK357" s="334"/>
      <c r="BL357" s="334"/>
      <c r="BM357" s="334"/>
      <c r="BN357" s="350"/>
    </row>
    <row r="358" spans="2:66"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BI358" s="351"/>
      <c r="BJ358" s="352"/>
      <c r="BK358" s="352"/>
      <c r="BL358" s="352"/>
      <c r="BM358" s="352"/>
      <c r="BN358" s="353"/>
    </row>
  </sheetData>
  <mergeCells count="1028">
    <mergeCell ref="EZ2:FC3"/>
    <mergeCell ref="EZ4:FC4"/>
    <mergeCell ref="EZ5:FC5"/>
    <mergeCell ref="EZ6:FC6"/>
    <mergeCell ref="EZ7:FC7"/>
    <mergeCell ref="EZ8:FC8"/>
    <mergeCell ref="EZ9:FC9"/>
    <mergeCell ref="EZ10:FC10"/>
    <mergeCell ref="EZ11:FC11"/>
    <mergeCell ref="EZ12:FC12"/>
    <mergeCell ref="EZ13:FC13"/>
    <mergeCell ref="EZ14:FC14"/>
    <mergeCell ref="EZ21:FC21"/>
    <mergeCell ref="EZ22:FC22"/>
    <mergeCell ref="EZ23:FC23"/>
    <mergeCell ref="EZ24:FC24"/>
    <mergeCell ref="EZ15:FC15"/>
    <mergeCell ref="EZ16:FC16"/>
    <mergeCell ref="EZ17:FC17"/>
    <mergeCell ref="EZ18:FC18"/>
    <mergeCell ref="EZ19:FC19"/>
    <mergeCell ref="EZ20:FC20"/>
    <mergeCell ref="C3:M4"/>
    <mergeCell ref="C6:AH17"/>
    <mergeCell ref="BR29:BT29"/>
    <mergeCell ref="BR30:BT30"/>
    <mergeCell ref="BL25:BN25"/>
    <mergeCell ref="BL27:BN27"/>
    <mergeCell ref="EV2:EY3"/>
    <mergeCell ref="EV4:EY4"/>
    <mergeCell ref="EV5:EY5"/>
    <mergeCell ref="EV6:EY6"/>
    <mergeCell ref="EV7:EY7"/>
    <mergeCell ref="EV8:EY8"/>
    <mergeCell ref="EV9:EY9"/>
    <mergeCell ref="EV10:EY10"/>
    <mergeCell ref="EV11:EY11"/>
    <mergeCell ref="EV12:EY12"/>
    <mergeCell ref="EV13:EY13"/>
    <mergeCell ref="EV14:EY14"/>
    <mergeCell ref="EV15:EY15"/>
    <mergeCell ref="EV16:EY16"/>
    <mergeCell ref="EV17:EY17"/>
    <mergeCell ref="EV18:EY18"/>
    <mergeCell ref="EV19:EY19"/>
    <mergeCell ref="EV20:EY20"/>
    <mergeCell ref="EV21:EY21"/>
    <mergeCell ref="EV22:EY22"/>
    <mergeCell ref="EV23:EY23"/>
    <mergeCell ref="EV24:EY24"/>
    <mergeCell ref="CF7:CK7"/>
    <mergeCell ref="CF8:CK8"/>
    <mergeCell ref="CF9:CK9"/>
    <mergeCell ref="CF10:CK10"/>
    <mergeCell ref="J34:AH34"/>
    <mergeCell ref="AP27:AS27"/>
    <mergeCell ref="AP21:AS21"/>
    <mergeCell ref="AP22:AS22"/>
    <mergeCell ref="AP23:AS23"/>
    <mergeCell ref="AP24:AS24"/>
    <mergeCell ref="AP25:AS25"/>
    <mergeCell ref="I27:AH27"/>
    <mergeCell ref="I28:AH28"/>
    <mergeCell ref="I29:AH29"/>
    <mergeCell ref="J31:AH31"/>
    <mergeCell ref="J32:AH32"/>
    <mergeCell ref="J33:AH33"/>
    <mergeCell ref="I21:X21"/>
    <mergeCell ref="I22:X22"/>
    <mergeCell ref="I23:L23"/>
    <mergeCell ref="AD25:AH25"/>
    <mergeCell ref="AD21:AH21"/>
    <mergeCell ref="AD22:AH22"/>
    <mergeCell ref="AD23:AH23"/>
    <mergeCell ref="AD24:AH24"/>
    <mergeCell ref="I24:X2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38:X38"/>
    <mergeCell ref="AD38:AH38"/>
    <mergeCell ref="AP38:AS38"/>
    <mergeCell ref="I39:X39"/>
    <mergeCell ref="AD39:AH39"/>
    <mergeCell ref="AP39:AS39"/>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56:AH356"/>
    <mergeCell ref="J357:AH357"/>
    <mergeCell ref="BX4:BY4"/>
    <mergeCell ref="BX5:BY5"/>
    <mergeCell ref="BX6:BY6"/>
    <mergeCell ref="I351:AH351"/>
    <mergeCell ref="I352:AH352"/>
    <mergeCell ref="J354:AH354"/>
    <mergeCell ref="BX3:BY3"/>
    <mergeCell ref="BX7:BY7"/>
    <mergeCell ref="BX8:BY8"/>
    <mergeCell ref="BX9:BY9"/>
    <mergeCell ref="BX10:BY10"/>
    <mergeCell ref="I350:AH350"/>
    <mergeCell ref="AP350:AS350"/>
    <mergeCell ref="J339:AH339"/>
    <mergeCell ref="J340:AH340"/>
    <mergeCell ref="I344:X344"/>
    <mergeCell ref="J355:AH355"/>
    <mergeCell ref="I346:L346"/>
    <mergeCell ref="AD346:AH346"/>
    <mergeCell ref="AP346:AS346"/>
    <mergeCell ref="I347:X349"/>
    <mergeCell ref="AD347:AH347"/>
    <mergeCell ref="AP347:AS347"/>
    <mergeCell ref="AD348:AH348"/>
    <mergeCell ref="AP348:AS348"/>
    <mergeCell ref="AD344:AH344"/>
    <mergeCell ref="AP344:AS344"/>
    <mergeCell ref="I345:X345"/>
    <mergeCell ref="AD345:AH345"/>
    <mergeCell ref="AP345:AS345"/>
    <mergeCell ref="BV11:BW11"/>
    <mergeCell ref="BV12:BW12"/>
    <mergeCell ref="BZ3:CE3"/>
    <mergeCell ref="BZ4:CE4"/>
    <mergeCell ref="BZ5:CE5"/>
    <mergeCell ref="BZ6:CE6"/>
    <mergeCell ref="BZ7:CE7"/>
    <mergeCell ref="BZ8:CE8"/>
    <mergeCell ref="BZ9:CE9"/>
    <mergeCell ref="BZ10:CE10"/>
    <mergeCell ref="BX11:BY11"/>
    <mergeCell ref="BX12:BY12"/>
    <mergeCell ref="BV3:BW3"/>
    <mergeCell ref="BV4:BW4"/>
    <mergeCell ref="BV5:BW5"/>
    <mergeCell ref="BV6:BW6"/>
    <mergeCell ref="BV7:BW7"/>
    <mergeCell ref="BV8:BW8"/>
    <mergeCell ref="BV9:BW9"/>
    <mergeCell ref="BV10:BW10"/>
    <mergeCell ref="CR24:CU24"/>
    <mergeCell ref="BV14:BW14"/>
    <mergeCell ref="BV15:BW15"/>
    <mergeCell ref="BV16:BW16"/>
    <mergeCell ref="BV17:BW17"/>
    <mergeCell ref="BV18:BW18"/>
    <mergeCell ref="BV19:BW19"/>
    <mergeCell ref="CR15:CU15"/>
    <mergeCell ref="CR16:CU16"/>
    <mergeCell ref="CR17:CU17"/>
    <mergeCell ref="CR18:CU18"/>
    <mergeCell ref="CR19:CU19"/>
    <mergeCell ref="CR20:CU20"/>
    <mergeCell ref="CR9:CU9"/>
    <mergeCell ref="CR10:CU10"/>
    <mergeCell ref="CR11:CU11"/>
    <mergeCell ref="CR12:CU12"/>
    <mergeCell ref="CR13:CU13"/>
    <mergeCell ref="CR14:CU14"/>
    <mergeCell ref="CF11:CK11"/>
    <mergeCell ref="CF12:CK12"/>
    <mergeCell ref="BV13:BW13"/>
    <mergeCell ref="BX13:BY13"/>
    <mergeCell ref="BZ13:CE13"/>
    <mergeCell ref="CF13:CK13"/>
    <mergeCell ref="BZ11:CE11"/>
    <mergeCell ref="BZ12:CE12"/>
    <mergeCell ref="BX20:BY20"/>
    <mergeCell ref="BX21:BY21"/>
    <mergeCell ref="BX22:BY22"/>
    <mergeCell ref="BX23:BY23"/>
    <mergeCell ref="BZ14:CE14"/>
    <mergeCell ref="BZ16:CE16"/>
    <mergeCell ref="BZ17:CE17"/>
    <mergeCell ref="BZ18:CE18"/>
    <mergeCell ref="BZ19:CE19"/>
    <mergeCell ref="BV20:BW20"/>
    <mergeCell ref="BV21:BW21"/>
    <mergeCell ref="BV22:BW22"/>
    <mergeCell ref="BV23:BW23"/>
    <mergeCell ref="BX14:BY14"/>
    <mergeCell ref="BX15:BY15"/>
    <mergeCell ref="BX16:BY16"/>
    <mergeCell ref="BX17:BY17"/>
    <mergeCell ref="BX18:BY18"/>
    <mergeCell ref="BX19:BY19"/>
    <mergeCell ref="CF20:CK20"/>
    <mergeCell ref="CF21:CK21"/>
    <mergeCell ref="CF22:CK22"/>
    <mergeCell ref="CF23:CK23"/>
    <mergeCell ref="CR2:CU3"/>
    <mergeCell ref="CV2:CY3"/>
    <mergeCell ref="CV4:CY4"/>
    <mergeCell ref="CV5:CY5"/>
    <mergeCell ref="CV6:CY6"/>
    <mergeCell ref="CV7:CY7"/>
    <mergeCell ref="BZ20:CE20"/>
    <mergeCell ref="BZ21:CE21"/>
    <mergeCell ref="BZ22:CE22"/>
    <mergeCell ref="BZ23:CE23"/>
    <mergeCell ref="CF14:CK14"/>
    <mergeCell ref="CF15:CK15"/>
    <mergeCell ref="CF16:CK16"/>
    <mergeCell ref="CF17:CK17"/>
    <mergeCell ref="CF18:CK18"/>
    <mergeCell ref="CF19:CK19"/>
    <mergeCell ref="CR21:CU21"/>
    <mergeCell ref="CR22:CU22"/>
    <mergeCell ref="CR23:CU23"/>
    <mergeCell ref="CR4:CU4"/>
    <mergeCell ref="CR5:CU5"/>
    <mergeCell ref="CR6:CU6"/>
    <mergeCell ref="CR7:CU7"/>
    <mergeCell ref="CR8:CU8"/>
    <mergeCell ref="CF3:CK3"/>
    <mergeCell ref="CF4:CK4"/>
    <mergeCell ref="CF5:CK5"/>
    <mergeCell ref="CF6:CK6"/>
    <mergeCell ref="CV21:CY21"/>
    <mergeCell ref="CV22:CY22"/>
    <mergeCell ref="CV23:CY23"/>
    <mergeCell ref="BZ15:CE15"/>
    <mergeCell ref="CV24:CY24"/>
    <mergeCell ref="CZ2:DC3"/>
    <mergeCell ref="CZ4:DC4"/>
    <mergeCell ref="CZ7:DC7"/>
    <mergeCell ref="CZ10:DC10"/>
    <mergeCell ref="CZ13:DC13"/>
    <mergeCell ref="CV14:CY14"/>
    <mergeCell ref="CV15:CY15"/>
    <mergeCell ref="CV16:CY16"/>
    <mergeCell ref="CV17:CY17"/>
    <mergeCell ref="CV18:CY18"/>
    <mergeCell ref="CV19:CY19"/>
    <mergeCell ref="CV8:CY8"/>
    <mergeCell ref="CV9:CY9"/>
    <mergeCell ref="CV10:CY10"/>
    <mergeCell ref="CV11:CY11"/>
    <mergeCell ref="CV12:CY12"/>
    <mergeCell ref="CV13:CY13"/>
    <mergeCell ref="CZ12:DC12"/>
    <mergeCell ref="CZ11:DC11"/>
    <mergeCell ref="EB2:EE3"/>
    <mergeCell ref="EF2:EI3"/>
    <mergeCell ref="EJ2:EM3"/>
    <mergeCell ref="EN2:EQ3"/>
    <mergeCell ref="DD4:DG4"/>
    <mergeCell ref="DH4:DK4"/>
    <mergeCell ref="DL4:DO4"/>
    <mergeCell ref="DP4:DS4"/>
    <mergeCell ref="DT4:DW4"/>
    <mergeCell ref="DX4:EA4"/>
    <mergeCell ref="DD2:DG3"/>
    <mergeCell ref="DH2:DK3"/>
    <mergeCell ref="DL2:DO3"/>
    <mergeCell ref="DP2:DS3"/>
    <mergeCell ref="DT2:DW3"/>
    <mergeCell ref="DX2:EA3"/>
    <mergeCell ref="CV20:CY20"/>
    <mergeCell ref="DT6:DW6"/>
    <mergeCell ref="DX6:EA6"/>
    <mergeCell ref="EB6:EE6"/>
    <mergeCell ref="EF6:EI6"/>
    <mergeCell ref="EJ6:EM6"/>
    <mergeCell ref="EN6:EQ6"/>
    <mergeCell ref="DX5:EA5"/>
    <mergeCell ref="EB5:EE5"/>
    <mergeCell ref="EF5:EI5"/>
    <mergeCell ref="EJ5:EM5"/>
    <mergeCell ref="EN5:EQ5"/>
    <mergeCell ref="CZ6:DC6"/>
    <mergeCell ref="DD6:DG6"/>
    <mergeCell ref="DH6:DK6"/>
    <mergeCell ref="DL6:DO6"/>
    <mergeCell ref="DP6:DS6"/>
    <mergeCell ref="EB4:EE4"/>
    <mergeCell ref="EF4:EI4"/>
    <mergeCell ref="EJ4:EM4"/>
    <mergeCell ref="EN4:EQ4"/>
    <mergeCell ref="CZ5:DC5"/>
    <mergeCell ref="DD5:DG5"/>
    <mergeCell ref="DH5:DK5"/>
    <mergeCell ref="DL5:DO5"/>
    <mergeCell ref="DP5:DS5"/>
    <mergeCell ref="DT5:DW5"/>
    <mergeCell ref="DT9:DW9"/>
    <mergeCell ref="DX9:EA9"/>
    <mergeCell ref="EB9:EE9"/>
    <mergeCell ref="EF9:EI9"/>
    <mergeCell ref="EJ9:EM9"/>
    <mergeCell ref="EN9:EQ9"/>
    <mergeCell ref="DX8:EA8"/>
    <mergeCell ref="EB8:EE8"/>
    <mergeCell ref="EF8:EI8"/>
    <mergeCell ref="EJ8:EM8"/>
    <mergeCell ref="EN8:EQ8"/>
    <mergeCell ref="CZ9:DC9"/>
    <mergeCell ref="DD9:DG9"/>
    <mergeCell ref="DH9:DK9"/>
    <mergeCell ref="DL9:DO9"/>
    <mergeCell ref="DP9:DS9"/>
    <mergeCell ref="EB7:EE7"/>
    <mergeCell ref="EF7:EI7"/>
    <mergeCell ref="EJ7:EM7"/>
    <mergeCell ref="EN7:EQ7"/>
    <mergeCell ref="CZ8:DC8"/>
    <mergeCell ref="DD8:DG8"/>
    <mergeCell ref="DH8:DK8"/>
    <mergeCell ref="DL8:DO8"/>
    <mergeCell ref="DP8:DS8"/>
    <mergeCell ref="DT8:DW8"/>
    <mergeCell ref="DD7:DG7"/>
    <mergeCell ref="DH7:DK7"/>
    <mergeCell ref="DL7:DO7"/>
    <mergeCell ref="DP7:DS7"/>
    <mergeCell ref="DT7:DW7"/>
    <mergeCell ref="DX7:EA7"/>
    <mergeCell ref="DT12:DW12"/>
    <mergeCell ref="DX12:EA12"/>
    <mergeCell ref="EB12:EE12"/>
    <mergeCell ref="EF12:EI12"/>
    <mergeCell ref="EJ12:EM12"/>
    <mergeCell ref="EN12:EQ12"/>
    <mergeCell ref="DX11:EA11"/>
    <mergeCell ref="EB11:EE11"/>
    <mergeCell ref="EF11:EI11"/>
    <mergeCell ref="EJ11:EM11"/>
    <mergeCell ref="EN11:EQ11"/>
    <mergeCell ref="DD12:DG12"/>
    <mergeCell ref="DH12:DK12"/>
    <mergeCell ref="DL12:DO12"/>
    <mergeCell ref="DP12:DS12"/>
    <mergeCell ref="EB10:EE10"/>
    <mergeCell ref="EF10:EI10"/>
    <mergeCell ref="EJ10:EM10"/>
    <mergeCell ref="EN10:EQ10"/>
    <mergeCell ref="DD11:DG11"/>
    <mergeCell ref="DH11:DK11"/>
    <mergeCell ref="DL11:DO11"/>
    <mergeCell ref="DP11:DS11"/>
    <mergeCell ref="DT11:DW11"/>
    <mergeCell ref="DD10:DG10"/>
    <mergeCell ref="DH10:DK10"/>
    <mergeCell ref="DL10:DO10"/>
    <mergeCell ref="DP10:DS10"/>
    <mergeCell ref="DT10:DW10"/>
    <mergeCell ref="DX10:EA10"/>
    <mergeCell ref="DX14:EA14"/>
    <mergeCell ref="EB14:EE14"/>
    <mergeCell ref="EF14:EI14"/>
    <mergeCell ref="EJ14:EM14"/>
    <mergeCell ref="EN14:EQ14"/>
    <mergeCell ref="CZ15:DC15"/>
    <mergeCell ref="DD15:DG15"/>
    <mergeCell ref="DH15:DK15"/>
    <mergeCell ref="DL15:DO15"/>
    <mergeCell ref="DP15:DS15"/>
    <mergeCell ref="EB13:EE13"/>
    <mergeCell ref="EF13:EI13"/>
    <mergeCell ref="EJ13:EM13"/>
    <mergeCell ref="EN13:EQ13"/>
    <mergeCell ref="CZ14:DC14"/>
    <mergeCell ref="DD14:DG14"/>
    <mergeCell ref="DH14:DK14"/>
    <mergeCell ref="DL14:DO14"/>
    <mergeCell ref="DP14:DS14"/>
    <mergeCell ref="DT14:DW14"/>
    <mergeCell ref="DD13:DG13"/>
    <mergeCell ref="DH13:DK13"/>
    <mergeCell ref="DL13:DO13"/>
    <mergeCell ref="DP13:DS13"/>
    <mergeCell ref="DT13:DW13"/>
    <mergeCell ref="DX13:EA13"/>
    <mergeCell ref="DX16:EA16"/>
    <mergeCell ref="EB16:EE16"/>
    <mergeCell ref="EF16:EI16"/>
    <mergeCell ref="EJ16:EM16"/>
    <mergeCell ref="EN16:EQ16"/>
    <mergeCell ref="CZ17:DC17"/>
    <mergeCell ref="DD17:DG17"/>
    <mergeCell ref="DH17:DK17"/>
    <mergeCell ref="DL17:DO17"/>
    <mergeCell ref="DP17:DS17"/>
    <mergeCell ref="CZ16:DC16"/>
    <mergeCell ref="DD16:DG16"/>
    <mergeCell ref="DH16:DK16"/>
    <mergeCell ref="DL16:DO16"/>
    <mergeCell ref="DP16:DS16"/>
    <mergeCell ref="DT16:DW16"/>
    <mergeCell ref="DT15:DW15"/>
    <mergeCell ref="DX15:EA15"/>
    <mergeCell ref="EB15:EE15"/>
    <mergeCell ref="EF15:EI15"/>
    <mergeCell ref="EJ15:EM15"/>
    <mergeCell ref="EN15:EQ15"/>
    <mergeCell ref="DX18:EA18"/>
    <mergeCell ref="EB18:EE18"/>
    <mergeCell ref="EF18:EI18"/>
    <mergeCell ref="EJ18:EM18"/>
    <mergeCell ref="EN18:EQ18"/>
    <mergeCell ref="CZ19:DC19"/>
    <mergeCell ref="DD19:DG19"/>
    <mergeCell ref="DH19:DK19"/>
    <mergeCell ref="DL19:DO19"/>
    <mergeCell ref="DP19:DS19"/>
    <mergeCell ref="CZ18:DC18"/>
    <mergeCell ref="DD18:DG18"/>
    <mergeCell ref="DH18:DK18"/>
    <mergeCell ref="DL18:DO18"/>
    <mergeCell ref="DP18:DS18"/>
    <mergeCell ref="DT18:DW18"/>
    <mergeCell ref="DT17:DW17"/>
    <mergeCell ref="DX17:EA17"/>
    <mergeCell ref="EB17:EE17"/>
    <mergeCell ref="EF17:EI17"/>
    <mergeCell ref="EJ17:EM17"/>
    <mergeCell ref="EN17:EQ17"/>
    <mergeCell ref="EB20:EE20"/>
    <mergeCell ref="EF20:EI20"/>
    <mergeCell ref="EJ20:EM20"/>
    <mergeCell ref="EN20:EQ20"/>
    <mergeCell ref="CZ21:DC21"/>
    <mergeCell ref="DD21:DG21"/>
    <mergeCell ref="DH21:DK21"/>
    <mergeCell ref="DL21:DO21"/>
    <mergeCell ref="DP21:DS21"/>
    <mergeCell ref="CZ20:DC20"/>
    <mergeCell ref="DD20:DG20"/>
    <mergeCell ref="DH20:DK20"/>
    <mergeCell ref="DL20:DO20"/>
    <mergeCell ref="DP20:DS20"/>
    <mergeCell ref="DT20:DW20"/>
    <mergeCell ref="DT19:DW19"/>
    <mergeCell ref="DX19:EA19"/>
    <mergeCell ref="EB19:EE19"/>
    <mergeCell ref="EF19:EI19"/>
    <mergeCell ref="EJ19:EM19"/>
    <mergeCell ref="EN19:EQ19"/>
    <mergeCell ref="ER2:EU3"/>
    <mergeCell ref="ER4:EU4"/>
    <mergeCell ref="ER5:EU5"/>
    <mergeCell ref="ER6:EU6"/>
    <mergeCell ref="ER7:EU7"/>
    <mergeCell ref="CZ24:DC24"/>
    <mergeCell ref="DD24:DG24"/>
    <mergeCell ref="DH24:DK24"/>
    <mergeCell ref="DL24:DO24"/>
    <mergeCell ref="DP24:DS24"/>
    <mergeCell ref="DT24:DW24"/>
    <mergeCell ref="DT23:DW23"/>
    <mergeCell ref="DX23:EA23"/>
    <mergeCell ref="EB23:EE23"/>
    <mergeCell ref="EF23:EI23"/>
    <mergeCell ref="EJ23:EM23"/>
    <mergeCell ref="EN23:EQ23"/>
    <mergeCell ref="DX22:EA22"/>
    <mergeCell ref="EB22:EE22"/>
    <mergeCell ref="EF22:EI22"/>
    <mergeCell ref="EJ22:EM22"/>
    <mergeCell ref="EN22:EQ22"/>
    <mergeCell ref="CZ23:DC23"/>
    <mergeCell ref="DD23:DG23"/>
    <mergeCell ref="DH23:DK23"/>
    <mergeCell ref="DL23:DO23"/>
    <mergeCell ref="DP23:DS23"/>
    <mergeCell ref="CZ22:DC22"/>
    <mergeCell ref="DD22:DG22"/>
    <mergeCell ref="DH22:DK22"/>
    <mergeCell ref="DL22:DO22"/>
    <mergeCell ref="DP22:DS22"/>
    <mergeCell ref="ER20:EU20"/>
    <mergeCell ref="ER21:EU21"/>
    <mergeCell ref="ER22:EU22"/>
    <mergeCell ref="ER23:EU23"/>
    <mergeCell ref="ER24:EU24"/>
    <mergeCell ref="AK7:BG18"/>
    <mergeCell ref="BL24:BN24"/>
    <mergeCell ref="ER14:EU14"/>
    <mergeCell ref="ER15:EU15"/>
    <mergeCell ref="ER16:EU16"/>
    <mergeCell ref="ER17:EU17"/>
    <mergeCell ref="ER18:EU18"/>
    <mergeCell ref="ER19:EU19"/>
    <mergeCell ref="ER8:EU8"/>
    <mergeCell ref="ER9:EU9"/>
    <mergeCell ref="ER10:EU10"/>
    <mergeCell ref="ER11:EU11"/>
    <mergeCell ref="ER12:EU12"/>
    <mergeCell ref="ER13:EU13"/>
    <mergeCell ref="DX24:EA24"/>
    <mergeCell ref="EB24:EE24"/>
    <mergeCell ref="EF24:EI24"/>
    <mergeCell ref="EJ24:EM24"/>
    <mergeCell ref="EN24:EQ24"/>
    <mergeCell ref="DT22:DW22"/>
    <mergeCell ref="DT21:DW21"/>
    <mergeCell ref="DX21:EA21"/>
    <mergeCell ref="EB21:EE21"/>
    <mergeCell ref="EF21:EI21"/>
    <mergeCell ref="EJ21:EM21"/>
    <mergeCell ref="EN21:EQ21"/>
    <mergeCell ref="DX20:EA20"/>
    <mergeCell ref="BL55:BN55"/>
    <mergeCell ref="BL56:BN56"/>
    <mergeCell ref="BL57:BN57"/>
    <mergeCell ref="BL58:BN58"/>
    <mergeCell ref="BL59:BN59"/>
    <mergeCell ref="BL61:BN61"/>
    <mergeCell ref="BL38:BN38"/>
    <mergeCell ref="BL39:BN39"/>
    <mergeCell ref="BL40:BN40"/>
    <mergeCell ref="BL41:BN41"/>
    <mergeCell ref="BL42:BN42"/>
    <mergeCell ref="BL44:BN44"/>
    <mergeCell ref="BR33:BT33"/>
    <mergeCell ref="BR34:BT34"/>
    <mergeCell ref="BR35:BT35"/>
    <mergeCell ref="BR36:BT36"/>
    <mergeCell ref="BL21:BN21"/>
    <mergeCell ref="BL22:BN22"/>
    <mergeCell ref="BL23:BN23"/>
    <mergeCell ref="BI29:BN35"/>
    <mergeCell ref="BR31:BT31"/>
    <mergeCell ref="BR32:BT32"/>
    <mergeCell ref="BR28:BT28"/>
    <mergeCell ref="BI46:BN52"/>
    <mergeCell ref="BL127:BN127"/>
    <mergeCell ref="BL129:BN129"/>
    <mergeCell ref="BL106:BN106"/>
    <mergeCell ref="BL107:BN107"/>
    <mergeCell ref="BL108:BN108"/>
    <mergeCell ref="BL109:BN109"/>
    <mergeCell ref="BL110:BN110"/>
    <mergeCell ref="BL112:BN112"/>
    <mergeCell ref="BL89:BN89"/>
    <mergeCell ref="BL90:BN90"/>
    <mergeCell ref="BL91:BN91"/>
    <mergeCell ref="BL92:BN92"/>
    <mergeCell ref="BL93:BN93"/>
    <mergeCell ref="BL95:BN95"/>
    <mergeCell ref="BL72:BN72"/>
    <mergeCell ref="BL73:BN73"/>
    <mergeCell ref="BL74:BN74"/>
    <mergeCell ref="BL75:BN75"/>
    <mergeCell ref="BL76:BN76"/>
    <mergeCell ref="BL78:BN78"/>
    <mergeCell ref="BL174:BN174"/>
    <mergeCell ref="BL175:BN175"/>
    <mergeCell ref="BL176:BN176"/>
    <mergeCell ref="BL177:BN177"/>
    <mergeCell ref="BL178:BN178"/>
    <mergeCell ref="BL180:BN180"/>
    <mergeCell ref="BL157:BN157"/>
    <mergeCell ref="BL158:BN158"/>
    <mergeCell ref="BL159:BN159"/>
    <mergeCell ref="BL160:BN160"/>
    <mergeCell ref="BL161:BN161"/>
    <mergeCell ref="BL163:BN163"/>
    <mergeCell ref="BL140:BN140"/>
    <mergeCell ref="BL141:BN141"/>
    <mergeCell ref="BL142:BN142"/>
    <mergeCell ref="BL143:BN143"/>
    <mergeCell ref="BL144:BN144"/>
    <mergeCell ref="BL146:BN146"/>
    <mergeCell ref="BL244:BN244"/>
    <mergeCell ref="BL245:BN245"/>
    <mergeCell ref="BL246:BN246"/>
    <mergeCell ref="BL248:BN248"/>
    <mergeCell ref="BL229:BN229"/>
    <mergeCell ref="BL231:BN231"/>
    <mergeCell ref="BL208:BN208"/>
    <mergeCell ref="BL209:BN209"/>
    <mergeCell ref="BL210:BN210"/>
    <mergeCell ref="BL211:BN211"/>
    <mergeCell ref="BL212:BN212"/>
    <mergeCell ref="BL214:BN214"/>
    <mergeCell ref="BL191:BN191"/>
    <mergeCell ref="BL192:BN192"/>
    <mergeCell ref="BL193:BN193"/>
    <mergeCell ref="BL194:BN194"/>
    <mergeCell ref="BL195:BN195"/>
    <mergeCell ref="BL197:BN197"/>
    <mergeCell ref="BI63:BN69"/>
    <mergeCell ref="BI80:BN86"/>
    <mergeCell ref="BI97:BN103"/>
    <mergeCell ref="BI114:BN120"/>
    <mergeCell ref="BI131:BN137"/>
    <mergeCell ref="BL123:BN123"/>
    <mergeCell ref="BL124:BN124"/>
    <mergeCell ref="BL125:BN125"/>
    <mergeCell ref="BL126:BN126"/>
    <mergeCell ref="BL347:BN347"/>
    <mergeCell ref="BL348:BN348"/>
    <mergeCell ref="BL350:BN350"/>
    <mergeCell ref="BL327:BN327"/>
    <mergeCell ref="BL328:BN328"/>
    <mergeCell ref="BL329:BN329"/>
    <mergeCell ref="BL330:BN330"/>
    <mergeCell ref="BL331:BN331"/>
    <mergeCell ref="BL333:BN333"/>
    <mergeCell ref="BL310:BN310"/>
    <mergeCell ref="BL311:BN311"/>
    <mergeCell ref="BL312:BN312"/>
    <mergeCell ref="BL313:BN313"/>
    <mergeCell ref="BL314:BN314"/>
    <mergeCell ref="BL316:BN316"/>
    <mergeCell ref="BL293:BN293"/>
    <mergeCell ref="BL294:BN294"/>
    <mergeCell ref="BL295:BN295"/>
    <mergeCell ref="BL296:BN296"/>
    <mergeCell ref="BL297:BN297"/>
    <mergeCell ref="BL299:BN299"/>
    <mergeCell ref="BL276:BN276"/>
    <mergeCell ref="BL243:BN243"/>
    <mergeCell ref="BI352:BN358"/>
    <mergeCell ref="BI250:BN256"/>
    <mergeCell ref="BI267:BN273"/>
    <mergeCell ref="BI284:BN290"/>
    <mergeCell ref="BI301:BN307"/>
    <mergeCell ref="BI318:BN324"/>
    <mergeCell ref="BI335:BN341"/>
    <mergeCell ref="BL344:BN344"/>
    <mergeCell ref="BL345:BN345"/>
    <mergeCell ref="BL346:BN346"/>
    <mergeCell ref="BI148:BN154"/>
    <mergeCell ref="BI165:BN171"/>
    <mergeCell ref="BI182:BN188"/>
    <mergeCell ref="BI199:BN205"/>
    <mergeCell ref="BI216:BN222"/>
    <mergeCell ref="BI233:BN239"/>
    <mergeCell ref="BL225:BN225"/>
    <mergeCell ref="BL226:BN226"/>
    <mergeCell ref="BL227:BN227"/>
    <mergeCell ref="BL228:BN228"/>
    <mergeCell ref="BL277:BN277"/>
    <mergeCell ref="BL278:BN278"/>
    <mergeCell ref="BL279:BN279"/>
    <mergeCell ref="BL280:BN280"/>
    <mergeCell ref="BL282:BN282"/>
    <mergeCell ref="BL259:BN259"/>
    <mergeCell ref="BL260:BN260"/>
    <mergeCell ref="BL261:BN261"/>
    <mergeCell ref="BL262:BN262"/>
    <mergeCell ref="BL263:BN263"/>
    <mergeCell ref="BL265:BN265"/>
    <mergeCell ref="BL242:BN242"/>
  </mergeCells>
  <dataValidations count="1">
    <dataValidation type="list" allowBlank="1" showInputMessage="1" showErrorMessage="1" sqref="I22:X22 I345:X345 I328:X328 I311:X311 I294:X294 I277:X277 I260:X260 I243:X243 I226:X226 I209:X209 I192:X192 I175:X175 I158:X158 I141:X141 I124:X124 I107:X107 I90:X90 I73:X73 I56:X56 I39:X39">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ClearPowerComponents">
                <anchor moveWithCells="1" sizeWithCells="1">
                  <from>
                    <xdr:col>36</xdr:col>
                    <xdr:colOff>68580</xdr:colOff>
                    <xdr:row>2</xdr:row>
                    <xdr:rowOff>106680</xdr:rowOff>
                  </from>
                  <to>
                    <xdr:col>42</xdr:col>
                    <xdr:colOff>30480</xdr:colOff>
                    <xdr:row>4</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249977111117893"/>
  </sheetPr>
  <dimension ref="B1:DY189"/>
  <sheetViews>
    <sheetView showGridLines="0" topLeftCell="A10" zoomScaleNormal="100" workbookViewId="0">
      <selection activeCell="H24" sqref="H24:R24"/>
    </sheetView>
  </sheetViews>
  <sheetFormatPr defaultColWidth="2.6640625" defaultRowHeight="13.5" customHeight="1"/>
  <cols>
    <col min="1" max="16384" width="2.6640625" style="12"/>
  </cols>
  <sheetData>
    <row r="1" spans="2:49" ht="13.5" customHeight="1" thickBot="1"/>
    <row r="2" spans="2:4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49" ht="13.5" customHeight="1">
      <c r="B3" s="18"/>
      <c r="C3" s="224" t="s">
        <v>384</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AK3" s="18"/>
      <c r="AL3" s="224" t="s">
        <v>131</v>
      </c>
      <c r="AM3" s="224"/>
      <c r="AN3" s="224"/>
      <c r="AO3" s="224"/>
      <c r="AP3" s="224"/>
      <c r="AQ3" s="224"/>
      <c r="AR3" s="224"/>
      <c r="AS3" s="224"/>
      <c r="AT3" s="224"/>
      <c r="AU3" s="224"/>
      <c r="AV3" s="224"/>
      <c r="AW3" s="20"/>
    </row>
    <row r="4" spans="2:4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AK4" s="18"/>
      <c r="AL4" s="225"/>
      <c r="AM4" s="225"/>
      <c r="AN4" s="225"/>
      <c r="AO4" s="225"/>
      <c r="AP4" s="225"/>
      <c r="AQ4" s="225"/>
      <c r="AR4" s="225"/>
      <c r="AS4" s="225"/>
      <c r="AT4" s="225"/>
      <c r="AU4" s="225"/>
      <c r="AV4" s="225"/>
      <c r="AW4" s="20"/>
    </row>
    <row r="5" spans="2:49"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49" ht="13.5" customHeight="1" thickBot="1">
      <c r="B6" s="18"/>
      <c r="C6" s="375" t="s">
        <v>861</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AK6" s="18"/>
      <c r="AL6" s="19" t="s">
        <v>27</v>
      </c>
      <c r="AM6" s="19"/>
      <c r="AN6" s="19"/>
      <c r="AO6" s="19"/>
      <c r="AP6" s="19"/>
      <c r="AQ6" s="19"/>
      <c r="AR6" s="19"/>
      <c r="AS6" s="19"/>
      <c r="AT6" s="252">
        <f>Abilities!BF6</f>
        <v>36</v>
      </c>
      <c r="AU6" s="253"/>
      <c r="AV6" s="254"/>
      <c r="AW6" s="20"/>
    </row>
    <row r="7" spans="2:49" ht="13.5" customHeight="1" thickBo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AK7" s="18"/>
      <c r="AL7" s="19" t="s">
        <v>508</v>
      </c>
      <c r="AM7" s="19"/>
      <c r="AN7" s="19"/>
      <c r="AO7" s="19"/>
      <c r="AP7" s="19"/>
      <c r="AQ7" s="19"/>
      <c r="AR7" s="19"/>
      <c r="AS7" s="19"/>
      <c r="AT7" s="252">
        <f>Abilities!BF7</f>
        <v>31</v>
      </c>
      <c r="AU7" s="253"/>
      <c r="AV7" s="254"/>
      <c r="AW7" s="20"/>
    </row>
    <row r="8" spans="2:49" ht="13.5" customHeight="1" thickBo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AK8" s="18"/>
      <c r="AL8" s="19" t="str">
        <f>Skills!$AP$8</f>
        <v>Skills (66 ranks)</v>
      </c>
      <c r="AM8" s="19"/>
      <c r="AN8" s="19"/>
      <c r="AO8" s="19"/>
      <c r="AP8" s="19"/>
      <c r="AQ8" s="19"/>
      <c r="AR8" s="19"/>
      <c r="AS8" s="19"/>
      <c r="AT8" s="252">
        <f>Skills!$AX$8</f>
        <v>33</v>
      </c>
      <c r="AU8" s="253"/>
      <c r="AV8" s="254"/>
      <c r="AW8" s="20"/>
    </row>
    <row r="9" spans="2:49" ht="13.5" customHeight="1" thickBo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AK9" s="18"/>
      <c r="AL9" s="19" t="s">
        <v>228</v>
      </c>
      <c r="AM9" s="19"/>
      <c r="AN9" s="19"/>
      <c r="AO9" s="19"/>
      <c r="AP9" s="19"/>
      <c r="AQ9" s="19"/>
      <c r="AR9" s="19"/>
      <c r="AS9" s="19"/>
      <c r="AT9" s="252">
        <f>Adv!$BE$9</f>
        <v>18</v>
      </c>
      <c r="AU9" s="253"/>
      <c r="AV9" s="254"/>
      <c r="AW9" s="20"/>
    </row>
    <row r="10" spans="2:49" ht="13.5" customHeight="1" thickBo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AK10" s="18"/>
      <c r="AL10" s="19" t="s">
        <v>384</v>
      </c>
      <c r="AM10" s="19"/>
      <c r="AN10" s="19"/>
      <c r="AO10" s="19"/>
      <c r="AP10" s="19"/>
      <c r="AQ10" s="19"/>
      <c r="AR10" s="19"/>
      <c r="AS10" s="19"/>
      <c r="AT10" s="252">
        <f>SUM(AO36:AO172)</f>
        <v>0</v>
      </c>
      <c r="AU10" s="253"/>
      <c r="AV10" s="254"/>
      <c r="AW10" s="20"/>
    </row>
    <row r="11" spans="2:4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AK11" s="18"/>
      <c r="AL11" s="19"/>
      <c r="AM11" s="19"/>
      <c r="AN11" s="19"/>
      <c r="AO11" s="19"/>
      <c r="AP11" s="19"/>
      <c r="AQ11" s="19"/>
      <c r="AR11" s="19"/>
      <c r="AS11" s="19"/>
      <c r="AT11" s="19"/>
      <c r="AU11" s="19"/>
      <c r="AV11" s="19"/>
      <c r="AW11" s="20"/>
    </row>
    <row r="12" spans="2:4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AK12" s="18"/>
      <c r="AL12" s="19"/>
      <c r="AM12" s="19"/>
      <c r="AN12" s="19"/>
      <c r="AO12" s="19"/>
      <c r="AP12" s="19"/>
      <c r="AQ12" s="19"/>
      <c r="AR12" s="19"/>
      <c r="AS12" s="19"/>
      <c r="AT12" s="19"/>
      <c r="AU12" s="19"/>
      <c r="AV12" s="19"/>
      <c r="AW12" s="20"/>
    </row>
    <row r="13" spans="2:49" ht="13.5" customHeight="1" thickBo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AK13" s="18"/>
      <c r="AL13" s="19"/>
      <c r="AM13" s="19"/>
      <c r="AN13" s="19"/>
      <c r="AO13" s="19"/>
      <c r="AP13" s="19"/>
      <c r="AQ13" s="19"/>
      <c r="AR13" s="19"/>
      <c r="AS13" s="19"/>
      <c r="AT13" s="19"/>
      <c r="AU13" s="19"/>
      <c r="AV13" s="19"/>
      <c r="AW13" s="20"/>
    </row>
    <row r="14" spans="2:49" ht="13.5" customHeight="1" thickBo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AK14" s="18"/>
      <c r="AL14" s="19" t="s">
        <v>615</v>
      </c>
      <c r="AM14" s="19"/>
      <c r="AN14" s="19"/>
      <c r="AO14" s="19"/>
      <c r="AP14" s="19"/>
      <c r="AQ14" s="19"/>
      <c r="AR14" s="19"/>
      <c r="AS14" s="19"/>
      <c r="AT14" s="252">
        <f>SUM(AT6:AV10)</f>
        <v>118</v>
      </c>
      <c r="AU14" s="253"/>
      <c r="AV14" s="254"/>
      <c r="AW14" s="20"/>
    </row>
    <row r="15" spans="2:49" ht="13.5" customHeight="1" thickBo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AK15" s="21"/>
      <c r="AL15" s="22"/>
      <c r="AM15" s="22"/>
      <c r="AN15" s="22"/>
      <c r="AO15" s="22"/>
      <c r="AP15" s="22"/>
      <c r="AQ15" s="22"/>
      <c r="AR15" s="22"/>
      <c r="AS15" s="22"/>
      <c r="AT15" s="22"/>
      <c r="AU15" s="22"/>
      <c r="AV15" s="22"/>
      <c r="AW15" s="23"/>
    </row>
    <row r="16" spans="2:4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row>
    <row r="17" spans="2:129" ht="13.5" customHeight="1">
      <c r="B17" s="18"/>
      <c r="C17" s="378"/>
      <c r="D17" s="364"/>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79"/>
      <c r="AI17" s="20"/>
    </row>
    <row r="18" spans="2:129" ht="13.5" customHeight="1">
      <c r="B18" s="18"/>
      <c r="C18" s="378"/>
      <c r="D18" s="364"/>
      <c r="E18" s="364"/>
      <c r="F18" s="364"/>
      <c r="G18" s="364"/>
      <c r="H18" s="364"/>
      <c r="I18" s="364"/>
      <c r="J18" s="364"/>
      <c r="K18" s="364"/>
      <c r="L18" s="364"/>
      <c r="M18" s="364"/>
      <c r="N18" s="364"/>
      <c r="O18" s="364"/>
      <c r="P18" s="364"/>
      <c r="Q18" s="364"/>
      <c r="R18" s="364"/>
      <c r="S18" s="364"/>
      <c r="T18" s="364"/>
      <c r="U18" s="364"/>
      <c r="V18" s="364"/>
      <c r="W18" s="364"/>
      <c r="X18" s="364"/>
      <c r="Y18" s="364"/>
      <c r="Z18" s="364"/>
      <c r="AA18" s="364"/>
      <c r="AB18" s="364"/>
      <c r="AC18" s="364"/>
      <c r="AD18" s="364"/>
      <c r="AE18" s="364"/>
      <c r="AF18" s="364"/>
      <c r="AG18" s="364"/>
      <c r="AH18" s="379"/>
      <c r="AI18" s="20"/>
    </row>
    <row r="19" spans="2:129" ht="13.5" customHeight="1">
      <c r="B19" s="18"/>
      <c r="C19" s="378"/>
      <c r="D19" s="364"/>
      <c r="E19" s="364"/>
      <c r="F19" s="364"/>
      <c r="G19" s="364"/>
      <c r="H19" s="364"/>
      <c r="I19" s="364"/>
      <c r="J19" s="364"/>
      <c r="K19" s="364"/>
      <c r="L19" s="364"/>
      <c r="M19" s="364"/>
      <c r="N19" s="364"/>
      <c r="O19" s="364"/>
      <c r="P19" s="364"/>
      <c r="Q19" s="364"/>
      <c r="R19" s="364"/>
      <c r="S19" s="364"/>
      <c r="T19" s="364"/>
      <c r="U19" s="364"/>
      <c r="V19" s="364"/>
      <c r="W19" s="364"/>
      <c r="X19" s="364"/>
      <c r="Y19" s="364"/>
      <c r="Z19" s="364"/>
      <c r="AA19" s="364"/>
      <c r="AB19" s="364"/>
      <c r="AC19" s="364"/>
      <c r="AD19" s="364"/>
      <c r="AE19" s="364"/>
      <c r="AF19" s="364"/>
      <c r="AG19" s="364"/>
      <c r="AH19" s="379"/>
      <c r="AI19" s="20"/>
    </row>
    <row r="20" spans="2:129" ht="13.5" customHeight="1">
      <c r="B20" s="18"/>
      <c r="C20" s="380"/>
      <c r="D20" s="381"/>
      <c r="E20" s="381"/>
      <c r="F20" s="381"/>
      <c r="G20" s="381"/>
      <c r="H20" s="381"/>
      <c r="I20" s="381"/>
      <c r="J20" s="381"/>
      <c r="K20" s="381"/>
      <c r="L20" s="381"/>
      <c r="M20" s="381"/>
      <c r="N20" s="381"/>
      <c r="O20" s="381"/>
      <c r="P20" s="381"/>
      <c r="Q20" s="381"/>
      <c r="R20" s="381"/>
      <c r="S20" s="381"/>
      <c r="T20" s="381"/>
      <c r="U20" s="381"/>
      <c r="V20" s="381"/>
      <c r="W20" s="381"/>
      <c r="X20" s="381"/>
      <c r="Y20" s="381"/>
      <c r="Z20" s="381"/>
      <c r="AA20" s="381"/>
      <c r="AB20" s="381"/>
      <c r="AC20" s="381"/>
      <c r="AD20" s="381"/>
      <c r="AE20" s="381"/>
      <c r="AF20" s="381"/>
      <c r="AG20" s="381"/>
      <c r="AH20" s="382"/>
      <c r="AI20" s="20"/>
    </row>
    <row r="21" spans="2:129" ht="13.5" customHeight="1" thickBot="1">
      <c r="B21" s="21"/>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3"/>
    </row>
    <row r="22" spans="2:129" ht="13.5" customHeight="1" thickBot="1">
      <c r="CG22" s="44"/>
      <c r="CH22" s="44"/>
      <c r="CI22" s="44"/>
      <c r="CJ22" s="44"/>
      <c r="CK22" s="44"/>
      <c r="CL22" s="44"/>
      <c r="CM22" s="44"/>
      <c r="CN22" s="44"/>
      <c r="CO22" s="44"/>
    </row>
    <row r="23" spans="2:129" ht="13.5" customHeight="1" thickBot="1">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7"/>
      <c r="BF23" s="12" t="s">
        <v>620</v>
      </c>
      <c r="BO23" s="12" t="s">
        <v>621</v>
      </c>
      <c r="BX23" s="12" t="s">
        <v>790</v>
      </c>
      <c r="CG23" s="44"/>
      <c r="CH23" s="44"/>
      <c r="CI23" s="44"/>
      <c r="CJ23" s="44"/>
      <c r="CK23" s="44"/>
      <c r="CL23" s="44"/>
      <c r="CM23" s="44"/>
      <c r="CN23" s="44"/>
      <c r="CO23" s="44"/>
      <c r="CP23" s="12" t="s">
        <v>793</v>
      </c>
      <c r="DH23" s="12" t="s">
        <v>1260</v>
      </c>
    </row>
    <row r="24" spans="2:129" ht="13.5" customHeight="1" thickBot="1">
      <c r="B24" s="18"/>
      <c r="C24" s="19" t="s">
        <v>385</v>
      </c>
      <c r="D24" s="19"/>
      <c r="E24" s="19"/>
      <c r="F24" s="19"/>
      <c r="G24" s="19"/>
      <c r="H24" s="249"/>
      <c r="I24" s="250"/>
      <c r="J24" s="250"/>
      <c r="K24" s="250"/>
      <c r="L24" s="250"/>
      <c r="M24" s="250"/>
      <c r="N24" s="250"/>
      <c r="O24" s="250"/>
      <c r="P24" s="250"/>
      <c r="Q24" s="250"/>
      <c r="R24" s="251"/>
      <c r="S24" s="401" t="s">
        <v>505</v>
      </c>
      <c r="T24" s="262"/>
      <c r="U24" s="262"/>
      <c r="V24" s="262"/>
      <c r="W24" s="262"/>
      <c r="X24" s="262"/>
      <c r="Y24" s="269" t="s">
        <v>37</v>
      </c>
      <c r="Z24" s="269"/>
      <c r="AA24" s="269"/>
      <c r="AB24" s="269" t="s">
        <v>36</v>
      </c>
      <c r="AC24" s="269"/>
      <c r="AD24" s="269"/>
      <c r="AE24" s="269" t="s">
        <v>506</v>
      </c>
      <c r="AF24" s="269"/>
      <c r="AG24" s="269"/>
      <c r="AH24" s="269"/>
      <c r="AI24" s="269"/>
      <c r="AJ24" s="269"/>
      <c r="AK24" s="269"/>
      <c r="AL24" s="269" t="s">
        <v>507</v>
      </c>
      <c r="AM24" s="269"/>
      <c r="AN24" s="269"/>
      <c r="AO24" s="269"/>
      <c r="AP24" s="269"/>
      <c r="AQ24" s="269"/>
      <c r="AR24" s="269"/>
      <c r="AS24" s="20"/>
      <c r="BF24" s="384" t="str">
        <f>IF(H24="","",H24&amp;IF(H36="",""," ["&amp;H36&amp;"]"))</f>
        <v/>
      </c>
      <c r="BG24" s="385"/>
      <c r="BH24" s="385"/>
      <c r="BI24" s="385"/>
      <c r="BJ24" s="385"/>
      <c r="BK24" s="385"/>
      <c r="BL24" s="385"/>
      <c r="BM24" s="385"/>
      <c r="BN24" s="386"/>
      <c r="BO24" s="371"/>
      <c r="BP24" s="371"/>
      <c r="BQ24" s="371"/>
      <c r="BR24" s="371"/>
      <c r="BS24" s="371"/>
      <c r="BT24" s="371"/>
      <c r="BU24" s="371"/>
      <c r="BV24" s="371"/>
      <c r="BW24" s="371"/>
      <c r="BX24" s="346" t="str">
        <f>IF($BF24="","",CHAR(149)&amp;" "&amp;$BF24&amp;CHAR(10)&amp;$BO34)</f>
        <v/>
      </c>
      <c r="BY24" s="347"/>
      <c r="BZ24" s="347"/>
      <c r="CA24" s="347"/>
      <c r="CB24" s="347"/>
      <c r="CC24" s="347"/>
      <c r="CD24" s="347"/>
      <c r="CE24" s="347"/>
      <c r="CF24" s="347"/>
      <c r="CG24" s="347"/>
      <c r="CH24" s="347"/>
      <c r="CI24" s="347"/>
      <c r="CJ24" s="347"/>
      <c r="CK24" s="347"/>
      <c r="CL24" s="347"/>
      <c r="CM24" s="347"/>
      <c r="CN24" s="347"/>
      <c r="CO24" s="348"/>
      <c r="CP24" s="346" t="str">
        <f>IF($BF24="","","[b]"&amp;$BF24&amp;": [/b]"&amp;CHAR(10)&amp;$BO34&amp;CHAR(10)&amp;"("&amp;$AO36&amp;" points)")</f>
        <v/>
      </c>
      <c r="CQ24" s="347"/>
      <c r="CR24" s="347"/>
      <c r="CS24" s="347"/>
      <c r="CT24" s="347"/>
      <c r="CU24" s="347"/>
      <c r="CV24" s="347"/>
      <c r="CW24" s="347"/>
      <c r="CX24" s="347"/>
      <c r="CY24" s="347"/>
      <c r="CZ24" s="347"/>
      <c r="DA24" s="347"/>
      <c r="DB24" s="347"/>
      <c r="DC24" s="347"/>
      <c r="DD24" s="347"/>
      <c r="DE24" s="347"/>
      <c r="DF24" s="347"/>
      <c r="DG24" s="348"/>
      <c r="DH24" s="346" t="str">
        <f>IF($BF24="","","**"&amp;$BF24&amp;":**"&amp;CHAR(10)&amp;$BO34&amp;CHAR(10)&amp;"("&amp;$AO36&amp;" points)")</f>
        <v/>
      </c>
      <c r="DI24" s="347"/>
      <c r="DJ24" s="347"/>
      <c r="DK24" s="347"/>
      <c r="DL24" s="347"/>
      <c r="DM24" s="347"/>
      <c r="DN24" s="347"/>
      <c r="DO24" s="347"/>
      <c r="DP24" s="347"/>
      <c r="DQ24" s="347"/>
      <c r="DR24" s="347"/>
      <c r="DS24" s="347"/>
      <c r="DT24" s="347"/>
      <c r="DU24" s="347"/>
      <c r="DV24" s="347"/>
      <c r="DW24" s="347"/>
      <c r="DX24" s="347"/>
      <c r="DY24" s="348"/>
    </row>
    <row r="25" spans="2:129" ht="13.5" customHeight="1" thickBot="1">
      <c r="B25" s="18"/>
      <c r="C25" s="19" t="s">
        <v>495</v>
      </c>
      <c r="D25" s="19"/>
      <c r="E25" s="19"/>
      <c r="F25" s="19"/>
      <c r="G25" s="19"/>
      <c r="H25" s="395"/>
      <c r="I25" s="396"/>
      <c r="J25" s="396"/>
      <c r="K25" s="396"/>
      <c r="L25" s="396"/>
      <c r="M25" s="396"/>
      <c r="N25" s="396"/>
      <c r="O25" s="396"/>
      <c r="P25" s="396"/>
      <c r="Q25" s="396"/>
      <c r="R25" s="397"/>
      <c r="S25" s="395"/>
      <c r="T25" s="396"/>
      <c r="U25" s="396"/>
      <c r="V25" s="396"/>
      <c r="W25" s="396"/>
      <c r="X25" s="397"/>
      <c r="Y25" s="252" t="str">
        <f t="shared" ref="Y25:Y34" si="0">IF($H25="","",IF($S25="Normal",VLOOKUP($H25,ComponentMatrix,7,FALSE),IF($S25="Alternate",1,IF($S25="Dynamic",2,IF($S25="None",0,"")))))</f>
        <v/>
      </c>
      <c r="Z25" s="253"/>
      <c r="AA25" s="254"/>
      <c r="AB25" s="252" t="str">
        <f>IF($H25="","",VLOOKUP($H25,ComponentMatrix,5,FALSE))</f>
        <v/>
      </c>
      <c r="AC25" s="253"/>
      <c r="AD25" s="254"/>
      <c r="AE25" s="252" t="str">
        <f>IF($H25="","",VLOOKUP($H25,ComponentMatrix,9,FALSE))</f>
        <v/>
      </c>
      <c r="AF25" s="253"/>
      <c r="AG25" s="253"/>
      <c r="AH25" s="253"/>
      <c r="AI25" s="253"/>
      <c r="AJ25" s="253"/>
      <c r="AK25" s="254"/>
      <c r="AL25" s="398" t="str">
        <f t="shared" ref="AL25:AL34" si="1">IF($H25="","",VLOOKUP($H25,ComponentMatrix,15,FALSE))</f>
        <v/>
      </c>
      <c r="AM25" s="399"/>
      <c r="AN25" s="399"/>
      <c r="AO25" s="399"/>
      <c r="AP25" s="399"/>
      <c r="AQ25" s="399"/>
      <c r="AR25" s="400"/>
      <c r="AS25" s="20"/>
      <c r="BF25" s="384" t="str">
        <f>IF(H25="","",IF(S25="Alternate","Alt: ","")&amp;IF(S25="Dynamic","Dyn: ","")&amp;IF(H25=AE25,AE25&amp;" "&amp;AB25&amp;IF(AL25="",""," ["&amp;AL25&amp;"]"),IF(AE25="Custom",H25&amp;" ("&amp;Y25&amp;" points)"&amp;CHAR(10),H25&amp;": "&amp;AE25&amp;" "&amp;AB25&amp;IF(AL25="",""," ["&amp;AL25&amp;"]"))))</f>
        <v/>
      </c>
      <c r="BG25" s="385"/>
      <c r="BH25" s="385"/>
      <c r="BI25" s="385"/>
      <c r="BJ25" s="385"/>
      <c r="BK25" s="385"/>
      <c r="BL25" s="385"/>
      <c r="BM25" s="385"/>
      <c r="BN25" s="386"/>
      <c r="BO25" s="371" t="str">
        <f>IF(BF25="","","     "&amp;BF25)</f>
        <v/>
      </c>
      <c r="BP25" s="371"/>
      <c r="BQ25" s="371"/>
      <c r="BR25" s="371"/>
      <c r="BS25" s="371"/>
      <c r="BT25" s="371"/>
      <c r="BU25" s="371"/>
      <c r="BV25" s="371"/>
      <c r="BW25" s="371"/>
      <c r="BX25" s="349"/>
      <c r="BY25" s="334"/>
      <c r="BZ25" s="334"/>
      <c r="CA25" s="334"/>
      <c r="CB25" s="334"/>
      <c r="CC25" s="334"/>
      <c r="CD25" s="334"/>
      <c r="CE25" s="334"/>
      <c r="CF25" s="334"/>
      <c r="CG25" s="334"/>
      <c r="CH25" s="334"/>
      <c r="CI25" s="334"/>
      <c r="CJ25" s="334"/>
      <c r="CK25" s="334"/>
      <c r="CL25" s="334"/>
      <c r="CM25" s="334"/>
      <c r="CN25" s="334"/>
      <c r="CO25" s="350"/>
      <c r="CP25" s="349"/>
      <c r="CQ25" s="334"/>
      <c r="CR25" s="334"/>
      <c r="CS25" s="334"/>
      <c r="CT25" s="334"/>
      <c r="CU25" s="334"/>
      <c r="CV25" s="334"/>
      <c r="CW25" s="334"/>
      <c r="CX25" s="334"/>
      <c r="CY25" s="334"/>
      <c r="CZ25" s="334"/>
      <c r="DA25" s="334"/>
      <c r="DB25" s="334"/>
      <c r="DC25" s="334"/>
      <c r="DD25" s="334"/>
      <c r="DE25" s="334"/>
      <c r="DF25" s="334"/>
      <c r="DG25" s="350"/>
      <c r="DH25" s="349"/>
      <c r="DI25" s="334"/>
      <c r="DJ25" s="334"/>
      <c r="DK25" s="334"/>
      <c r="DL25" s="334"/>
      <c r="DM25" s="334"/>
      <c r="DN25" s="334"/>
      <c r="DO25" s="334"/>
      <c r="DP25" s="334"/>
      <c r="DQ25" s="334"/>
      <c r="DR25" s="334"/>
      <c r="DS25" s="334"/>
      <c r="DT25" s="334"/>
      <c r="DU25" s="334"/>
      <c r="DV25" s="334"/>
      <c r="DW25" s="334"/>
      <c r="DX25" s="334"/>
      <c r="DY25" s="350"/>
    </row>
    <row r="26" spans="2:129" ht="13.5" customHeight="1" thickBot="1">
      <c r="B26" s="18"/>
      <c r="C26" s="19" t="s">
        <v>496</v>
      </c>
      <c r="D26" s="19"/>
      <c r="E26" s="19"/>
      <c r="F26" s="19"/>
      <c r="G26" s="19"/>
      <c r="H26" s="395"/>
      <c r="I26" s="396"/>
      <c r="J26" s="396"/>
      <c r="K26" s="396"/>
      <c r="L26" s="396"/>
      <c r="M26" s="396"/>
      <c r="N26" s="396"/>
      <c r="O26" s="396"/>
      <c r="P26" s="396"/>
      <c r="Q26" s="396"/>
      <c r="R26" s="397"/>
      <c r="S26" s="395"/>
      <c r="T26" s="396"/>
      <c r="U26" s="396"/>
      <c r="V26" s="396"/>
      <c r="W26" s="396"/>
      <c r="X26" s="397"/>
      <c r="Y26" s="252" t="str">
        <f t="shared" si="0"/>
        <v/>
      </c>
      <c r="Z26" s="253"/>
      <c r="AA26" s="254"/>
      <c r="AB26" s="252" t="str">
        <f t="shared" ref="AB26:AB34" si="2">IF(H26="","",VLOOKUP(H26,ComponentMatrix,5,FALSE))</f>
        <v/>
      </c>
      <c r="AC26" s="253"/>
      <c r="AD26" s="254"/>
      <c r="AE26" s="252" t="str">
        <f t="shared" ref="AE26:AE34" si="3">IF(H26="","",VLOOKUP(H26,ComponentMatrix,9,FALSE))</f>
        <v/>
      </c>
      <c r="AF26" s="253"/>
      <c r="AG26" s="253"/>
      <c r="AH26" s="253"/>
      <c r="AI26" s="253"/>
      <c r="AJ26" s="253"/>
      <c r="AK26" s="254"/>
      <c r="AL26" s="398" t="str">
        <f t="shared" si="1"/>
        <v/>
      </c>
      <c r="AM26" s="399"/>
      <c r="AN26" s="399"/>
      <c r="AO26" s="399"/>
      <c r="AP26" s="399"/>
      <c r="AQ26" s="399"/>
      <c r="AR26" s="400"/>
      <c r="AS26" s="20"/>
      <c r="BF26" s="384" t="str">
        <f t="shared" ref="BF26:BF34" si="4">IF(H26="","",IF(S26="Alternate","Alt: ","")&amp;IF(S26="Dynamic","Dyn: ","")&amp;IF(H26=AE26,AE26&amp;" "&amp;AB26&amp;IF(AL26="",""," ["&amp;AL26&amp;"]"),IF(AE26="Custom",H26&amp;" ("&amp;Y26&amp;" points)"&amp;CHAR(10),H26&amp;": "&amp;AE26&amp;" "&amp;AB26&amp;IF(AL26="",""," ["&amp;AL26&amp;"]"))))</f>
        <v/>
      </c>
      <c r="BG26" s="385"/>
      <c r="BH26" s="385"/>
      <c r="BI26" s="385"/>
      <c r="BJ26" s="385"/>
      <c r="BK26" s="385"/>
      <c r="BL26" s="385"/>
      <c r="BM26" s="385"/>
      <c r="BN26" s="386"/>
      <c r="BO26" s="387" t="str">
        <f>BO25&amp;IF(AE25="Custom","     "&amp;BF26,IF(S26="None",", "&amp;BF26,"")&amp;IF(OR(S26="Alternate",S26="Dynamic"),CHAR(10)&amp;"     "&amp;BF26,"")&amp;IF(S26="Normal",IF(OR(S25="Alternate",S25="Dynamic",S25="None"),CHAR(10)&amp;"     "&amp;BF26,", "&amp;BF26),""))</f>
        <v/>
      </c>
      <c r="BP26" s="387"/>
      <c r="BQ26" s="387"/>
      <c r="BR26" s="387"/>
      <c r="BS26" s="387"/>
      <c r="BT26" s="387"/>
      <c r="BU26" s="387"/>
      <c r="BV26" s="387"/>
      <c r="BW26" s="387"/>
      <c r="BX26" s="349"/>
      <c r="BY26" s="334"/>
      <c r="BZ26" s="334"/>
      <c r="CA26" s="334"/>
      <c r="CB26" s="334"/>
      <c r="CC26" s="334"/>
      <c r="CD26" s="334"/>
      <c r="CE26" s="334"/>
      <c r="CF26" s="334"/>
      <c r="CG26" s="334"/>
      <c r="CH26" s="334"/>
      <c r="CI26" s="334"/>
      <c r="CJ26" s="334"/>
      <c r="CK26" s="334"/>
      <c r="CL26" s="334"/>
      <c r="CM26" s="334"/>
      <c r="CN26" s="334"/>
      <c r="CO26" s="350"/>
      <c r="CP26" s="349"/>
      <c r="CQ26" s="334"/>
      <c r="CR26" s="334"/>
      <c r="CS26" s="334"/>
      <c r="CT26" s="334"/>
      <c r="CU26" s="334"/>
      <c r="CV26" s="334"/>
      <c r="CW26" s="334"/>
      <c r="CX26" s="334"/>
      <c r="CY26" s="334"/>
      <c r="CZ26" s="334"/>
      <c r="DA26" s="334"/>
      <c r="DB26" s="334"/>
      <c r="DC26" s="334"/>
      <c r="DD26" s="334"/>
      <c r="DE26" s="334"/>
      <c r="DF26" s="334"/>
      <c r="DG26" s="350"/>
      <c r="DH26" s="349"/>
      <c r="DI26" s="334"/>
      <c r="DJ26" s="334"/>
      <c r="DK26" s="334"/>
      <c r="DL26" s="334"/>
      <c r="DM26" s="334"/>
      <c r="DN26" s="334"/>
      <c r="DO26" s="334"/>
      <c r="DP26" s="334"/>
      <c r="DQ26" s="334"/>
      <c r="DR26" s="334"/>
      <c r="DS26" s="334"/>
      <c r="DT26" s="334"/>
      <c r="DU26" s="334"/>
      <c r="DV26" s="334"/>
      <c r="DW26" s="334"/>
      <c r="DX26" s="334"/>
      <c r="DY26" s="350"/>
    </row>
    <row r="27" spans="2:129" ht="13.5" customHeight="1" thickBot="1">
      <c r="B27" s="18"/>
      <c r="C27" s="19" t="s">
        <v>497</v>
      </c>
      <c r="D27" s="19"/>
      <c r="E27" s="19"/>
      <c r="F27" s="19"/>
      <c r="G27" s="19"/>
      <c r="H27" s="395"/>
      <c r="I27" s="396"/>
      <c r="J27" s="396"/>
      <c r="K27" s="396"/>
      <c r="L27" s="396"/>
      <c r="M27" s="396"/>
      <c r="N27" s="396"/>
      <c r="O27" s="396"/>
      <c r="P27" s="396"/>
      <c r="Q27" s="396"/>
      <c r="R27" s="397"/>
      <c r="S27" s="395"/>
      <c r="T27" s="396"/>
      <c r="U27" s="396"/>
      <c r="V27" s="396"/>
      <c r="W27" s="396"/>
      <c r="X27" s="397"/>
      <c r="Y27" s="252" t="str">
        <f t="shared" si="0"/>
        <v/>
      </c>
      <c r="Z27" s="253"/>
      <c r="AA27" s="254"/>
      <c r="AB27" s="252" t="str">
        <f t="shared" si="2"/>
        <v/>
      </c>
      <c r="AC27" s="253"/>
      <c r="AD27" s="254"/>
      <c r="AE27" s="252" t="str">
        <f t="shared" si="3"/>
        <v/>
      </c>
      <c r="AF27" s="253"/>
      <c r="AG27" s="253"/>
      <c r="AH27" s="253"/>
      <c r="AI27" s="253"/>
      <c r="AJ27" s="253"/>
      <c r="AK27" s="254"/>
      <c r="AL27" s="398" t="str">
        <f t="shared" si="1"/>
        <v/>
      </c>
      <c r="AM27" s="399"/>
      <c r="AN27" s="399"/>
      <c r="AO27" s="399"/>
      <c r="AP27" s="399"/>
      <c r="AQ27" s="399"/>
      <c r="AR27" s="400"/>
      <c r="AS27" s="20"/>
      <c r="BF27" s="384" t="str">
        <f t="shared" si="4"/>
        <v/>
      </c>
      <c r="BG27" s="385"/>
      <c r="BH27" s="385"/>
      <c r="BI27" s="385"/>
      <c r="BJ27" s="385"/>
      <c r="BK27" s="385"/>
      <c r="BL27" s="385"/>
      <c r="BM27" s="385"/>
      <c r="BN27" s="386"/>
      <c r="BO27" s="387" t="str">
        <f t="shared" ref="BO27:BO34" si="5">BO26&amp;IF(AE26="Custom","     "&amp;BF27,IF(S27="None",", "&amp;BF27,"")&amp;IF(OR(S27="Alternate",S27="Dynamic"),CHAR(10)&amp;"     "&amp;BF27,"")&amp;IF(S27="Normal",IF(OR(S26="Alternate",S26="Dynamic",S26="None"),CHAR(10)&amp;"     "&amp;BF27,", "&amp;BF27),""))</f>
        <v/>
      </c>
      <c r="BP27" s="387"/>
      <c r="BQ27" s="387"/>
      <c r="BR27" s="387"/>
      <c r="BS27" s="387"/>
      <c r="BT27" s="387"/>
      <c r="BU27" s="387"/>
      <c r="BV27" s="387"/>
      <c r="BW27" s="387"/>
      <c r="BX27" s="349"/>
      <c r="BY27" s="334"/>
      <c r="BZ27" s="334"/>
      <c r="CA27" s="334"/>
      <c r="CB27" s="334"/>
      <c r="CC27" s="334"/>
      <c r="CD27" s="334"/>
      <c r="CE27" s="334"/>
      <c r="CF27" s="334"/>
      <c r="CG27" s="334"/>
      <c r="CH27" s="334"/>
      <c r="CI27" s="334"/>
      <c r="CJ27" s="334"/>
      <c r="CK27" s="334"/>
      <c r="CL27" s="334"/>
      <c r="CM27" s="334"/>
      <c r="CN27" s="334"/>
      <c r="CO27" s="350"/>
      <c r="CP27" s="349"/>
      <c r="CQ27" s="334"/>
      <c r="CR27" s="334"/>
      <c r="CS27" s="334"/>
      <c r="CT27" s="334"/>
      <c r="CU27" s="334"/>
      <c r="CV27" s="334"/>
      <c r="CW27" s="334"/>
      <c r="CX27" s="334"/>
      <c r="CY27" s="334"/>
      <c r="CZ27" s="334"/>
      <c r="DA27" s="334"/>
      <c r="DB27" s="334"/>
      <c r="DC27" s="334"/>
      <c r="DD27" s="334"/>
      <c r="DE27" s="334"/>
      <c r="DF27" s="334"/>
      <c r="DG27" s="350"/>
      <c r="DH27" s="349"/>
      <c r="DI27" s="334"/>
      <c r="DJ27" s="334"/>
      <c r="DK27" s="334"/>
      <c r="DL27" s="334"/>
      <c r="DM27" s="334"/>
      <c r="DN27" s="334"/>
      <c r="DO27" s="334"/>
      <c r="DP27" s="334"/>
      <c r="DQ27" s="334"/>
      <c r="DR27" s="334"/>
      <c r="DS27" s="334"/>
      <c r="DT27" s="334"/>
      <c r="DU27" s="334"/>
      <c r="DV27" s="334"/>
      <c r="DW27" s="334"/>
      <c r="DX27" s="334"/>
      <c r="DY27" s="350"/>
    </row>
    <row r="28" spans="2:129" ht="13.5" customHeight="1" thickBot="1">
      <c r="B28" s="18"/>
      <c r="C28" s="19" t="s">
        <v>498</v>
      </c>
      <c r="D28" s="19"/>
      <c r="E28" s="19"/>
      <c r="F28" s="19"/>
      <c r="G28" s="19"/>
      <c r="H28" s="395"/>
      <c r="I28" s="396"/>
      <c r="J28" s="396"/>
      <c r="K28" s="396"/>
      <c r="L28" s="396"/>
      <c r="M28" s="396"/>
      <c r="N28" s="396"/>
      <c r="O28" s="396"/>
      <c r="P28" s="396"/>
      <c r="Q28" s="396"/>
      <c r="R28" s="397"/>
      <c r="S28" s="395"/>
      <c r="T28" s="396"/>
      <c r="U28" s="396"/>
      <c r="V28" s="396"/>
      <c r="W28" s="396"/>
      <c r="X28" s="397"/>
      <c r="Y28" s="252" t="str">
        <f t="shared" si="0"/>
        <v/>
      </c>
      <c r="Z28" s="253"/>
      <c r="AA28" s="254"/>
      <c r="AB28" s="252" t="str">
        <f t="shared" si="2"/>
        <v/>
      </c>
      <c r="AC28" s="253"/>
      <c r="AD28" s="254"/>
      <c r="AE28" s="252" t="str">
        <f t="shared" si="3"/>
        <v/>
      </c>
      <c r="AF28" s="253"/>
      <c r="AG28" s="253"/>
      <c r="AH28" s="253"/>
      <c r="AI28" s="253"/>
      <c r="AJ28" s="253"/>
      <c r="AK28" s="254"/>
      <c r="AL28" s="398" t="str">
        <f t="shared" si="1"/>
        <v/>
      </c>
      <c r="AM28" s="399"/>
      <c r="AN28" s="399"/>
      <c r="AO28" s="399"/>
      <c r="AP28" s="399"/>
      <c r="AQ28" s="399"/>
      <c r="AR28" s="400"/>
      <c r="AS28" s="20"/>
      <c r="BF28" s="384" t="str">
        <f t="shared" si="4"/>
        <v/>
      </c>
      <c r="BG28" s="385"/>
      <c r="BH28" s="385"/>
      <c r="BI28" s="385"/>
      <c r="BJ28" s="385"/>
      <c r="BK28" s="385"/>
      <c r="BL28" s="385"/>
      <c r="BM28" s="385"/>
      <c r="BN28" s="386"/>
      <c r="BO28" s="387" t="str">
        <f t="shared" si="5"/>
        <v/>
      </c>
      <c r="BP28" s="387"/>
      <c r="BQ28" s="387"/>
      <c r="BR28" s="387"/>
      <c r="BS28" s="387"/>
      <c r="BT28" s="387"/>
      <c r="BU28" s="387"/>
      <c r="BV28" s="387"/>
      <c r="BW28" s="387"/>
      <c r="BX28" s="349"/>
      <c r="BY28" s="334"/>
      <c r="BZ28" s="334"/>
      <c r="CA28" s="334"/>
      <c r="CB28" s="334"/>
      <c r="CC28" s="334"/>
      <c r="CD28" s="334"/>
      <c r="CE28" s="334"/>
      <c r="CF28" s="334"/>
      <c r="CG28" s="334"/>
      <c r="CH28" s="334"/>
      <c r="CI28" s="334"/>
      <c r="CJ28" s="334"/>
      <c r="CK28" s="334"/>
      <c r="CL28" s="334"/>
      <c r="CM28" s="334"/>
      <c r="CN28" s="334"/>
      <c r="CO28" s="350"/>
      <c r="CP28" s="349"/>
      <c r="CQ28" s="334"/>
      <c r="CR28" s="334"/>
      <c r="CS28" s="334"/>
      <c r="CT28" s="334"/>
      <c r="CU28" s="334"/>
      <c r="CV28" s="334"/>
      <c r="CW28" s="334"/>
      <c r="CX28" s="334"/>
      <c r="CY28" s="334"/>
      <c r="CZ28" s="334"/>
      <c r="DA28" s="334"/>
      <c r="DB28" s="334"/>
      <c r="DC28" s="334"/>
      <c r="DD28" s="334"/>
      <c r="DE28" s="334"/>
      <c r="DF28" s="334"/>
      <c r="DG28" s="350"/>
      <c r="DH28" s="349"/>
      <c r="DI28" s="334"/>
      <c r="DJ28" s="334"/>
      <c r="DK28" s="334"/>
      <c r="DL28" s="334"/>
      <c r="DM28" s="334"/>
      <c r="DN28" s="334"/>
      <c r="DO28" s="334"/>
      <c r="DP28" s="334"/>
      <c r="DQ28" s="334"/>
      <c r="DR28" s="334"/>
      <c r="DS28" s="334"/>
      <c r="DT28" s="334"/>
      <c r="DU28" s="334"/>
      <c r="DV28" s="334"/>
      <c r="DW28" s="334"/>
      <c r="DX28" s="334"/>
      <c r="DY28" s="350"/>
    </row>
    <row r="29" spans="2:129" ht="13.5" customHeight="1" thickBot="1">
      <c r="B29" s="18"/>
      <c r="C29" s="19" t="s">
        <v>499</v>
      </c>
      <c r="D29" s="19"/>
      <c r="E29" s="19"/>
      <c r="F29" s="19"/>
      <c r="G29" s="19"/>
      <c r="H29" s="395"/>
      <c r="I29" s="396"/>
      <c r="J29" s="396"/>
      <c r="K29" s="396"/>
      <c r="L29" s="396"/>
      <c r="M29" s="396"/>
      <c r="N29" s="396"/>
      <c r="O29" s="396"/>
      <c r="P29" s="396"/>
      <c r="Q29" s="396"/>
      <c r="R29" s="397"/>
      <c r="S29" s="395"/>
      <c r="T29" s="396"/>
      <c r="U29" s="396"/>
      <c r="V29" s="396"/>
      <c r="W29" s="396"/>
      <c r="X29" s="397"/>
      <c r="Y29" s="252" t="str">
        <f t="shared" si="0"/>
        <v/>
      </c>
      <c r="Z29" s="253"/>
      <c r="AA29" s="254"/>
      <c r="AB29" s="252" t="str">
        <f t="shared" si="2"/>
        <v/>
      </c>
      <c r="AC29" s="253"/>
      <c r="AD29" s="254"/>
      <c r="AE29" s="252" t="str">
        <f t="shared" si="3"/>
        <v/>
      </c>
      <c r="AF29" s="253"/>
      <c r="AG29" s="253"/>
      <c r="AH29" s="253"/>
      <c r="AI29" s="253"/>
      <c r="AJ29" s="253"/>
      <c r="AK29" s="254"/>
      <c r="AL29" s="398" t="str">
        <f t="shared" si="1"/>
        <v/>
      </c>
      <c r="AM29" s="399"/>
      <c r="AN29" s="399"/>
      <c r="AO29" s="399"/>
      <c r="AP29" s="399"/>
      <c r="AQ29" s="399"/>
      <c r="AR29" s="400"/>
      <c r="AS29" s="20"/>
      <c r="BF29" s="384" t="str">
        <f t="shared" si="4"/>
        <v/>
      </c>
      <c r="BG29" s="385"/>
      <c r="BH29" s="385"/>
      <c r="BI29" s="385"/>
      <c r="BJ29" s="385"/>
      <c r="BK29" s="385"/>
      <c r="BL29" s="385"/>
      <c r="BM29" s="385"/>
      <c r="BN29" s="386"/>
      <c r="BO29" s="387" t="str">
        <f t="shared" si="5"/>
        <v/>
      </c>
      <c r="BP29" s="387"/>
      <c r="BQ29" s="387"/>
      <c r="BR29" s="387"/>
      <c r="BS29" s="387"/>
      <c r="BT29" s="387"/>
      <c r="BU29" s="387"/>
      <c r="BV29" s="387"/>
      <c r="BW29" s="387"/>
      <c r="BX29" s="349"/>
      <c r="BY29" s="334"/>
      <c r="BZ29" s="334"/>
      <c r="CA29" s="334"/>
      <c r="CB29" s="334"/>
      <c r="CC29" s="334"/>
      <c r="CD29" s="334"/>
      <c r="CE29" s="334"/>
      <c r="CF29" s="334"/>
      <c r="CG29" s="334"/>
      <c r="CH29" s="334"/>
      <c r="CI29" s="334"/>
      <c r="CJ29" s="334"/>
      <c r="CK29" s="334"/>
      <c r="CL29" s="334"/>
      <c r="CM29" s="334"/>
      <c r="CN29" s="334"/>
      <c r="CO29" s="350"/>
      <c r="CP29" s="349"/>
      <c r="CQ29" s="334"/>
      <c r="CR29" s="334"/>
      <c r="CS29" s="334"/>
      <c r="CT29" s="334"/>
      <c r="CU29" s="334"/>
      <c r="CV29" s="334"/>
      <c r="CW29" s="334"/>
      <c r="CX29" s="334"/>
      <c r="CY29" s="334"/>
      <c r="CZ29" s="334"/>
      <c r="DA29" s="334"/>
      <c r="DB29" s="334"/>
      <c r="DC29" s="334"/>
      <c r="DD29" s="334"/>
      <c r="DE29" s="334"/>
      <c r="DF29" s="334"/>
      <c r="DG29" s="350"/>
      <c r="DH29" s="349"/>
      <c r="DI29" s="334"/>
      <c r="DJ29" s="334"/>
      <c r="DK29" s="334"/>
      <c r="DL29" s="334"/>
      <c r="DM29" s="334"/>
      <c r="DN29" s="334"/>
      <c r="DO29" s="334"/>
      <c r="DP29" s="334"/>
      <c r="DQ29" s="334"/>
      <c r="DR29" s="334"/>
      <c r="DS29" s="334"/>
      <c r="DT29" s="334"/>
      <c r="DU29" s="334"/>
      <c r="DV29" s="334"/>
      <c r="DW29" s="334"/>
      <c r="DX29" s="334"/>
      <c r="DY29" s="350"/>
    </row>
    <row r="30" spans="2:129" ht="13.5" customHeight="1" thickBot="1">
      <c r="B30" s="18"/>
      <c r="C30" s="19" t="s">
        <v>500</v>
      </c>
      <c r="D30" s="19"/>
      <c r="E30" s="19"/>
      <c r="F30" s="19"/>
      <c r="G30" s="19"/>
      <c r="H30" s="395"/>
      <c r="I30" s="396"/>
      <c r="J30" s="396"/>
      <c r="K30" s="396"/>
      <c r="L30" s="396"/>
      <c r="M30" s="396"/>
      <c r="N30" s="396"/>
      <c r="O30" s="396"/>
      <c r="P30" s="396"/>
      <c r="Q30" s="396"/>
      <c r="R30" s="397"/>
      <c r="S30" s="395"/>
      <c r="T30" s="396"/>
      <c r="U30" s="396"/>
      <c r="V30" s="396"/>
      <c r="W30" s="396"/>
      <c r="X30" s="397"/>
      <c r="Y30" s="252" t="str">
        <f t="shared" si="0"/>
        <v/>
      </c>
      <c r="Z30" s="253"/>
      <c r="AA30" s="254"/>
      <c r="AB30" s="252" t="str">
        <f t="shared" si="2"/>
        <v/>
      </c>
      <c r="AC30" s="253"/>
      <c r="AD30" s="254"/>
      <c r="AE30" s="252" t="str">
        <f t="shared" si="3"/>
        <v/>
      </c>
      <c r="AF30" s="253"/>
      <c r="AG30" s="253"/>
      <c r="AH30" s="253"/>
      <c r="AI30" s="253"/>
      <c r="AJ30" s="253"/>
      <c r="AK30" s="254"/>
      <c r="AL30" s="398" t="str">
        <f t="shared" si="1"/>
        <v/>
      </c>
      <c r="AM30" s="399"/>
      <c r="AN30" s="399"/>
      <c r="AO30" s="399"/>
      <c r="AP30" s="399"/>
      <c r="AQ30" s="399"/>
      <c r="AR30" s="400"/>
      <c r="AS30" s="20"/>
      <c r="BF30" s="384" t="str">
        <f t="shared" si="4"/>
        <v/>
      </c>
      <c r="BG30" s="385"/>
      <c r="BH30" s="385"/>
      <c r="BI30" s="385"/>
      <c r="BJ30" s="385"/>
      <c r="BK30" s="385"/>
      <c r="BL30" s="385"/>
      <c r="BM30" s="385"/>
      <c r="BN30" s="386"/>
      <c r="BO30" s="387" t="str">
        <f t="shared" si="5"/>
        <v/>
      </c>
      <c r="BP30" s="387"/>
      <c r="BQ30" s="387"/>
      <c r="BR30" s="387"/>
      <c r="BS30" s="387"/>
      <c r="BT30" s="387"/>
      <c r="BU30" s="387"/>
      <c r="BV30" s="387"/>
      <c r="BW30" s="387"/>
      <c r="BX30" s="349"/>
      <c r="BY30" s="334"/>
      <c r="BZ30" s="334"/>
      <c r="CA30" s="334"/>
      <c r="CB30" s="334"/>
      <c r="CC30" s="334"/>
      <c r="CD30" s="334"/>
      <c r="CE30" s="334"/>
      <c r="CF30" s="334"/>
      <c r="CG30" s="334"/>
      <c r="CH30" s="334"/>
      <c r="CI30" s="334"/>
      <c r="CJ30" s="334"/>
      <c r="CK30" s="334"/>
      <c r="CL30" s="334"/>
      <c r="CM30" s="334"/>
      <c r="CN30" s="334"/>
      <c r="CO30" s="350"/>
      <c r="CP30" s="349"/>
      <c r="CQ30" s="334"/>
      <c r="CR30" s="334"/>
      <c r="CS30" s="334"/>
      <c r="CT30" s="334"/>
      <c r="CU30" s="334"/>
      <c r="CV30" s="334"/>
      <c r="CW30" s="334"/>
      <c r="CX30" s="334"/>
      <c r="CY30" s="334"/>
      <c r="CZ30" s="334"/>
      <c r="DA30" s="334"/>
      <c r="DB30" s="334"/>
      <c r="DC30" s="334"/>
      <c r="DD30" s="334"/>
      <c r="DE30" s="334"/>
      <c r="DF30" s="334"/>
      <c r="DG30" s="350"/>
      <c r="DH30" s="349"/>
      <c r="DI30" s="334"/>
      <c r="DJ30" s="334"/>
      <c r="DK30" s="334"/>
      <c r="DL30" s="334"/>
      <c r="DM30" s="334"/>
      <c r="DN30" s="334"/>
      <c r="DO30" s="334"/>
      <c r="DP30" s="334"/>
      <c r="DQ30" s="334"/>
      <c r="DR30" s="334"/>
      <c r="DS30" s="334"/>
      <c r="DT30" s="334"/>
      <c r="DU30" s="334"/>
      <c r="DV30" s="334"/>
      <c r="DW30" s="334"/>
      <c r="DX30" s="334"/>
      <c r="DY30" s="350"/>
    </row>
    <row r="31" spans="2:129" ht="13.5" customHeight="1" thickBot="1">
      <c r="B31" s="18"/>
      <c r="C31" s="19" t="s">
        <v>501</v>
      </c>
      <c r="D31" s="19"/>
      <c r="E31" s="19"/>
      <c r="F31" s="19"/>
      <c r="G31" s="19"/>
      <c r="H31" s="395"/>
      <c r="I31" s="396"/>
      <c r="J31" s="396"/>
      <c r="K31" s="396"/>
      <c r="L31" s="396"/>
      <c r="M31" s="396"/>
      <c r="N31" s="396"/>
      <c r="O31" s="396"/>
      <c r="P31" s="396"/>
      <c r="Q31" s="396"/>
      <c r="R31" s="397"/>
      <c r="S31" s="395"/>
      <c r="T31" s="396"/>
      <c r="U31" s="396"/>
      <c r="V31" s="396"/>
      <c r="W31" s="396"/>
      <c r="X31" s="397"/>
      <c r="Y31" s="252" t="str">
        <f t="shared" si="0"/>
        <v/>
      </c>
      <c r="Z31" s="253"/>
      <c r="AA31" s="254"/>
      <c r="AB31" s="252" t="str">
        <f t="shared" si="2"/>
        <v/>
      </c>
      <c r="AC31" s="253"/>
      <c r="AD31" s="254"/>
      <c r="AE31" s="252" t="str">
        <f t="shared" si="3"/>
        <v/>
      </c>
      <c r="AF31" s="253"/>
      <c r="AG31" s="253"/>
      <c r="AH31" s="253"/>
      <c r="AI31" s="253"/>
      <c r="AJ31" s="253"/>
      <c r="AK31" s="254"/>
      <c r="AL31" s="398" t="str">
        <f t="shared" si="1"/>
        <v/>
      </c>
      <c r="AM31" s="399"/>
      <c r="AN31" s="399"/>
      <c r="AO31" s="399"/>
      <c r="AP31" s="399"/>
      <c r="AQ31" s="399"/>
      <c r="AR31" s="400"/>
      <c r="AS31" s="20"/>
      <c r="BF31" s="384" t="str">
        <f t="shared" si="4"/>
        <v/>
      </c>
      <c r="BG31" s="385"/>
      <c r="BH31" s="385"/>
      <c r="BI31" s="385"/>
      <c r="BJ31" s="385"/>
      <c r="BK31" s="385"/>
      <c r="BL31" s="385"/>
      <c r="BM31" s="385"/>
      <c r="BN31" s="386"/>
      <c r="BO31" s="387" t="str">
        <f t="shared" si="5"/>
        <v/>
      </c>
      <c r="BP31" s="387"/>
      <c r="BQ31" s="387"/>
      <c r="BR31" s="387"/>
      <c r="BS31" s="387"/>
      <c r="BT31" s="387"/>
      <c r="BU31" s="387"/>
      <c r="BV31" s="387"/>
      <c r="BW31" s="387"/>
      <c r="BX31" s="349"/>
      <c r="BY31" s="334"/>
      <c r="BZ31" s="334"/>
      <c r="CA31" s="334"/>
      <c r="CB31" s="334"/>
      <c r="CC31" s="334"/>
      <c r="CD31" s="334"/>
      <c r="CE31" s="334"/>
      <c r="CF31" s="334"/>
      <c r="CG31" s="334"/>
      <c r="CH31" s="334"/>
      <c r="CI31" s="334"/>
      <c r="CJ31" s="334"/>
      <c r="CK31" s="334"/>
      <c r="CL31" s="334"/>
      <c r="CM31" s="334"/>
      <c r="CN31" s="334"/>
      <c r="CO31" s="350"/>
      <c r="CP31" s="349"/>
      <c r="CQ31" s="334"/>
      <c r="CR31" s="334"/>
      <c r="CS31" s="334"/>
      <c r="CT31" s="334"/>
      <c r="CU31" s="334"/>
      <c r="CV31" s="334"/>
      <c r="CW31" s="334"/>
      <c r="CX31" s="334"/>
      <c r="CY31" s="334"/>
      <c r="CZ31" s="334"/>
      <c r="DA31" s="334"/>
      <c r="DB31" s="334"/>
      <c r="DC31" s="334"/>
      <c r="DD31" s="334"/>
      <c r="DE31" s="334"/>
      <c r="DF31" s="334"/>
      <c r="DG31" s="350"/>
      <c r="DH31" s="349"/>
      <c r="DI31" s="334"/>
      <c r="DJ31" s="334"/>
      <c r="DK31" s="334"/>
      <c r="DL31" s="334"/>
      <c r="DM31" s="334"/>
      <c r="DN31" s="334"/>
      <c r="DO31" s="334"/>
      <c r="DP31" s="334"/>
      <c r="DQ31" s="334"/>
      <c r="DR31" s="334"/>
      <c r="DS31" s="334"/>
      <c r="DT31" s="334"/>
      <c r="DU31" s="334"/>
      <c r="DV31" s="334"/>
      <c r="DW31" s="334"/>
      <c r="DX31" s="334"/>
      <c r="DY31" s="350"/>
    </row>
    <row r="32" spans="2:129" ht="13.5" customHeight="1" thickBot="1">
      <c r="B32" s="18"/>
      <c r="C32" s="19" t="s">
        <v>502</v>
      </c>
      <c r="D32" s="19"/>
      <c r="E32" s="19"/>
      <c r="F32" s="19"/>
      <c r="G32" s="19"/>
      <c r="H32" s="395"/>
      <c r="I32" s="396"/>
      <c r="J32" s="396"/>
      <c r="K32" s="396"/>
      <c r="L32" s="396"/>
      <c r="M32" s="396"/>
      <c r="N32" s="396"/>
      <c r="O32" s="396"/>
      <c r="P32" s="396"/>
      <c r="Q32" s="396"/>
      <c r="R32" s="397"/>
      <c r="S32" s="395"/>
      <c r="T32" s="396"/>
      <c r="U32" s="396"/>
      <c r="V32" s="396"/>
      <c r="W32" s="396"/>
      <c r="X32" s="397"/>
      <c r="Y32" s="252" t="str">
        <f t="shared" si="0"/>
        <v/>
      </c>
      <c r="Z32" s="253"/>
      <c r="AA32" s="254"/>
      <c r="AB32" s="252" t="str">
        <f t="shared" si="2"/>
        <v/>
      </c>
      <c r="AC32" s="253"/>
      <c r="AD32" s="254"/>
      <c r="AE32" s="252" t="str">
        <f t="shared" si="3"/>
        <v/>
      </c>
      <c r="AF32" s="253"/>
      <c r="AG32" s="253"/>
      <c r="AH32" s="253"/>
      <c r="AI32" s="253"/>
      <c r="AJ32" s="253"/>
      <c r="AK32" s="254"/>
      <c r="AL32" s="398" t="str">
        <f t="shared" si="1"/>
        <v/>
      </c>
      <c r="AM32" s="399"/>
      <c r="AN32" s="399"/>
      <c r="AO32" s="399"/>
      <c r="AP32" s="399"/>
      <c r="AQ32" s="399"/>
      <c r="AR32" s="400"/>
      <c r="AS32" s="20"/>
      <c r="BF32" s="384" t="str">
        <f t="shared" si="4"/>
        <v/>
      </c>
      <c r="BG32" s="385"/>
      <c r="BH32" s="385"/>
      <c r="BI32" s="385"/>
      <c r="BJ32" s="385"/>
      <c r="BK32" s="385"/>
      <c r="BL32" s="385"/>
      <c r="BM32" s="385"/>
      <c r="BN32" s="386"/>
      <c r="BO32" s="387" t="str">
        <f t="shared" si="5"/>
        <v/>
      </c>
      <c r="BP32" s="387"/>
      <c r="BQ32" s="387"/>
      <c r="BR32" s="387"/>
      <c r="BS32" s="387"/>
      <c r="BT32" s="387"/>
      <c r="BU32" s="387"/>
      <c r="BV32" s="387"/>
      <c r="BW32" s="387"/>
      <c r="BX32" s="349"/>
      <c r="BY32" s="334"/>
      <c r="BZ32" s="334"/>
      <c r="CA32" s="334"/>
      <c r="CB32" s="334"/>
      <c r="CC32" s="334"/>
      <c r="CD32" s="334"/>
      <c r="CE32" s="334"/>
      <c r="CF32" s="334"/>
      <c r="CG32" s="334"/>
      <c r="CH32" s="334"/>
      <c r="CI32" s="334"/>
      <c r="CJ32" s="334"/>
      <c r="CK32" s="334"/>
      <c r="CL32" s="334"/>
      <c r="CM32" s="334"/>
      <c r="CN32" s="334"/>
      <c r="CO32" s="350"/>
      <c r="CP32" s="349"/>
      <c r="CQ32" s="334"/>
      <c r="CR32" s="334"/>
      <c r="CS32" s="334"/>
      <c r="CT32" s="334"/>
      <c r="CU32" s="334"/>
      <c r="CV32" s="334"/>
      <c r="CW32" s="334"/>
      <c r="CX32" s="334"/>
      <c r="CY32" s="334"/>
      <c r="CZ32" s="334"/>
      <c r="DA32" s="334"/>
      <c r="DB32" s="334"/>
      <c r="DC32" s="334"/>
      <c r="DD32" s="334"/>
      <c r="DE32" s="334"/>
      <c r="DF32" s="334"/>
      <c r="DG32" s="350"/>
      <c r="DH32" s="349"/>
      <c r="DI32" s="334"/>
      <c r="DJ32" s="334"/>
      <c r="DK32" s="334"/>
      <c r="DL32" s="334"/>
      <c r="DM32" s="334"/>
      <c r="DN32" s="334"/>
      <c r="DO32" s="334"/>
      <c r="DP32" s="334"/>
      <c r="DQ32" s="334"/>
      <c r="DR32" s="334"/>
      <c r="DS32" s="334"/>
      <c r="DT32" s="334"/>
      <c r="DU32" s="334"/>
      <c r="DV32" s="334"/>
      <c r="DW32" s="334"/>
      <c r="DX32" s="334"/>
      <c r="DY32" s="350"/>
    </row>
    <row r="33" spans="2:129" ht="13.5" customHeight="1" thickBot="1">
      <c r="B33" s="18"/>
      <c r="C33" s="19" t="s">
        <v>503</v>
      </c>
      <c r="D33" s="19"/>
      <c r="E33" s="19"/>
      <c r="F33" s="19"/>
      <c r="G33" s="19"/>
      <c r="H33" s="395"/>
      <c r="I33" s="396"/>
      <c r="J33" s="396"/>
      <c r="K33" s="396"/>
      <c r="L33" s="396"/>
      <c r="M33" s="396"/>
      <c r="N33" s="396"/>
      <c r="O33" s="396"/>
      <c r="P33" s="396"/>
      <c r="Q33" s="396"/>
      <c r="R33" s="397"/>
      <c r="S33" s="395"/>
      <c r="T33" s="396"/>
      <c r="U33" s="396"/>
      <c r="V33" s="396"/>
      <c r="W33" s="396"/>
      <c r="X33" s="397"/>
      <c r="Y33" s="252" t="str">
        <f t="shared" si="0"/>
        <v/>
      </c>
      <c r="Z33" s="253"/>
      <c r="AA33" s="254"/>
      <c r="AB33" s="252" t="str">
        <f t="shared" si="2"/>
        <v/>
      </c>
      <c r="AC33" s="253"/>
      <c r="AD33" s="254"/>
      <c r="AE33" s="252" t="str">
        <f t="shared" si="3"/>
        <v/>
      </c>
      <c r="AF33" s="253"/>
      <c r="AG33" s="253"/>
      <c r="AH33" s="253"/>
      <c r="AI33" s="253"/>
      <c r="AJ33" s="253"/>
      <c r="AK33" s="254"/>
      <c r="AL33" s="398" t="str">
        <f t="shared" si="1"/>
        <v/>
      </c>
      <c r="AM33" s="399"/>
      <c r="AN33" s="399"/>
      <c r="AO33" s="399"/>
      <c r="AP33" s="399"/>
      <c r="AQ33" s="399"/>
      <c r="AR33" s="400"/>
      <c r="AS33" s="20"/>
      <c r="BF33" s="384" t="str">
        <f t="shared" si="4"/>
        <v/>
      </c>
      <c r="BG33" s="385"/>
      <c r="BH33" s="385"/>
      <c r="BI33" s="385"/>
      <c r="BJ33" s="385"/>
      <c r="BK33" s="385"/>
      <c r="BL33" s="385"/>
      <c r="BM33" s="385"/>
      <c r="BN33" s="386"/>
      <c r="BO33" s="387" t="str">
        <f t="shared" si="5"/>
        <v/>
      </c>
      <c r="BP33" s="387"/>
      <c r="BQ33" s="387"/>
      <c r="BR33" s="387"/>
      <c r="BS33" s="387"/>
      <c r="BT33" s="387"/>
      <c r="BU33" s="387"/>
      <c r="BV33" s="387"/>
      <c r="BW33" s="387"/>
      <c r="BX33" s="349"/>
      <c r="BY33" s="334"/>
      <c r="BZ33" s="334"/>
      <c r="CA33" s="334"/>
      <c r="CB33" s="334"/>
      <c r="CC33" s="334"/>
      <c r="CD33" s="334"/>
      <c r="CE33" s="334"/>
      <c r="CF33" s="334"/>
      <c r="CG33" s="334"/>
      <c r="CH33" s="334"/>
      <c r="CI33" s="334"/>
      <c r="CJ33" s="334"/>
      <c r="CK33" s="334"/>
      <c r="CL33" s="334"/>
      <c r="CM33" s="334"/>
      <c r="CN33" s="334"/>
      <c r="CO33" s="350"/>
      <c r="CP33" s="349"/>
      <c r="CQ33" s="334"/>
      <c r="CR33" s="334"/>
      <c r="CS33" s="334"/>
      <c r="CT33" s="334"/>
      <c r="CU33" s="334"/>
      <c r="CV33" s="334"/>
      <c r="CW33" s="334"/>
      <c r="CX33" s="334"/>
      <c r="CY33" s="334"/>
      <c r="CZ33" s="334"/>
      <c r="DA33" s="334"/>
      <c r="DB33" s="334"/>
      <c r="DC33" s="334"/>
      <c r="DD33" s="334"/>
      <c r="DE33" s="334"/>
      <c r="DF33" s="334"/>
      <c r="DG33" s="350"/>
      <c r="DH33" s="349"/>
      <c r="DI33" s="334"/>
      <c r="DJ33" s="334"/>
      <c r="DK33" s="334"/>
      <c r="DL33" s="334"/>
      <c r="DM33" s="334"/>
      <c r="DN33" s="334"/>
      <c r="DO33" s="334"/>
      <c r="DP33" s="334"/>
      <c r="DQ33" s="334"/>
      <c r="DR33" s="334"/>
      <c r="DS33" s="334"/>
      <c r="DT33" s="334"/>
      <c r="DU33" s="334"/>
      <c r="DV33" s="334"/>
      <c r="DW33" s="334"/>
      <c r="DX33" s="334"/>
      <c r="DY33" s="350"/>
    </row>
    <row r="34" spans="2:129" ht="13.5" customHeight="1" thickBot="1">
      <c r="B34" s="18"/>
      <c r="C34" s="19" t="s">
        <v>504</v>
      </c>
      <c r="D34" s="19"/>
      <c r="E34" s="19"/>
      <c r="F34" s="19"/>
      <c r="G34" s="19"/>
      <c r="H34" s="395"/>
      <c r="I34" s="396"/>
      <c r="J34" s="396"/>
      <c r="K34" s="396"/>
      <c r="L34" s="396"/>
      <c r="M34" s="396"/>
      <c r="N34" s="396"/>
      <c r="O34" s="396"/>
      <c r="P34" s="396"/>
      <c r="Q34" s="396"/>
      <c r="R34" s="397"/>
      <c r="S34" s="395"/>
      <c r="T34" s="396"/>
      <c r="U34" s="396"/>
      <c r="V34" s="396"/>
      <c r="W34" s="396"/>
      <c r="X34" s="397"/>
      <c r="Y34" s="252" t="str">
        <f t="shared" si="0"/>
        <v/>
      </c>
      <c r="Z34" s="253"/>
      <c r="AA34" s="254"/>
      <c r="AB34" s="252" t="str">
        <f t="shared" si="2"/>
        <v/>
      </c>
      <c r="AC34" s="253"/>
      <c r="AD34" s="254"/>
      <c r="AE34" s="252" t="str">
        <f t="shared" si="3"/>
        <v/>
      </c>
      <c r="AF34" s="253"/>
      <c r="AG34" s="253"/>
      <c r="AH34" s="253"/>
      <c r="AI34" s="253"/>
      <c r="AJ34" s="253"/>
      <c r="AK34" s="254"/>
      <c r="AL34" s="398" t="str">
        <f t="shared" si="1"/>
        <v/>
      </c>
      <c r="AM34" s="399"/>
      <c r="AN34" s="399"/>
      <c r="AO34" s="399"/>
      <c r="AP34" s="399"/>
      <c r="AQ34" s="399"/>
      <c r="AR34" s="400"/>
      <c r="AS34" s="20"/>
      <c r="BF34" s="384" t="str">
        <f t="shared" si="4"/>
        <v/>
      </c>
      <c r="BG34" s="385"/>
      <c r="BH34" s="385"/>
      <c r="BI34" s="385"/>
      <c r="BJ34" s="385"/>
      <c r="BK34" s="385"/>
      <c r="BL34" s="385"/>
      <c r="BM34" s="385"/>
      <c r="BN34" s="386"/>
      <c r="BO34" s="387" t="str">
        <f t="shared" si="5"/>
        <v/>
      </c>
      <c r="BP34" s="387"/>
      <c r="BQ34" s="387"/>
      <c r="BR34" s="387"/>
      <c r="BS34" s="387"/>
      <c r="BT34" s="387"/>
      <c r="BU34" s="387"/>
      <c r="BV34" s="387"/>
      <c r="BW34" s="387"/>
      <c r="BX34" s="349"/>
      <c r="BY34" s="334"/>
      <c r="BZ34" s="334"/>
      <c r="CA34" s="334"/>
      <c r="CB34" s="334"/>
      <c r="CC34" s="334"/>
      <c r="CD34" s="334"/>
      <c r="CE34" s="334"/>
      <c r="CF34" s="334"/>
      <c r="CG34" s="334"/>
      <c r="CH34" s="334"/>
      <c r="CI34" s="334"/>
      <c r="CJ34" s="334"/>
      <c r="CK34" s="334"/>
      <c r="CL34" s="334"/>
      <c r="CM34" s="334"/>
      <c r="CN34" s="334"/>
      <c r="CO34" s="350"/>
      <c r="CP34" s="349"/>
      <c r="CQ34" s="334"/>
      <c r="CR34" s="334"/>
      <c r="CS34" s="334"/>
      <c r="CT34" s="334"/>
      <c r="CU34" s="334"/>
      <c r="CV34" s="334"/>
      <c r="CW34" s="334"/>
      <c r="CX34" s="334"/>
      <c r="CY34" s="334"/>
      <c r="CZ34" s="334"/>
      <c r="DA34" s="334"/>
      <c r="DB34" s="334"/>
      <c r="DC34" s="334"/>
      <c r="DD34" s="334"/>
      <c r="DE34" s="334"/>
      <c r="DF34" s="334"/>
      <c r="DG34" s="350"/>
      <c r="DH34" s="349"/>
      <c r="DI34" s="334"/>
      <c r="DJ34" s="334"/>
      <c r="DK34" s="334"/>
      <c r="DL34" s="334"/>
      <c r="DM34" s="334"/>
      <c r="DN34" s="334"/>
      <c r="DO34" s="334"/>
      <c r="DP34" s="334"/>
      <c r="DQ34" s="334"/>
      <c r="DR34" s="334"/>
      <c r="DS34" s="334"/>
      <c r="DT34" s="334"/>
      <c r="DU34" s="334"/>
      <c r="DV34" s="334"/>
      <c r="DW34" s="334"/>
      <c r="DX34" s="334"/>
      <c r="DY34" s="350"/>
    </row>
    <row r="35" spans="2:129" ht="13.5" customHeight="1" thickBot="1">
      <c r="B35" s="18"/>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20"/>
      <c r="BX35" s="349"/>
      <c r="BY35" s="334"/>
      <c r="BZ35" s="334"/>
      <c r="CA35" s="334"/>
      <c r="CB35" s="334"/>
      <c r="CC35" s="334"/>
      <c r="CD35" s="334"/>
      <c r="CE35" s="334"/>
      <c r="CF35" s="334"/>
      <c r="CG35" s="334"/>
      <c r="CH35" s="334"/>
      <c r="CI35" s="334"/>
      <c r="CJ35" s="334"/>
      <c r="CK35" s="334"/>
      <c r="CL35" s="334"/>
      <c r="CM35" s="334"/>
      <c r="CN35" s="334"/>
      <c r="CO35" s="350"/>
      <c r="CP35" s="349"/>
      <c r="CQ35" s="334"/>
      <c r="CR35" s="334"/>
      <c r="CS35" s="334"/>
      <c r="CT35" s="334"/>
      <c r="CU35" s="334"/>
      <c r="CV35" s="334"/>
      <c r="CW35" s="334"/>
      <c r="CX35" s="334"/>
      <c r="CY35" s="334"/>
      <c r="CZ35" s="334"/>
      <c r="DA35" s="334"/>
      <c r="DB35" s="334"/>
      <c r="DC35" s="334"/>
      <c r="DD35" s="334"/>
      <c r="DE35" s="334"/>
      <c r="DF35" s="334"/>
      <c r="DG35" s="350"/>
      <c r="DH35" s="349"/>
      <c r="DI35" s="334"/>
      <c r="DJ35" s="334"/>
      <c r="DK35" s="334"/>
      <c r="DL35" s="334"/>
      <c r="DM35" s="334"/>
      <c r="DN35" s="334"/>
      <c r="DO35" s="334"/>
      <c r="DP35" s="334"/>
      <c r="DQ35" s="334"/>
      <c r="DR35" s="334"/>
      <c r="DS35" s="334"/>
      <c r="DT35" s="334"/>
      <c r="DU35" s="334"/>
      <c r="DV35" s="334"/>
      <c r="DW35" s="334"/>
      <c r="DX35" s="334"/>
      <c r="DY35" s="350"/>
    </row>
    <row r="36" spans="2:129" ht="13.5" customHeight="1" thickBot="1">
      <c r="B36" s="18"/>
      <c r="C36" s="388" t="s">
        <v>525</v>
      </c>
      <c r="D36" s="388"/>
      <c r="E36" s="388"/>
      <c r="F36" s="388"/>
      <c r="G36" s="388"/>
      <c r="H36" s="389"/>
      <c r="I36" s="390"/>
      <c r="J36" s="390"/>
      <c r="K36" s="390"/>
      <c r="L36" s="390"/>
      <c r="M36" s="390"/>
      <c r="N36" s="390"/>
      <c r="O36" s="390"/>
      <c r="P36" s="390"/>
      <c r="Q36" s="390"/>
      <c r="R36" s="390"/>
      <c r="S36" s="390"/>
      <c r="T36" s="390"/>
      <c r="U36" s="390"/>
      <c r="V36" s="390"/>
      <c r="W36" s="390"/>
      <c r="X36" s="390"/>
      <c r="Y36" s="390"/>
      <c r="Z36" s="390"/>
      <c r="AA36" s="390"/>
      <c r="AB36" s="390"/>
      <c r="AC36" s="390"/>
      <c r="AD36" s="390"/>
      <c r="AE36" s="390"/>
      <c r="AF36" s="390"/>
      <c r="AG36" s="390"/>
      <c r="AH36" s="390"/>
      <c r="AI36" s="391"/>
      <c r="AJ36" s="19"/>
      <c r="AK36" s="19" t="s">
        <v>526</v>
      </c>
      <c r="AL36" s="19"/>
      <c r="AM36" s="19"/>
      <c r="AN36" s="19"/>
      <c r="AO36" s="252" t="str">
        <f>IF(H24="","",SUM(Y25:AA34))</f>
        <v/>
      </c>
      <c r="AP36" s="253"/>
      <c r="AQ36" s="253"/>
      <c r="AR36" s="254"/>
      <c r="AS36" s="20"/>
      <c r="BX36" s="349"/>
      <c r="BY36" s="334"/>
      <c r="BZ36" s="334"/>
      <c r="CA36" s="334"/>
      <c r="CB36" s="334"/>
      <c r="CC36" s="334"/>
      <c r="CD36" s="334"/>
      <c r="CE36" s="334"/>
      <c r="CF36" s="334"/>
      <c r="CG36" s="334"/>
      <c r="CH36" s="334"/>
      <c r="CI36" s="334"/>
      <c r="CJ36" s="334"/>
      <c r="CK36" s="334"/>
      <c r="CL36" s="334"/>
      <c r="CM36" s="334"/>
      <c r="CN36" s="334"/>
      <c r="CO36" s="350"/>
      <c r="CP36" s="349"/>
      <c r="CQ36" s="334"/>
      <c r="CR36" s="334"/>
      <c r="CS36" s="334"/>
      <c r="CT36" s="334"/>
      <c r="CU36" s="334"/>
      <c r="CV36" s="334"/>
      <c r="CW36" s="334"/>
      <c r="CX36" s="334"/>
      <c r="CY36" s="334"/>
      <c r="CZ36" s="334"/>
      <c r="DA36" s="334"/>
      <c r="DB36" s="334"/>
      <c r="DC36" s="334"/>
      <c r="DD36" s="334"/>
      <c r="DE36" s="334"/>
      <c r="DF36" s="334"/>
      <c r="DG36" s="350"/>
      <c r="DH36" s="349"/>
      <c r="DI36" s="334"/>
      <c r="DJ36" s="334"/>
      <c r="DK36" s="334"/>
      <c r="DL36" s="334"/>
      <c r="DM36" s="334"/>
      <c r="DN36" s="334"/>
      <c r="DO36" s="334"/>
      <c r="DP36" s="334"/>
      <c r="DQ36" s="334"/>
      <c r="DR36" s="334"/>
      <c r="DS36" s="334"/>
      <c r="DT36" s="334"/>
      <c r="DU36" s="334"/>
      <c r="DV36" s="334"/>
      <c r="DW36" s="334"/>
      <c r="DX36" s="334"/>
      <c r="DY36" s="350"/>
    </row>
    <row r="37" spans="2:129" ht="13.5" customHeight="1" thickBot="1">
      <c r="B37" s="18"/>
      <c r="C37" s="388"/>
      <c r="D37" s="388"/>
      <c r="E37" s="388"/>
      <c r="F37" s="388"/>
      <c r="G37" s="388"/>
      <c r="H37" s="392"/>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4"/>
      <c r="AJ37" s="19"/>
      <c r="AK37" s="19"/>
      <c r="AL37" s="19"/>
      <c r="AM37" s="19"/>
      <c r="AN37" s="19"/>
      <c r="AO37" s="19"/>
      <c r="AP37" s="19"/>
      <c r="AQ37" s="19"/>
      <c r="AR37" s="19"/>
      <c r="AS37" s="20"/>
      <c r="BX37" s="351"/>
      <c r="BY37" s="352"/>
      <c r="BZ37" s="352"/>
      <c r="CA37" s="352"/>
      <c r="CB37" s="352"/>
      <c r="CC37" s="352"/>
      <c r="CD37" s="352"/>
      <c r="CE37" s="352"/>
      <c r="CF37" s="352"/>
      <c r="CG37" s="352"/>
      <c r="CH37" s="352"/>
      <c r="CI37" s="352"/>
      <c r="CJ37" s="352"/>
      <c r="CK37" s="352"/>
      <c r="CL37" s="352"/>
      <c r="CM37" s="352"/>
      <c r="CN37" s="352"/>
      <c r="CO37" s="353"/>
      <c r="CP37" s="351"/>
      <c r="CQ37" s="352"/>
      <c r="CR37" s="352"/>
      <c r="CS37" s="352"/>
      <c r="CT37" s="352"/>
      <c r="CU37" s="352"/>
      <c r="CV37" s="352"/>
      <c r="CW37" s="352"/>
      <c r="CX37" s="352"/>
      <c r="CY37" s="352"/>
      <c r="CZ37" s="352"/>
      <c r="DA37" s="352"/>
      <c r="DB37" s="352"/>
      <c r="DC37" s="352"/>
      <c r="DD37" s="352"/>
      <c r="DE37" s="352"/>
      <c r="DF37" s="352"/>
      <c r="DG37" s="353"/>
      <c r="DH37" s="351"/>
      <c r="DI37" s="352"/>
      <c r="DJ37" s="352"/>
      <c r="DK37" s="352"/>
      <c r="DL37" s="352"/>
      <c r="DM37" s="352"/>
      <c r="DN37" s="352"/>
      <c r="DO37" s="352"/>
      <c r="DP37" s="352"/>
      <c r="DQ37" s="352"/>
      <c r="DR37" s="352"/>
      <c r="DS37" s="352"/>
      <c r="DT37" s="352"/>
      <c r="DU37" s="352"/>
      <c r="DV37" s="352"/>
      <c r="DW37" s="352"/>
      <c r="DX37" s="352"/>
      <c r="DY37" s="353"/>
    </row>
    <row r="38" spans="2:129"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3"/>
    </row>
    <row r="39" spans="2:129" ht="13.5" customHeight="1" thickBot="1"/>
    <row r="40" spans="2:129" ht="13.5" customHeight="1" thickBot="1">
      <c r="B40" s="15"/>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7"/>
      <c r="BF40" s="12" t="s">
        <v>620</v>
      </c>
      <c r="BO40" s="12" t="s">
        <v>621</v>
      </c>
      <c r="CG40" s="44"/>
      <c r="CH40" s="44"/>
      <c r="CI40" s="44"/>
      <c r="CJ40" s="44"/>
      <c r="CK40" s="44"/>
      <c r="CL40" s="44"/>
      <c r="CM40" s="44"/>
      <c r="CN40" s="44"/>
      <c r="CO40" s="44"/>
    </row>
    <row r="41" spans="2:129" ht="13.5" customHeight="1" thickBot="1">
      <c r="B41" s="18"/>
      <c r="C41" s="19" t="s">
        <v>385</v>
      </c>
      <c r="D41" s="19"/>
      <c r="E41" s="19"/>
      <c r="F41" s="19"/>
      <c r="G41" s="19"/>
      <c r="H41" s="249"/>
      <c r="I41" s="250"/>
      <c r="J41" s="250"/>
      <c r="K41" s="250"/>
      <c r="L41" s="250"/>
      <c r="M41" s="250"/>
      <c r="N41" s="250"/>
      <c r="O41" s="250"/>
      <c r="P41" s="250"/>
      <c r="Q41" s="250"/>
      <c r="R41" s="251"/>
      <c r="S41" s="401" t="s">
        <v>505</v>
      </c>
      <c r="T41" s="262"/>
      <c r="U41" s="262"/>
      <c r="V41" s="262"/>
      <c r="W41" s="262"/>
      <c r="X41" s="262"/>
      <c r="Y41" s="269" t="s">
        <v>37</v>
      </c>
      <c r="Z41" s="269"/>
      <c r="AA41" s="269"/>
      <c r="AB41" s="269" t="s">
        <v>36</v>
      </c>
      <c r="AC41" s="269"/>
      <c r="AD41" s="269"/>
      <c r="AE41" s="269" t="s">
        <v>506</v>
      </c>
      <c r="AF41" s="269"/>
      <c r="AG41" s="269"/>
      <c r="AH41" s="269"/>
      <c r="AI41" s="269"/>
      <c r="AJ41" s="269"/>
      <c r="AK41" s="269"/>
      <c r="AL41" s="269" t="s">
        <v>507</v>
      </c>
      <c r="AM41" s="269"/>
      <c r="AN41" s="269"/>
      <c r="AO41" s="269"/>
      <c r="AP41" s="269"/>
      <c r="AQ41" s="269"/>
      <c r="AR41" s="269"/>
      <c r="AS41" s="20"/>
      <c r="BF41" s="384" t="str">
        <f>IF(H41="","",H41&amp;IF(H53="",""," ["&amp;H53&amp;"]"))</f>
        <v/>
      </c>
      <c r="BG41" s="385"/>
      <c r="BH41" s="385"/>
      <c r="BI41" s="385"/>
      <c r="BJ41" s="385"/>
      <c r="BK41" s="385"/>
      <c r="BL41" s="385"/>
      <c r="BM41" s="385"/>
      <c r="BN41" s="386"/>
      <c r="BO41" s="371"/>
      <c r="BP41" s="371"/>
      <c r="BQ41" s="371"/>
      <c r="BR41" s="371"/>
      <c r="BS41" s="371"/>
      <c r="BT41" s="371"/>
      <c r="BU41" s="371"/>
      <c r="BV41" s="371"/>
      <c r="BW41" s="371"/>
      <c r="BX41" s="346" t="str">
        <f>IF(BF41="","",CHAR(10)&amp;CHAR(149)&amp;" "&amp;BF41&amp;CHAR(10)&amp;BO51)</f>
        <v/>
      </c>
      <c r="BY41" s="347"/>
      <c r="BZ41" s="347"/>
      <c r="CA41" s="347"/>
      <c r="CB41" s="347"/>
      <c r="CC41" s="347"/>
      <c r="CD41" s="347"/>
      <c r="CE41" s="347"/>
      <c r="CF41" s="347"/>
      <c r="CG41" s="347"/>
      <c r="CH41" s="347"/>
      <c r="CI41" s="347"/>
      <c r="CJ41" s="347"/>
      <c r="CK41" s="347"/>
      <c r="CL41" s="347"/>
      <c r="CM41" s="347"/>
      <c r="CN41" s="347"/>
      <c r="CO41" s="348"/>
      <c r="CP41" s="346" t="str">
        <f>IF($BF41="","",CHAR(10)&amp;"[b]"&amp;$BF41&amp;": [/b]"&amp;CHAR(10)&amp;$BO51&amp;CHAR(10)&amp;"("&amp;AO53&amp;" points)")</f>
        <v/>
      </c>
      <c r="CQ41" s="347"/>
      <c r="CR41" s="347"/>
      <c r="CS41" s="347"/>
      <c r="CT41" s="347"/>
      <c r="CU41" s="347"/>
      <c r="CV41" s="347"/>
      <c r="CW41" s="347"/>
      <c r="CX41" s="347"/>
      <c r="CY41" s="347"/>
      <c r="CZ41" s="347"/>
      <c r="DA41" s="347"/>
      <c r="DB41" s="347"/>
      <c r="DC41" s="347"/>
      <c r="DD41" s="347"/>
      <c r="DE41" s="347"/>
      <c r="DF41" s="347"/>
      <c r="DG41" s="348"/>
      <c r="DH41" s="346" t="str">
        <f>IF($BF41="","",CHAR(10)&amp;"**"&amp;$BF41&amp;":**"&amp;CHAR(10)&amp;$BO51&amp;CHAR(10)&amp;"("&amp;$AO53&amp;" points)")</f>
        <v/>
      </c>
      <c r="DI41" s="347"/>
      <c r="DJ41" s="347"/>
      <c r="DK41" s="347"/>
      <c r="DL41" s="347"/>
      <c r="DM41" s="347"/>
      <c r="DN41" s="347"/>
      <c r="DO41" s="347"/>
      <c r="DP41" s="347"/>
      <c r="DQ41" s="347"/>
      <c r="DR41" s="347"/>
      <c r="DS41" s="347"/>
      <c r="DT41" s="347"/>
      <c r="DU41" s="347"/>
      <c r="DV41" s="347"/>
      <c r="DW41" s="347"/>
      <c r="DX41" s="347"/>
      <c r="DY41" s="348"/>
    </row>
    <row r="42" spans="2:129" ht="13.5" customHeight="1" thickBot="1">
      <c r="B42" s="18"/>
      <c r="C42" s="19" t="s">
        <v>495</v>
      </c>
      <c r="D42" s="19"/>
      <c r="E42" s="19"/>
      <c r="F42" s="19"/>
      <c r="G42" s="19"/>
      <c r="H42" s="395"/>
      <c r="I42" s="396"/>
      <c r="J42" s="396"/>
      <c r="K42" s="396"/>
      <c r="L42" s="396"/>
      <c r="M42" s="396"/>
      <c r="N42" s="396"/>
      <c r="O42" s="396"/>
      <c r="P42" s="396"/>
      <c r="Q42" s="396"/>
      <c r="R42" s="397"/>
      <c r="S42" s="395"/>
      <c r="T42" s="396"/>
      <c r="U42" s="396"/>
      <c r="V42" s="396"/>
      <c r="W42" s="396"/>
      <c r="X42" s="397"/>
      <c r="Y42" s="252" t="str">
        <f t="shared" ref="Y42:Y51" si="6">IF($H42="","",IF($S42="Normal",VLOOKUP($H42,ComponentMatrix,7,FALSE),IF($S42="Alternate",1,IF($S42="Dynamic",2,IF($S42="None",0,"")))))</f>
        <v/>
      </c>
      <c r="Z42" s="253"/>
      <c r="AA42" s="254"/>
      <c r="AB42" s="252" t="str">
        <f>IF($H42="","",VLOOKUP($H42,ComponentMatrix,5,FALSE))</f>
        <v/>
      </c>
      <c r="AC42" s="253"/>
      <c r="AD42" s="254"/>
      <c r="AE42" s="252" t="str">
        <f>IF($H42="","",VLOOKUP($H42,ComponentMatrix,9,FALSE))</f>
        <v/>
      </c>
      <c r="AF42" s="253"/>
      <c r="AG42" s="253"/>
      <c r="AH42" s="253"/>
      <c r="AI42" s="253"/>
      <c r="AJ42" s="253"/>
      <c r="AK42" s="254"/>
      <c r="AL42" s="398" t="str">
        <f t="shared" ref="AL42:AL51" si="7">IF($H42="","",VLOOKUP($H42,ComponentMatrix,15,FALSE))</f>
        <v/>
      </c>
      <c r="AM42" s="399"/>
      <c r="AN42" s="399"/>
      <c r="AO42" s="399"/>
      <c r="AP42" s="399"/>
      <c r="AQ42" s="399"/>
      <c r="AR42" s="400"/>
      <c r="AS42" s="20"/>
      <c r="BF42" s="384" t="str">
        <f>IF(H42="","",IF(S42="Alternate","Alt: ","")&amp;IF(S42="Dynamic","Dyn: ","")&amp;IF(H42=AE42,AE42&amp;" "&amp;AB42&amp;IF(AL42="",""," ["&amp;AL42&amp;"]"),IF(AE42="Custom",H42&amp;" ("&amp;Y42&amp;" points)"&amp;CHAR(10),H42&amp;": "&amp;AE42&amp;" "&amp;AB42&amp;IF(AL42="",""," ["&amp;AL42&amp;"]"))))</f>
        <v/>
      </c>
      <c r="BG42" s="385"/>
      <c r="BH42" s="385"/>
      <c r="BI42" s="385"/>
      <c r="BJ42" s="385"/>
      <c r="BK42" s="385"/>
      <c r="BL42" s="385"/>
      <c r="BM42" s="385"/>
      <c r="BN42" s="386"/>
      <c r="BO42" s="371" t="str">
        <f>IF(BF42="","","     "&amp;BF42)</f>
        <v/>
      </c>
      <c r="BP42" s="371"/>
      <c r="BQ42" s="371"/>
      <c r="BR42" s="371"/>
      <c r="BS42" s="371"/>
      <c r="BT42" s="371"/>
      <c r="BU42" s="371"/>
      <c r="BV42" s="371"/>
      <c r="BW42" s="371"/>
      <c r="BX42" s="349"/>
      <c r="BY42" s="334"/>
      <c r="BZ42" s="334"/>
      <c r="CA42" s="334"/>
      <c r="CB42" s="334"/>
      <c r="CC42" s="334"/>
      <c r="CD42" s="334"/>
      <c r="CE42" s="334"/>
      <c r="CF42" s="334"/>
      <c r="CG42" s="334"/>
      <c r="CH42" s="334"/>
      <c r="CI42" s="334"/>
      <c r="CJ42" s="334"/>
      <c r="CK42" s="334"/>
      <c r="CL42" s="334"/>
      <c r="CM42" s="334"/>
      <c r="CN42" s="334"/>
      <c r="CO42" s="350"/>
      <c r="CP42" s="349"/>
      <c r="CQ42" s="334"/>
      <c r="CR42" s="334"/>
      <c r="CS42" s="334"/>
      <c r="CT42" s="334"/>
      <c r="CU42" s="334"/>
      <c r="CV42" s="334"/>
      <c r="CW42" s="334"/>
      <c r="CX42" s="334"/>
      <c r="CY42" s="334"/>
      <c r="CZ42" s="334"/>
      <c r="DA42" s="334"/>
      <c r="DB42" s="334"/>
      <c r="DC42" s="334"/>
      <c r="DD42" s="334"/>
      <c r="DE42" s="334"/>
      <c r="DF42" s="334"/>
      <c r="DG42" s="350"/>
      <c r="DH42" s="349"/>
      <c r="DI42" s="334"/>
      <c r="DJ42" s="334"/>
      <c r="DK42" s="334"/>
      <c r="DL42" s="334"/>
      <c r="DM42" s="334"/>
      <c r="DN42" s="334"/>
      <c r="DO42" s="334"/>
      <c r="DP42" s="334"/>
      <c r="DQ42" s="334"/>
      <c r="DR42" s="334"/>
      <c r="DS42" s="334"/>
      <c r="DT42" s="334"/>
      <c r="DU42" s="334"/>
      <c r="DV42" s="334"/>
      <c r="DW42" s="334"/>
      <c r="DX42" s="334"/>
      <c r="DY42" s="350"/>
    </row>
    <row r="43" spans="2:129" ht="13.5" customHeight="1" thickBot="1">
      <c r="B43" s="18"/>
      <c r="C43" s="19" t="s">
        <v>496</v>
      </c>
      <c r="D43" s="19"/>
      <c r="E43" s="19"/>
      <c r="F43" s="19"/>
      <c r="G43" s="19"/>
      <c r="H43" s="395"/>
      <c r="I43" s="396"/>
      <c r="J43" s="396"/>
      <c r="K43" s="396"/>
      <c r="L43" s="396"/>
      <c r="M43" s="396"/>
      <c r="N43" s="396"/>
      <c r="O43" s="396"/>
      <c r="P43" s="396"/>
      <c r="Q43" s="396"/>
      <c r="R43" s="397"/>
      <c r="S43" s="395"/>
      <c r="T43" s="396"/>
      <c r="U43" s="396"/>
      <c r="V43" s="396"/>
      <c r="W43" s="396"/>
      <c r="X43" s="397"/>
      <c r="Y43" s="252" t="str">
        <f t="shared" si="6"/>
        <v/>
      </c>
      <c r="Z43" s="253"/>
      <c r="AA43" s="254"/>
      <c r="AB43" s="252" t="str">
        <f t="shared" ref="AB43:AB51" si="8">IF(H43="","",VLOOKUP(H43,ComponentMatrix,5,FALSE))</f>
        <v/>
      </c>
      <c r="AC43" s="253"/>
      <c r="AD43" s="254"/>
      <c r="AE43" s="252" t="str">
        <f t="shared" ref="AE43:AE51" si="9">IF(H43="","",VLOOKUP(H43,ComponentMatrix,9,FALSE))</f>
        <v/>
      </c>
      <c r="AF43" s="253"/>
      <c r="AG43" s="253"/>
      <c r="AH43" s="253"/>
      <c r="AI43" s="253"/>
      <c r="AJ43" s="253"/>
      <c r="AK43" s="254"/>
      <c r="AL43" s="398" t="str">
        <f t="shared" si="7"/>
        <v/>
      </c>
      <c r="AM43" s="399"/>
      <c r="AN43" s="399"/>
      <c r="AO43" s="399"/>
      <c r="AP43" s="399"/>
      <c r="AQ43" s="399"/>
      <c r="AR43" s="400"/>
      <c r="AS43" s="20"/>
      <c r="BF43" s="384" t="str">
        <f t="shared" ref="BF43:BF51" si="10">IF(H43="","",IF(S43="Alternate","Alt: ","")&amp;IF(S43="Dynamic","Dyn: ","")&amp;IF(H43=AE43,AE43&amp;" "&amp;AB43&amp;IF(AL43="",""," ["&amp;AL43&amp;"]"),IF(AE43="Custom",H43&amp;" ("&amp;Y43&amp;" points)"&amp;CHAR(10),H43&amp;": "&amp;AE43&amp;" "&amp;AB43&amp;IF(AL43="",""," ["&amp;AL43&amp;"]"))))</f>
        <v/>
      </c>
      <c r="BG43" s="385"/>
      <c r="BH43" s="385"/>
      <c r="BI43" s="385"/>
      <c r="BJ43" s="385"/>
      <c r="BK43" s="385"/>
      <c r="BL43" s="385"/>
      <c r="BM43" s="385"/>
      <c r="BN43" s="386"/>
      <c r="BO43" s="387" t="str">
        <f>BO42&amp;IF(AE42="Custom","     "&amp;BF43,IF(S43="None",", "&amp;BF43,"")&amp;IF(OR(S43="Alternate",S43="Dynamic"),CHAR(10)&amp;"     "&amp;BF43,"")&amp;IF(S43="Normal",IF(OR(S42="Alternate",S42="Dynamic",S42="None"),CHAR(10)&amp;"     "&amp;BF43,", "&amp;BF43),""))</f>
        <v/>
      </c>
      <c r="BP43" s="387"/>
      <c r="BQ43" s="387"/>
      <c r="BR43" s="387"/>
      <c r="BS43" s="387"/>
      <c r="BT43" s="387"/>
      <c r="BU43" s="387"/>
      <c r="BV43" s="387"/>
      <c r="BW43" s="387"/>
      <c r="BX43" s="349"/>
      <c r="BY43" s="334"/>
      <c r="BZ43" s="334"/>
      <c r="CA43" s="334"/>
      <c r="CB43" s="334"/>
      <c r="CC43" s="334"/>
      <c r="CD43" s="334"/>
      <c r="CE43" s="334"/>
      <c r="CF43" s="334"/>
      <c r="CG43" s="334"/>
      <c r="CH43" s="334"/>
      <c r="CI43" s="334"/>
      <c r="CJ43" s="334"/>
      <c r="CK43" s="334"/>
      <c r="CL43" s="334"/>
      <c r="CM43" s="334"/>
      <c r="CN43" s="334"/>
      <c r="CO43" s="350"/>
      <c r="CP43" s="349"/>
      <c r="CQ43" s="334"/>
      <c r="CR43" s="334"/>
      <c r="CS43" s="334"/>
      <c r="CT43" s="334"/>
      <c r="CU43" s="334"/>
      <c r="CV43" s="334"/>
      <c r="CW43" s="334"/>
      <c r="CX43" s="334"/>
      <c r="CY43" s="334"/>
      <c r="CZ43" s="334"/>
      <c r="DA43" s="334"/>
      <c r="DB43" s="334"/>
      <c r="DC43" s="334"/>
      <c r="DD43" s="334"/>
      <c r="DE43" s="334"/>
      <c r="DF43" s="334"/>
      <c r="DG43" s="350"/>
      <c r="DH43" s="349"/>
      <c r="DI43" s="334"/>
      <c r="DJ43" s="334"/>
      <c r="DK43" s="334"/>
      <c r="DL43" s="334"/>
      <c r="DM43" s="334"/>
      <c r="DN43" s="334"/>
      <c r="DO43" s="334"/>
      <c r="DP43" s="334"/>
      <c r="DQ43" s="334"/>
      <c r="DR43" s="334"/>
      <c r="DS43" s="334"/>
      <c r="DT43" s="334"/>
      <c r="DU43" s="334"/>
      <c r="DV43" s="334"/>
      <c r="DW43" s="334"/>
      <c r="DX43" s="334"/>
      <c r="DY43" s="350"/>
    </row>
    <row r="44" spans="2:129" ht="13.5" customHeight="1" thickBot="1">
      <c r="B44" s="18"/>
      <c r="C44" s="19" t="s">
        <v>497</v>
      </c>
      <c r="D44" s="19"/>
      <c r="E44" s="19"/>
      <c r="F44" s="19"/>
      <c r="G44" s="19"/>
      <c r="H44" s="395"/>
      <c r="I44" s="396"/>
      <c r="J44" s="396"/>
      <c r="K44" s="396"/>
      <c r="L44" s="396"/>
      <c r="M44" s="396"/>
      <c r="N44" s="396"/>
      <c r="O44" s="396"/>
      <c r="P44" s="396"/>
      <c r="Q44" s="396"/>
      <c r="R44" s="397"/>
      <c r="S44" s="395"/>
      <c r="T44" s="396"/>
      <c r="U44" s="396"/>
      <c r="V44" s="396"/>
      <c r="W44" s="396"/>
      <c r="X44" s="397"/>
      <c r="Y44" s="252" t="str">
        <f t="shared" si="6"/>
        <v/>
      </c>
      <c r="Z44" s="253"/>
      <c r="AA44" s="254"/>
      <c r="AB44" s="252" t="str">
        <f t="shared" si="8"/>
        <v/>
      </c>
      <c r="AC44" s="253"/>
      <c r="AD44" s="254"/>
      <c r="AE44" s="252" t="str">
        <f t="shared" si="9"/>
        <v/>
      </c>
      <c r="AF44" s="253"/>
      <c r="AG44" s="253"/>
      <c r="AH44" s="253"/>
      <c r="AI44" s="253"/>
      <c r="AJ44" s="253"/>
      <c r="AK44" s="254"/>
      <c r="AL44" s="398" t="str">
        <f t="shared" si="7"/>
        <v/>
      </c>
      <c r="AM44" s="399"/>
      <c r="AN44" s="399"/>
      <c r="AO44" s="399"/>
      <c r="AP44" s="399"/>
      <c r="AQ44" s="399"/>
      <c r="AR44" s="400"/>
      <c r="AS44" s="20"/>
      <c r="BF44" s="384" t="str">
        <f t="shared" si="10"/>
        <v/>
      </c>
      <c r="BG44" s="385"/>
      <c r="BH44" s="385"/>
      <c r="BI44" s="385"/>
      <c r="BJ44" s="385"/>
      <c r="BK44" s="385"/>
      <c r="BL44" s="385"/>
      <c r="BM44" s="385"/>
      <c r="BN44" s="386"/>
      <c r="BO44" s="387" t="str">
        <f t="shared" ref="BO44:BO51" si="11">BO43&amp;IF(AE43="Custom","     "&amp;BF44,IF(S44="None",", "&amp;BF44,"")&amp;IF(OR(S44="Alternate",S44="Dynamic"),CHAR(10)&amp;"     "&amp;BF44,"")&amp;IF(S44="Normal",IF(OR(S43="Alternate",S43="Dynamic",S43="None"),CHAR(10)&amp;"     "&amp;BF44,", "&amp;BF44),""))</f>
        <v/>
      </c>
      <c r="BP44" s="387"/>
      <c r="BQ44" s="387"/>
      <c r="BR44" s="387"/>
      <c r="BS44" s="387"/>
      <c r="BT44" s="387"/>
      <c r="BU44" s="387"/>
      <c r="BV44" s="387"/>
      <c r="BW44" s="387"/>
      <c r="BX44" s="349"/>
      <c r="BY44" s="334"/>
      <c r="BZ44" s="334"/>
      <c r="CA44" s="334"/>
      <c r="CB44" s="334"/>
      <c r="CC44" s="334"/>
      <c r="CD44" s="334"/>
      <c r="CE44" s="334"/>
      <c r="CF44" s="334"/>
      <c r="CG44" s="334"/>
      <c r="CH44" s="334"/>
      <c r="CI44" s="334"/>
      <c r="CJ44" s="334"/>
      <c r="CK44" s="334"/>
      <c r="CL44" s="334"/>
      <c r="CM44" s="334"/>
      <c r="CN44" s="334"/>
      <c r="CO44" s="350"/>
      <c r="CP44" s="349"/>
      <c r="CQ44" s="334"/>
      <c r="CR44" s="334"/>
      <c r="CS44" s="334"/>
      <c r="CT44" s="334"/>
      <c r="CU44" s="334"/>
      <c r="CV44" s="334"/>
      <c r="CW44" s="334"/>
      <c r="CX44" s="334"/>
      <c r="CY44" s="334"/>
      <c r="CZ44" s="334"/>
      <c r="DA44" s="334"/>
      <c r="DB44" s="334"/>
      <c r="DC44" s="334"/>
      <c r="DD44" s="334"/>
      <c r="DE44" s="334"/>
      <c r="DF44" s="334"/>
      <c r="DG44" s="350"/>
      <c r="DH44" s="349"/>
      <c r="DI44" s="334"/>
      <c r="DJ44" s="334"/>
      <c r="DK44" s="334"/>
      <c r="DL44" s="334"/>
      <c r="DM44" s="334"/>
      <c r="DN44" s="334"/>
      <c r="DO44" s="334"/>
      <c r="DP44" s="334"/>
      <c r="DQ44" s="334"/>
      <c r="DR44" s="334"/>
      <c r="DS44" s="334"/>
      <c r="DT44" s="334"/>
      <c r="DU44" s="334"/>
      <c r="DV44" s="334"/>
      <c r="DW44" s="334"/>
      <c r="DX44" s="334"/>
      <c r="DY44" s="350"/>
    </row>
    <row r="45" spans="2:129" ht="13.5" customHeight="1" thickBot="1">
      <c r="B45" s="18"/>
      <c r="C45" s="19" t="s">
        <v>498</v>
      </c>
      <c r="D45" s="19"/>
      <c r="E45" s="19"/>
      <c r="F45" s="19"/>
      <c r="G45" s="19"/>
      <c r="H45" s="395"/>
      <c r="I45" s="396"/>
      <c r="J45" s="396"/>
      <c r="K45" s="396"/>
      <c r="L45" s="396"/>
      <c r="M45" s="396"/>
      <c r="N45" s="396"/>
      <c r="O45" s="396"/>
      <c r="P45" s="396"/>
      <c r="Q45" s="396"/>
      <c r="R45" s="397"/>
      <c r="S45" s="395"/>
      <c r="T45" s="396"/>
      <c r="U45" s="396"/>
      <c r="V45" s="396"/>
      <c r="W45" s="396"/>
      <c r="X45" s="397"/>
      <c r="Y45" s="252" t="str">
        <f t="shared" si="6"/>
        <v/>
      </c>
      <c r="Z45" s="253"/>
      <c r="AA45" s="254"/>
      <c r="AB45" s="252" t="str">
        <f t="shared" si="8"/>
        <v/>
      </c>
      <c r="AC45" s="253"/>
      <c r="AD45" s="254"/>
      <c r="AE45" s="252" t="str">
        <f t="shared" si="9"/>
        <v/>
      </c>
      <c r="AF45" s="253"/>
      <c r="AG45" s="253"/>
      <c r="AH45" s="253"/>
      <c r="AI45" s="253"/>
      <c r="AJ45" s="253"/>
      <c r="AK45" s="254"/>
      <c r="AL45" s="398" t="str">
        <f t="shared" si="7"/>
        <v/>
      </c>
      <c r="AM45" s="399"/>
      <c r="AN45" s="399"/>
      <c r="AO45" s="399"/>
      <c r="AP45" s="399"/>
      <c r="AQ45" s="399"/>
      <c r="AR45" s="400"/>
      <c r="AS45" s="20"/>
      <c r="BF45" s="384" t="str">
        <f t="shared" si="10"/>
        <v/>
      </c>
      <c r="BG45" s="385"/>
      <c r="BH45" s="385"/>
      <c r="BI45" s="385"/>
      <c r="BJ45" s="385"/>
      <c r="BK45" s="385"/>
      <c r="BL45" s="385"/>
      <c r="BM45" s="385"/>
      <c r="BN45" s="386"/>
      <c r="BO45" s="387" t="str">
        <f t="shared" si="11"/>
        <v/>
      </c>
      <c r="BP45" s="387"/>
      <c r="BQ45" s="387"/>
      <c r="BR45" s="387"/>
      <c r="BS45" s="387"/>
      <c r="BT45" s="387"/>
      <c r="BU45" s="387"/>
      <c r="BV45" s="387"/>
      <c r="BW45" s="387"/>
      <c r="BX45" s="349"/>
      <c r="BY45" s="334"/>
      <c r="BZ45" s="334"/>
      <c r="CA45" s="334"/>
      <c r="CB45" s="334"/>
      <c r="CC45" s="334"/>
      <c r="CD45" s="334"/>
      <c r="CE45" s="334"/>
      <c r="CF45" s="334"/>
      <c r="CG45" s="334"/>
      <c r="CH45" s="334"/>
      <c r="CI45" s="334"/>
      <c r="CJ45" s="334"/>
      <c r="CK45" s="334"/>
      <c r="CL45" s="334"/>
      <c r="CM45" s="334"/>
      <c r="CN45" s="334"/>
      <c r="CO45" s="350"/>
      <c r="CP45" s="349"/>
      <c r="CQ45" s="334"/>
      <c r="CR45" s="334"/>
      <c r="CS45" s="334"/>
      <c r="CT45" s="334"/>
      <c r="CU45" s="334"/>
      <c r="CV45" s="334"/>
      <c r="CW45" s="334"/>
      <c r="CX45" s="334"/>
      <c r="CY45" s="334"/>
      <c r="CZ45" s="334"/>
      <c r="DA45" s="334"/>
      <c r="DB45" s="334"/>
      <c r="DC45" s="334"/>
      <c r="DD45" s="334"/>
      <c r="DE45" s="334"/>
      <c r="DF45" s="334"/>
      <c r="DG45" s="350"/>
      <c r="DH45" s="349"/>
      <c r="DI45" s="334"/>
      <c r="DJ45" s="334"/>
      <c r="DK45" s="334"/>
      <c r="DL45" s="334"/>
      <c r="DM45" s="334"/>
      <c r="DN45" s="334"/>
      <c r="DO45" s="334"/>
      <c r="DP45" s="334"/>
      <c r="DQ45" s="334"/>
      <c r="DR45" s="334"/>
      <c r="DS45" s="334"/>
      <c r="DT45" s="334"/>
      <c r="DU45" s="334"/>
      <c r="DV45" s="334"/>
      <c r="DW45" s="334"/>
      <c r="DX45" s="334"/>
      <c r="DY45" s="350"/>
    </row>
    <row r="46" spans="2:129" ht="13.5" customHeight="1" thickBot="1">
      <c r="B46" s="18"/>
      <c r="C46" s="19" t="s">
        <v>499</v>
      </c>
      <c r="D46" s="19"/>
      <c r="E46" s="19"/>
      <c r="F46" s="19"/>
      <c r="G46" s="19"/>
      <c r="H46" s="395"/>
      <c r="I46" s="396"/>
      <c r="J46" s="396"/>
      <c r="K46" s="396"/>
      <c r="L46" s="396"/>
      <c r="M46" s="396"/>
      <c r="N46" s="396"/>
      <c r="O46" s="396"/>
      <c r="P46" s="396"/>
      <c r="Q46" s="396"/>
      <c r="R46" s="397"/>
      <c r="S46" s="395"/>
      <c r="T46" s="396"/>
      <c r="U46" s="396"/>
      <c r="V46" s="396"/>
      <c r="W46" s="396"/>
      <c r="X46" s="397"/>
      <c r="Y46" s="252" t="str">
        <f t="shared" si="6"/>
        <v/>
      </c>
      <c r="Z46" s="253"/>
      <c r="AA46" s="254"/>
      <c r="AB46" s="252" t="str">
        <f t="shared" si="8"/>
        <v/>
      </c>
      <c r="AC46" s="253"/>
      <c r="AD46" s="254"/>
      <c r="AE46" s="252" t="str">
        <f t="shared" si="9"/>
        <v/>
      </c>
      <c r="AF46" s="253"/>
      <c r="AG46" s="253"/>
      <c r="AH46" s="253"/>
      <c r="AI46" s="253"/>
      <c r="AJ46" s="253"/>
      <c r="AK46" s="254"/>
      <c r="AL46" s="398" t="str">
        <f t="shared" si="7"/>
        <v/>
      </c>
      <c r="AM46" s="399"/>
      <c r="AN46" s="399"/>
      <c r="AO46" s="399"/>
      <c r="AP46" s="399"/>
      <c r="AQ46" s="399"/>
      <c r="AR46" s="400"/>
      <c r="AS46" s="20"/>
      <c r="BF46" s="384" t="str">
        <f t="shared" si="10"/>
        <v/>
      </c>
      <c r="BG46" s="385"/>
      <c r="BH46" s="385"/>
      <c r="BI46" s="385"/>
      <c r="BJ46" s="385"/>
      <c r="BK46" s="385"/>
      <c r="BL46" s="385"/>
      <c r="BM46" s="385"/>
      <c r="BN46" s="386"/>
      <c r="BO46" s="387" t="str">
        <f t="shared" si="11"/>
        <v/>
      </c>
      <c r="BP46" s="387"/>
      <c r="BQ46" s="387"/>
      <c r="BR46" s="387"/>
      <c r="BS46" s="387"/>
      <c r="BT46" s="387"/>
      <c r="BU46" s="387"/>
      <c r="BV46" s="387"/>
      <c r="BW46" s="387"/>
      <c r="BX46" s="349"/>
      <c r="BY46" s="334"/>
      <c r="BZ46" s="334"/>
      <c r="CA46" s="334"/>
      <c r="CB46" s="334"/>
      <c r="CC46" s="334"/>
      <c r="CD46" s="334"/>
      <c r="CE46" s="334"/>
      <c r="CF46" s="334"/>
      <c r="CG46" s="334"/>
      <c r="CH46" s="334"/>
      <c r="CI46" s="334"/>
      <c r="CJ46" s="334"/>
      <c r="CK46" s="334"/>
      <c r="CL46" s="334"/>
      <c r="CM46" s="334"/>
      <c r="CN46" s="334"/>
      <c r="CO46" s="350"/>
      <c r="CP46" s="349"/>
      <c r="CQ46" s="334"/>
      <c r="CR46" s="334"/>
      <c r="CS46" s="334"/>
      <c r="CT46" s="334"/>
      <c r="CU46" s="334"/>
      <c r="CV46" s="334"/>
      <c r="CW46" s="334"/>
      <c r="CX46" s="334"/>
      <c r="CY46" s="334"/>
      <c r="CZ46" s="334"/>
      <c r="DA46" s="334"/>
      <c r="DB46" s="334"/>
      <c r="DC46" s="334"/>
      <c r="DD46" s="334"/>
      <c r="DE46" s="334"/>
      <c r="DF46" s="334"/>
      <c r="DG46" s="350"/>
      <c r="DH46" s="349"/>
      <c r="DI46" s="334"/>
      <c r="DJ46" s="334"/>
      <c r="DK46" s="334"/>
      <c r="DL46" s="334"/>
      <c r="DM46" s="334"/>
      <c r="DN46" s="334"/>
      <c r="DO46" s="334"/>
      <c r="DP46" s="334"/>
      <c r="DQ46" s="334"/>
      <c r="DR46" s="334"/>
      <c r="DS46" s="334"/>
      <c r="DT46" s="334"/>
      <c r="DU46" s="334"/>
      <c r="DV46" s="334"/>
      <c r="DW46" s="334"/>
      <c r="DX46" s="334"/>
      <c r="DY46" s="350"/>
    </row>
    <row r="47" spans="2:129" ht="13.5" customHeight="1" thickBot="1">
      <c r="B47" s="18"/>
      <c r="C47" s="19" t="s">
        <v>500</v>
      </c>
      <c r="D47" s="19"/>
      <c r="E47" s="19"/>
      <c r="F47" s="19"/>
      <c r="G47" s="19"/>
      <c r="H47" s="395"/>
      <c r="I47" s="396"/>
      <c r="J47" s="396"/>
      <c r="K47" s="396"/>
      <c r="L47" s="396"/>
      <c r="M47" s="396"/>
      <c r="N47" s="396"/>
      <c r="O47" s="396"/>
      <c r="P47" s="396"/>
      <c r="Q47" s="396"/>
      <c r="R47" s="397"/>
      <c r="S47" s="395"/>
      <c r="T47" s="396"/>
      <c r="U47" s="396"/>
      <c r="V47" s="396"/>
      <c r="W47" s="396"/>
      <c r="X47" s="397"/>
      <c r="Y47" s="252" t="str">
        <f t="shared" si="6"/>
        <v/>
      </c>
      <c r="Z47" s="253"/>
      <c r="AA47" s="254"/>
      <c r="AB47" s="252" t="str">
        <f t="shared" si="8"/>
        <v/>
      </c>
      <c r="AC47" s="253"/>
      <c r="AD47" s="254"/>
      <c r="AE47" s="252" t="str">
        <f t="shared" si="9"/>
        <v/>
      </c>
      <c r="AF47" s="253"/>
      <c r="AG47" s="253"/>
      <c r="AH47" s="253"/>
      <c r="AI47" s="253"/>
      <c r="AJ47" s="253"/>
      <c r="AK47" s="254"/>
      <c r="AL47" s="398" t="str">
        <f t="shared" si="7"/>
        <v/>
      </c>
      <c r="AM47" s="399"/>
      <c r="AN47" s="399"/>
      <c r="AO47" s="399"/>
      <c r="AP47" s="399"/>
      <c r="AQ47" s="399"/>
      <c r="AR47" s="400"/>
      <c r="AS47" s="20"/>
      <c r="BF47" s="384" t="str">
        <f t="shared" si="10"/>
        <v/>
      </c>
      <c r="BG47" s="385"/>
      <c r="BH47" s="385"/>
      <c r="BI47" s="385"/>
      <c r="BJ47" s="385"/>
      <c r="BK47" s="385"/>
      <c r="BL47" s="385"/>
      <c r="BM47" s="385"/>
      <c r="BN47" s="386"/>
      <c r="BO47" s="387" t="str">
        <f t="shared" si="11"/>
        <v/>
      </c>
      <c r="BP47" s="387"/>
      <c r="BQ47" s="387"/>
      <c r="BR47" s="387"/>
      <c r="BS47" s="387"/>
      <c r="BT47" s="387"/>
      <c r="BU47" s="387"/>
      <c r="BV47" s="387"/>
      <c r="BW47" s="387"/>
      <c r="BX47" s="349"/>
      <c r="BY47" s="334"/>
      <c r="BZ47" s="334"/>
      <c r="CA47" s="334"/>
      <c r="CB47" s="334"/>
      <c r="CC47" s="334"/>
      <c r="CD47" s="334"/>
      <c r="CE47" s="334"/>
      <c r="CF47" s="334"/>
      <c r="CG47" s="334"/>
      <c r="CH47" s="334"/>
      <c r="CI47" s="334"/>
      <c r="CJ47" s="334"/>
      <c r="CK47" s="334"/>
      <c r="CL47" s="334"/>
      <c r="CM47" s="334"/>
      <c r="CN47" s="334"/>
      <c r="CO47" s="350"/>
      <c r="CP47" s="349"/>
      <c r="CQ47" s="334"/>
      <c r="CR47" s="334"/>
      <c r="CS47" s="334"/>
      <c r="CT47" s="334"/>
      <c r="CU47" s="334"/>
      <c r="CV47" s="334"/>
      <c r="CW47" s="334"/>
      <c r="CX47" s="334"/>
      <c r="CY47" s="334"/>
      <c r="CZ47" s="334"/>
      <c r="DA47" s="334"/>
      <c r="DB47" s="334"/>
      <c r="DC47" s="334"/>
      <c r="DD47" s="334"/>
      <c r="DE47" s="334"/>
      <c r="DF47" s="334"/>
      <c r="DG47" s="350"/>
      <c r="DH47" s="349"/>
      <c r="DI47" s="334"/>
      <c r="DJ47" s="334"/>
      <c r="DK47" s="334"/>
      <c r="DL47" s="334"/>
      <c r="DM47" s="334"/>
      <c r="DN47" s="334"/>
      <c r="DO47" s="334"/>
      <c r="DP47" s="334"/>
      <c r="DQ47" s="334"/>
      <c r="DR47" s="334"/>
      <c r="DS47" s="334"/>
      <c r="DT47" s="334"/>
      <c r="DU47" s="334"/>
      <c r="DV47" s="334"/>
      <c r="DW47" s="334"/>
      <c r="DX47" s="334"/>
      <c r="DY47" s="350"/>
    </row>
    <row r="48" spans="2:129" ht="13.5" customHeight="1" thickBot="1">
      <c r="B48" s="18"/>
      <c r="C48" s="19" t="s">
        <v>501</v>
      </c>
      <c r="D48" s="19"/>
      <c r="E48" s="19"/>
      <c r="F48" s="19"/>
      <c r="G48" s="19"/>
      <c r="H48" s="395"/>
      <c r="I48" s="396"/>
      <c r="J48" s="396"/>
      <c r="K48" s="396"/>
      <c r="L48" s="396"/>
      <c r="M48" s="396"/>
      <c r="N48" s="396"/>
      <c r="O48" s="396"/>
      <c r="P48" s="396"/>
      <c r="Q48" s="396"/>
      <c r="R48" s="397"/>
      <c r="S48" s="395"/>
      <c r="T48" s="396"/>
      <c r="U48" s="396"/>
      <c r="V48" s="396"/>
      <c r="W48" s="396"/>
      <c r="X48" s="397"/>
      <c r="Y48" s="252" t="str">
        <f t="shared" si="6"/>
        <v/>
      </c>
      <c r="Z48" s="253"/>
      <c r="AA48" s="254"/>
      <c r="AB48" s="252" t="str">
        <f t="shared" si="8"/>
        <v/>
      </c>
      <c r="AC48" s="253"/>
      <c r="AD48" s="254"/>
      <c r="AE48" s="252" t="str">
        <f t="shared" si="9"/>
        <v/>
      </c>
      <c r="AF48" s="253"/>
      <c r="AG48" s="253"/>
      <c r="AH48" s="253"/>
      <c r="AI48" s="253"/>
      <c r="AJ48" s="253"/>
      <c r="AK48" s="254"/>
      <c r="AL48" s="398" t="str">
        <f t="shared" si="7"/>
        <v/>
      </c>
      <c r="AM48" s="399"/>
      <c r="AN48" s="399"/>
      <c r="AO48" s="399"/>
      <c r="AP48" s="399"/>
      <c r="AQ48" s="399"/>
      <c r="AR48" s="400"/>
      <c r="AS48" s="20"/>
      <c r="BF48" s="384" t="str">
        <f t="shared" si="10"/>
        <v/>
      </c>
      <c r="BG48" s="385"/>
      <c r="BH48" s="385"/>
      <c r="BI48" s="385"/>
      <c r="BJ48" s="385"/>
      <c r="BK48" s="385"/>
      <c r="BL48" s="385"/>
      <c r="BM48" s="385"/>
      <c r="BN48" s="386"/>
      <c r="BO48" s="387" t="str">
        <f t="shared" si="11"/>
        <v/>
      </c>
      <c r="BP48" s="387"/>
      <c r="BQ48" s="387"/>
      <c r="BR48" s="387"/>
      <c r="BS48" s="387"/>
      <c r="BT48" s="387"/>
      <c r="BU48" s="387"/>
      <c r="BV48" s="387"/>
      <c r="BW48" s="387"/>
      <c r="BX48" s="349"/>
      <c r="BY48" s="334"/>
      <c r="BZ48" s="334"/>
      <c r="CA48" s="334"/>
      <c r="CB48" s="334"/>
      <c r="CC48" s="334"/>
      <c r="CD48" s="334"/>
      <c r="CE48" s="334"/>
      <c r="CF48" s="334"/>
      <c r="CG48" s="334"/>
      <c r="CH48" s="334"/>
      <c r="CI48" s="334"/>
      <c r="CJ48" s="334"/>
      <c r="CK48" s="334"/>
      <c r="CL48" s="334"/>
      <c r="CM48" s="334"/>
      <c r="CN48" s="334"/>
      <c r="CO48" s="350"/>
      <c r="CP48" s="349"/>
      <c r="CQ48" s="334"/>
      <c r="CR48" s="334"/>
      <c r="CS48" s="334"/>
      <c r="CT48" s="334"/>
      <c r="CU48" s="334"/>
      <c r="CV48" s="334"/>
      <c r="CW48" s="334"/>
      <c r="CX48" s="334"/>
      <c r="CY48" s="334"/>
      <c r="CZ48" s="334"/>
      <c r="DA48" s="334"/>
      <c r="DB48" s="334"/>
      <c r="DC48" s="334"/>
      <c r="DD48" s="334"/>
      <c r="DE48" s="334"/>
      <c r="DF48" s="334"/>
      <c r="DG48" s="350"/>
      <c r="DH48" s="349"/>
      <c r="DI48" s="334"/>
      <c r="DJ48" s="334"/>
      <c r="DK48" s="334"/>
      <c r="DL48" s="334"/>
      <c r="DM48" s="334"/>
      <c r="DN48" s="334"/>
      <c r="DO48" s="334"/>
      <c r="DP48" s="334"/>
      <c r="DQ48" s="334"/>
      <c r="DR48" s="334"/>
      <c r="DS48" s="334"/>
      <c r="DT48" s="334"/>
      <c r="DU48" s="334"/>
      <c r="DV48" s="334"/>
      <c r="DW48" s="334"/>
      <c r="DX48" s="334"/>
      <c r="DY48" s="350"/>
    </row>
    <row r="49" spans="2:129" ht="13.5" customHeight="1" thickBot="1">
      <c r="B49" s="18"/>
      <c r="C49" s="19" t="s">
        <v>502</v>
      </c>
      <c r="D49" s="19"/>
      <c r="E49" s="19"/>
      <c r="F49" s="19"/>
      <c r="G49" s="19"/>
      <c r="H49" s="395"/>
      <c r="I49" s="396"/>
      <c r="J49" s="396"/>
      <c r="K49" s="396"/>
      <c r="L49" s="396"/>
      <c r="M49" s="396"/>
      <c r="N49" s="396"/>
      <c r="O49" s="396"/>
      <c r="P49" s="396"/>
      <c r="Q49" s="396"/>
      <c r="R49" s="397"/>
      <c r="S49" s="395"/>
      <c r="T49" s="396"/>
      <c r="U49" s="396"/>
      <c r="V49" s="396"/>
      <c r="W49" s="396"/>
      <c r="X49" s="397"/>
      <c r="Y49" s="252" t="str">
        <f t="shared" si="6"/>
        <v/>
      </c>
      <c r="Z49" s="253"/>
      <c r="AA49" s="254"/>
      <c r="AB49" s="252" t="str">
        <f t="shared" si="8"/>
        <v/>
      </c>
      <c r="AC49" s="253"/>
      <c r="AD49" s="254"/>
      <c r="AE49" s="252" t="str">
        <f t="shared" si="9"/>
        <v/>
      </c>
      <c r="AF49" s="253"/>
      <c r="AG49" s="253"/>
      <c r="AH49" s="253"/>
      <c r="AI49" s="253"/>
      <c r="AJ49" s="253"/>
      <c r="AK49" s="254"/>
      <c r="AL49" s="398" t="str">
        <f t="shared" si="7"/>
        <v/>
      </c>
      <c r="AM49" s="399"/>
      <c r="AN49" s="399"/>
      <c r="AO49" s="399"/>
      <c r="AP49" s="399"/>
      <c r="AQ49" s="399"/>
      <c r="AR49" s="400"/>
      <c r="AS49" s="20"/>
      <c r="BF49" s="384" t="str">
        <f t="shared" si="10"/>
        <v/>
      </c>
      <c r="BG49" s="385"/>
      <c r="BH49" s="385"/>
      <c r="BI49" s="385"/>
      <c r="BJ49" s="385"/>
      <c r="BK49" s="385"/>
      <c r="BL49" s="385"/>
      <c r="BM49" s="385"/>
      <c r="BN49" s="386"/>
      <c r="BO49" s="387" t="str">
        <f t="shared" si="11"/>
        <v/>
      </c>
      <c r="BP49" s="387"/>
      <c r="BQ49" s="387"/>
      <c r="BR49" s="387"/>
      <c r="BS49" s="387"/>
      <c r="BT49" s="387"/>
      <c r="BU49" s="387"/>
      <c r="BV49" s="387"/>
      <c r="BW49" s="387"/>
      <c r="BX49" s="349"/>
      <c r="BY49" s="334"/>
      <c r="BZ49" s="334"/>
      <c r="CA49" s="334"/>
      <c r="CB49" s="334"/>
      <c r="CC49" s="334"/>
      <c r="CD49" s="334"/>
      <c r="CE49" s="334"/>
      <c r="CF49" s="334"/>
      <c r="CG49" s="334"/>
      <c r="CH49" s="334"/>
      <c r="CI49" s="334"/>
      <c r="CJ49" s="334"/>
      <c r="CK49" s="334"/>
      <c r="CL49" s="334"/>
      <c r="CM49" s="334"/>
      <c r="CN49" s="334"/>
      <c r="CO49" s="350"/>
      <c r="CP49" s="349"/>
      <c r="CQ49" s="334"/>
      <c r="CR49" s="334"/>
      <c r="CS49" s="334"/>
      <c r="CT49" s="334"/>
      <c r="CU49" s="334"/>
      <c r="CV49" s="334"/>
      <c r="CW49" s="334"/>
      <c r="CX49" s="334"/>
      <c r="CY49" s="334"/>
      <c r="CZ49" s="334"/>
      <c r="DA49" s="334"/>
      <c r="DB49" s="334"/>
      <c r="DC49" s="334"/>
      <c r="DD49" s="334"/>
      <c r="DE49" s="334"/>
      <c r="DF49" s="334"/>
      <c r="DG49" s="350"/>
      <c r="DH49" s="349"/>
      <c r="DI49" s="334"/>
      <c r="DJ49" s="334"/>
      <c r="DK49" s="334"/>
      <c r="DL49" s="334"/>
      <c r="DM49" s="334"/>
      <c r="DN49" s="334"/>
      <c r="DO49" s="334"/>
      <c r="DP49" s="334"/>
      <c r="DQ49" s="334"/>
      <c r="DR49" s="334"/>
      <c r="DS49" s="334"/>
      <c r="DT49" s="334"/>
      <c r="DU49" s="334"/>
      <c r="DV49" s="334"/>
      <c r="DW49" s="334"/>
      <c r="DX49" s="334"/>
      <c r="DY49" s="350"/>
    </row>
    <row r="50" spans="2:129" ht="13.5" customHeight="1" thickBot="1">
      <c r="B50" s="18"/>
      <c r="C50" s="19" t="s">
        <v>503</v>
      </c>
      <c r="D50" s="19"/>
      <c r="E50" s="19"/>
      <c r="F50" s="19"/>
      <c r="G50" s="19"/>
      <c r="H50" s="395"/>
      <c r="I50" s="396"/>
      <c r="J50" s="396"/>
      <c r="K50" s="396"/>
      <c r="L50" s="396"/>
      <c r="M50" s="396"/>
      <c r="N50" s="396"/>
      <c r="O50" s="396"/>
      <c r="P50" s="396"/>
      <c r="Q50" s="396"/>
      <c r="R50" s="397"/>
      <c r="S50" s="395"/>
      <c r="T50" s="396"/>
      <c r="U50" s="396"/>
      <c r="V50" s="396"/>
      <c r="W50" s="396"/>
      <c r="X50" s="397"/>
      <c r="Y50" s="252" t="str">
        <f t="shared" si="6"/>
        <v/>
      </c>
      <c r="Z50" s="253"/>
      <c r="AA50" s="254"/>
      <c r="AB50" s="252" t="str">
        <f t="shared" si="8"/>
        <v/>
      </c>
      <c r="AC50" s="253"/>
      <c r="AD50" s="254"/>
      <c r="AE50" s="252" t="str">
        <f t="shared" si="9"/>
        <v/>
      </c>
      <c r="AF50" s="253"/>
      <c r="AG50" s="253"/>
      <c r="AH50" s="253"/>
      <c r="AI50" s="253"/>
      <c r="AJ50" s="253"/>
      <c r="AK50" s="254"/>
      <c r="AL50" s="398" t="str">
        <f t="shared" si="7"/>
        <v/>
      </c>
      <c r="AM50" s="399"/>
      <c r="AN50" s="399"/>
      <c r="AO50" s="399"/>
      <c r="AP50" s="399"/>
      <c r="AQ50" s="399"/>
      <c r="AR50" s="400"/>
      <c r="AS50" s="20"/>
      <c r="BF50" s="384" t="str">
        <f t="shared" si="10"/>
        <v/>
      </c>
      <c r="BG50" s="385"/>
      <c r="BH50" s="385"/>
      <c r="BI50" s="385"/>
      <c r="BJ50" s="385"/>
      <c r="BK50" s="385"/>
      <c r="BL50" s="385"/>
      <c r="BM50" s="385"/>
      <c r="BN50" s="386"/>
      <c r="BO50" s="387" t="str">
        <f t="shared" si="11"/>
        <v/>
      </c>
      <c r="BP50" s="387"/>
      <c r="BQ50" s="387"/>
      <c r="BR50" s="387"/>
      <c r="BS50" s="387"/>
      <c r="BT50" s="387"/>
      <c r="BU50" s="387"/>
      <c r="BV50" s="387"/>
      <c r="BW50" s="387"/>
      <c r="BX50" s="349"/>
      <c r="BY50" s="334"/>
      <c r="BZ50" s="334"/>
      <c r="CA50" s="334"/>
      <c r="CB50" s="334"/>
      <c r="CC50" s="334"/>
      <c r="CD50" s="334"/>
      <c r="CE50" s="334"/>
      <c r="CF50" s="334"/>
      <c r="CG50" s="334"/>
      <c r="CH50" s="334"/>
      <c r="CI50" s="334"/>
      <c r="CJ50" s="334"/>
      <c r="CK50" s="334"/>
      <c r="CL50" s="334"/>
      <c r="CM50" s="334"/>
      <c r="CN50" s="334"/>
      <c r="CO50" s="350"/>
      <c r="CP50" s="349"/>
      <c r="CQ50" s="334"/>
      <c r="CR50" s="334"/>
      <c r="CS50" s="334"/>
      <c r="CT50" s="334"/>
      <c r="CU50" s="334"/>
      <c r="CV50" s="334"/>
      <c r="CW50" s="334"/>
      <c r="CX50" s="334"/>
      <c r="CY50" s="334"/>
      <c r="CZ50" s="334"/>
      <c r="DA50" s="334"/>
      <c r="DB50" s="334"/>
      <c r="DC50" s="334"/>
      <c r="DD50" s="334"/>
      <c r="DE50" s="334"/>
      <c r="DF50" s="334"/>
      <c r="DG50" s="350"/>
      <c r="DH50" s="349"/>
      <c r="DI50" s="334"/>
      <c r="DJ50" s="334"/>
      <c r="DK50" s="334"/>
      <c r="DL50" s="334"/>
      <c r="DM50" s="334"/>
      <c r="DN50" s="334"/>
      <c r="DO50" s="334"/>
      <c r="DP50" s="334"/>
      <c r="DQ50" s="334"/>
      <c r="DR50" s="334"/>
      <c r="DS50" s="334"/>
      <c r="DT50" s="334"/>
      <c r="DU50" s="334"/>
      <c r="DV50" s="334"/>
      <c r="DW50" s="334"/>
      <c r="DX50" s="334"/>
      <c r="DY50" s="350"/>
    </row>
    <row r="51" spans="2:129" ht="13.5" customHeight="1" thickBot="1">
      <c r="B51" s="18"/>
      <c r="C51" s="19" t="s">
        <v>504</v>
      </c>
      <c r="D51" s="19"/>
      <c r="E51" s="19"/>
      <c r="F51" s="19"/>
      <c r="G51" s="19"/>
      <c r="H51" s="395"/>
      <c r="I51" s="396"/>
      <c r="J51" s="396"/>
      <c r="K51" s="396"/>
      <c r="L51" s="396"/>
      <c r="M51" s="396"/>
      <c r="N51" s="396"/>
      <c r="O51" s="396"/>
      <c r="P51" s="396"/>
      <c r="Q51" s="396"/>
      <c r="R51" s="397"/>
      <c r="S51" s="395"/>
      <c r="T51" s="396"/>
      <c r="U51" s="396"/>
      <c r="V51" s="396"/>
      <c r="W51" s="396"/>
      <c r="X51" s="397"/>
      <c r="Y51" s="252" t="str">
        <f t="shared" si="6"/>
        <v/>
      </c>
      <c r="Z51" s="253"/>
      <c r="AA51" s="254"/>
      <c r="AB51" s="252" t="str">
        <f t="shared" si="8"/>
        <v/>
      </c>
      <c r="AC51" s="253"/>
      <c r="AD51" s="254"/>
      <c r="AE51" s="252" t="str">
        <f t="shared" si="9"/>
        <v/>
      </c>
      <c r="AF51" s="253"/>
      <c r="AG51" s="253"/>
      <c r="AH51" s="253"/>
      <c r="AI51" s="253"/>
      <c r="AJ51" s="253"/>
      <c r="AK51" s="254"/>
      <c r="AL51" s="398" t="str">
        <f t="shared" si="7"/>
        <v/>
      </c>
      <c r="AM51" s="399"/>
      <c r="AN51" s="399"/>
      <c r="AO51" s="399"/>
      <c r="AP51" s="399"/>
      <c r="AQ51" s="399"/>
      <c r="AR51" s="400"/>
      <c r="AS51" s="20"/>
      <c r="BF51" s="384" t="str">
        <f t="shared" si="10"/>
        <v/>
      </c>
      <c r="BG51" s="385"/>
      <c r="BH51" s="385"/>
      <c r="BI51" s="385"/>
      <c r="BJ51" s="385"/>
      <c r="BK51" s="385"/>
      <c r="BL51" s="385"/>
      <c r="BM51" s="385"/>
      <c r="BN51" s="386"/>
      <c r="BO51" s="387" t="str">
        <f t="shared" si="11"/>
        <v/>
      </c>
      <c r="BP51" s="387"/>
      <c r="BQ51" s="387"/>
      <c r="BR51" s="387"/>
      <c r="BS51" s="387"/>
      <c r="BT51" s="387"/>
      <c r="BU51" s="387"/>
      <c r="BV51" s="387"/>
      <c r="BW51" s="387"/>
      <c r="BX51" s="349"/>
      <c r="BY51" s="334"/>
      <c r="BZ51" s="334"/>
      <c r="CA51" s="334"/>
      <c r="CB51" s="334"/>
      <c r="CC51" s="334"/>
      <c r="CD51" s="334"/>
      <c r="CE51" s="334"/>
      <c r="CF51" s="334"/>
      <c r="CG51" s="334"/>
      <c r="CH51" s="334"/>
      <c r="CI51" s="334"/>
      <c r="CJ51" s="334"/>
      <c r="CK51" s="334"/>
      <c r="CL51" s="334"/>
      <c r="CM51" s="334"/>
      <c r="CN51" s="334"/>
      <c r="CO51" s="350"/>
      <c r="CP51" s="349"/>
      <c r="CQ51" s="334"/>
      <c r="CR51" s="334"/>
      <c r="CS51" s="334"/>
      <c r="CT51" s="334"/>
      <c r="CU51" s="334"/>
      <c r="CV51" s="334"/>
      <c r="CW51" s="334"/>
      <c r="CX51" s="334"/>
      <c r="CY51" s="334"/>
      <c r="CZ51" s="334"/>
      <c r="DA51" s="334"/>
      <c r="DB51" s="334"/>
      <c r="DC51" s="334"/>
      <c r="DD51" s="334"/>
      <c r="DE51" s="334"/>
      <c r="DF51" s="334"/>
      <c r="DG51" s="350"/>
      <c r="DH51" s="349"/>
      <c r="DI51" s="334"/>
      <c r="DJ51" s="334"/>
      <c r="DK51" s="334"/>
      <c r="DL51" s="334"/>
      <c r="DM51" s="334"/>
      <c r="DN51" s="334"/>
      <c r="DO51" s="334"/>
      <c r="DP51" s="334"/>
      <c r="DQ51" s="334"/>
      <c r="DR51" s="334"/>
      <c r="DS51" s="334"/>
      <c r="DT51" s="334"/>
      <c r="DU51" s="334"/>
      <c r="DV51" s="334"/>
      <c r="DW51" s="334"/>
      <c r="DX51" s="334"/>
      <c r="DY51" s="350"/>
    </row>
    <row r="52" spans="2:129" ht="13.5" customHeight="1" thickBot="1">
      <c r="B52" s="18"/>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20"/>
      <c r="BX52" s="349"/>
      <c r="BY52" s="334"/>
      <c r="BZ52" s="334"/>
      <c r="CA52" s="334"/>
      <c r="CB52" s="334"/>
      <c r="CC52" s="334"/>
      <c r="CD52" s="334"/>
      <c r="CE52" s="334"/>
      <c r="CF52" s="334"/>
      <c r="CG52" s="334"/>
      <c r="CH52" s="334"/>
      <c r="CI52" s="334"/>
      <c r="CJ52" s="334"/>
      <c r="CK52" s="334"/>
      <c r="CL52" s="334"/>
      <c r="CM52" s="334"/>
      <c r="CN52" s="334"/>
      <c r="CO52" s="350"/>
      <c r="CP52" s="349"/>
      <c r="CQ52" s="334"/>
      <c r="CR52" s="334"/>
      <c r="CS52" s="334"/>
      <c r="CT52" s="334"/>
      <c r="CU52" s="334"/>
      <c r="CV52" s="334"/>
      <c r="CW52" s="334"/>
      <c r="CX52" s="334"/>
      <c r="CY52" s="334"/>
      <c r="CZ52" s="334"/>
      <c r="DA52" s="334"/>
      <c r="DB52" s="334"/>
      <c r="DC52" s="334"/>
      <c r="DD52" s="334"/>
      <c r="DE52" s="334"/>
      <c r="DF52" s="334"/>
      <c r="DG52" s="350"/>
      <c r="DH52" s="349"/>
      <c r="DI52" s="334"/>
      <c r="DJ52" s="334"/>
      <c r="DK52" s="334"/>
      <c r="DL52" s="334"/>
      <c r="DM52" s="334"/>
      <c r="DN52" s="334"/>
      <c r="DO52" s="334"/>
      <c r="DP52" s="334"/>
      <c r="DQ52" s="334"/>
      <c r="DR52" s="334"/>
      <c r="DS52" s="334"/>
      <c r="DT52" s="334"/>
      <c r="DU52" s="334"/>
      <c r="DV52" s="334"/>
      <c r="DW52" s="334"/>
      <c r="DX52" s="334"/>
      <c r="DY52" s="350"/>
    </row>
    <row r="53" spans="2:129" ht="13.5" customHeight="1" thickBot="1">
      <c r="B53" s="18"/>
      <c r="C53" s="388" t="s">
        <v>525</v>
      </c>
      <c r="D53" s="388"/>
      <c r="E53" s="388"/>
      <c r="F53" s="388"/>
      <c r="G53" s="388"/>
      <c r="H53" s="389"/>
      <c r="I53" s="390"/>
      <c r="J53" s="390"/>
      <c r="K53" s="390"/>
      <c r="L53" s="390"/>
      <c r="M53" s="390"/>
      <c r="N53" s="390"/>
      <c r="O53" s="390"/>
      <c r="P53" s="390"/>
      <c r="Q53" s="390"/>
      <c r="R53" s="390"/>
      <c r="S53" s="390"/>
      <c r="T53" s="390"/>
      <c r="U53" s="390"/>
      <c r="V53" s="390"/>
      <c r="W53" s="390"/>
      <c r="X53" s="390"/>
      <c r="Y53" s="390"/>
      <c r="Z53" s="390"/>
      <c r="AA53" s="390"/>
      <c r="AB53" s="390"/>
      <c r="AC53" s="390"/>
      <c r="AD53" s="390"/>
      <c r="AE53" s="390"/>
      <c r="AF53" s="390"/>
      <c r="AG53" s="390"/>
      <c r="AH53" s="390"/>
      <c r="AI53" s="391"/>
      <c r="AJ53" s="19"/>
      <c r="AK53" s="19" t="s">
        <v>526</v>
      </c>
      <c r="AL53" s="19"/>
      <c r="AM53" s="19"/>
      <c r="AN53" s="19"/>
      <c r="AO53" s="252" t="str">
        <f>IF(H41="","",SUM(Y42:AA51))</f>
        <v/>
      </c>
      <c r="AP53" s="253"/>
      <c r="AQ53" s="253"/>
      <c r="AR53" s="254"/>
      <c r="AS53" s="20"/>
      <c r="BX53" s="349"/>
      <c r="BY53" s="334"/>
      <c r="BZ53" s="334"/>
      <c r="CA53" s="334"/>
      <c r="CB53" s="334"/>
      <c r="CC53" s="334"/>
      <c r="CD53" s="334"/>
      <c r="CE53" s="334"/>
      <c r="CF53" s="334"/>
      <c r="CG53" s="334"/>
      <c r="CH53" s="334"/>
      <c r="CI53" s="334"/>
      <c r="CJ53" s="334"/>
      <c r="CK53" s="334"/>
      <c r="CL53" s="334"/>
      <c r="CM53" s="334"/>
      <c r="CN53" s="334"/>
      <c r="CO53" s="350"/>
      <c r="CP53" s="349"/>
      <c r="CQ53" s="334"/>
      <c r="CR53" s="334"/>
      <c r="CS53" s="334"/>
      <c r="CT53" s="334"/>
      <c r="CU53" s="334"/>
      <c r="CV53" s="334"/>
      <c r="CW53" s="334"/>
      <c r="CX53" s="334"/>
      <c r="CY53" s="334"/>
      <c r="CZ53" s="334"/>
      <c r="DA53" s="334"/>
      <c r="DB53" s="334"/>
      <c r="DC53" s="334"/>
      <c r="DD53" s="334"/>
      <c r="DE53" s="334"/>
      <c r="DF53" s="334"/>
      <c r="DG53" s="350"/>
      <c r="DH53" s="349"/>
      <c r="DI53" s="334"/>
      <c r="DJ53" s="334"/>
      <c r="DK53" s="334"/>
      <c r="DL53" s="334"/>
      <c r="DM53" s="334"/>
      <c r="DN53" s="334"/>
      <c r="DO53" s="334"/>
      <c r="DP53" s="334"/>
      <c r="DQ53" s="334"/>
      <c r="DR53" s="334"/>
      <c r="DS53" s="334"/>
      <c r="DT53" s="334"/>
      <c r="DU53" s="334"/>
      <c r="DV53" s="334"/>
      <c r="DW53" s="334"/>
      <c r="DX53" s="334"/>
      <c r="DY53" s="350"/>
    </row>
    <row r="54" spans="2:129" ht="13.5" customHeight="1" thickBot="1">
      <c r="B54" s="18"/>
      <c r="C54" s="388"/>
      <c r="D54" s="388"/>
      <c r="E54" s="388"/>
      <c r="F54" s="388"/>
      <c r="G54" s="388"/>
      <c r="H54" s="392"/>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4"/>
      <c r="AJ54" s="19"/>
      <c r="AK54" s="19"/>
      <c r="AL54" s="19"/>
      <c r="AM54" s="19"/>
      <c r="AN54" s="19"/>
      <c r="AO54" s="19"/>
      <c r="AP54" s="19"/>
      <c r="AQ54" s="19"/>
      <c r="AR54" s="19"/>
      <c r="AS54" s="20"/>
      <c r="BX54" s="351"/>
      <c r="BY54" s="352"/>
      <c r="BZ54" s="352"/>
      <c r="CA54" s="352"/>
      <c r="CB54" s="352"/>
      <c r="CC54" s="352"/>
      <c r="CD54" s="352"/>
      <c r="CE54" s="352"/>
      <c r="CF54" s="352"/>
      <c r="CG54" s="352"/>
      <c r="CH54" s="352"/>
      <c r="CI54" s="352"/>
      <c r="CJ54" s="352"/>
      <c r="CK54" s="352"/>
      <c r="CL54" s="352"/>
      <c r="CM54" s="352"/>
      <c r="CN54" s="352"/>
      <c r="CO54" s="353"/>
      <c r="CP54" s="351"/>
      <c r="CQ54" s="352"/>
      <c r="CR54" s="352"/>
      <c r="CS54" s="352"/>
      <c r="CT54" s="352"/>
      <c r="CU54" s="352"/>
      <c r="CV54" s="352"/>
      <c r="CW54" s="352"/>
      <c r="CX54" s="352"/>
      <c r="CY54" s="352"/>
      <c r="CZ54" s="352"/>
      <c r="DA54" s="352"/>
      <c r="DB54" s="352"/>
      <c r="DC54" s="352"/>
      <c r="DD54" s="352"/>
      <c r="DE54" s="352"/>
      <c r="DF54" s="352"/>
      <c r="DG54" s="353"/>
      <c r="DH54" s="351"/>
      <c r="DI54" s="352"/>
      <c r="DJ54" s="352"/>
      <c r="DK54" s="352"/>
      <c r="DL54" s="352"/>
      <c r="DM54" s="352"/>
      <c r="DN54" s="352"/>
      <c r="DO54" s="352"/>
      <c r="DP54" s="352"/>
      <c r="DQ54" s="352"/>
      <c r="DR54" s="352"/>
      <c r="DS54" s="352"/>
      <c r="DT54" s="352"/>
      <c r="DU54" s="352"/>
      <c r="DV54" s="352"/>
      <c r="DW54" s="352"/>
      <c r="DX54" s="352"/>
      <c r="DY54" s="353"/>
    </row>
    <row r="55" spans="2:129" ht="13.5" customHeight="1" thickBot="1">
      <c r="B55" s="21"/>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3"/>
    </row>
    <row r="56" spans="2:129" ht="13.5" customHeight="1" thickBot="1"/>
    <row r="57" spans="2:129" ht="13.5" customHeight="1" thickBot="1">
      <c r="B57" s="15"/>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7"/>
      <c r="BF57" s="12" t="s">
        <v>620</v>
      </c>
      <c r="BO57" s="12" t="s">
        <v>621</v>
      </c>
      <c r="CG57" s="44"/>
      <c r="CH57" s="44"/>
      <c r="CI57" s="44"/>
      <c r="CJ57" s="44"/>
      <c r="CK57" s="44"/>
      <c r="CL57" s="44"/>
      <c r="CM57" s="44"/>
      <c r="CN57" s="44"/>
      <c r="CO57" s="44"/>
    </row>
    <row r="58" spans="2:129" ht="13.5" customHeight="1" thickBot="1">
      <c r="B58" s="18"/>
      <c r="C58" s="19" t="s">
        <v>385</v>
      </c>
      <c r="D58" s="19"/>
      <c r="E58" s="19"/>
      <c r="F58" s="19"/>
      <c r="G58" s="19"/>
      <c r="H58" s="249"/>
      <c r="I58" s="250"/>
      <c r="J58" s="250"/>
      <c r="K58" s="250"/>
      <c r="L58" s="250"/>
      <c r="M58" s="250"/>
      <c r="N58" s="250"/>
      <c r="O58" s="250"/>
      <c r="P58" s="250"/>
      <c r="Q58" s="250"/>
      <c r="R58" s="251"/>
      <c r="S58" s="401" t="s">
        <v>505</v>
      </c>
      <c r="T58" s="262"/>
      <c r="U58" s="262"/>
      <c r="V58" s="262"/>
      <c r="W58" s="262"/>
      <c r="X58" s="262"/>
      <c r="Y58" s="269" t="s">
        <v>37</v>
      </c>
      <c r="Z58" s="269"/>
      <c r="AA58" s="269"/>
      <c r="AB58" s="269" t="s">
        <v>36</v>
      </c>
      <c r="AC58" s="269"/>
      <c r="AD58" s="269"/>
      <c r="AE58" s="269" t="s">
        <v>506</v>
      </c>
      <c r="AF58" s="269"/>
      <c r="AG58" s="269"/>
      <c r="AH58" s="269"/>
      <c r="AI58" s="269"/>
      <c r="AJ58" s="269"/>
      <c r="AK58" s="269"/>
      <c r="AL58" s="269" t="s">
        <v>507</v>
      </c>
      <c r="AM58" s="269"/>
      <c r="AN58" s="269"/>
      <c r="AO58" s="269"/>
      <c r="AP58" s="269"/>
      <c r="AQ58" s="269"/>
      <c r="AR58" s="269"/>
      <c r="AS58" s="20"/>
      <c r="BF58" s="384" t="str">
        <f>IF(H58="","",H58&amp;IF(H70="",""," ["&amp;H70&amp;"]"))</f>
        <v/>
      </c>
      <c r="BG58" s="385"/>
      <c r="BH58" s="385"/>
      <c r="BI58" s="385"/>
      <c r="BJ58" s="385"/>
      <c r="BK58" s="385"/>
      <c r="BL58" s="385"/>
      <c r="BM58" s="385"/>
      <c r="BN58" s="386"/>
      <c r="BO58" s="371"/>
      <c r="BP58" s="371"/>
      <c r="BQ58" s="371"/>
      <c r="BR58" s="371"/>
      <c r="BS58" s="371"/>
      <c r="BT58" s="371"/>
      <c r="BU58" s="371"/>
      <c r="BV58" s="371"/>
      <c r="BW58" s="371"/>
      <c r="BX58" s="346" t="str">
        <f>IF(BF58="","",CHAR(10)&amp;CHAR(149)&amp;" "&amp;BF58&amp;CHAR(10)&amp;BO68)</f>
        <v/>
      </c>
      <c r="BY58" s="347"/>
      <c r="BZ58" s="347"/>
      <c r="CA58" s="347"/>
      <c r="CB58" s="347"/>
      <c r="CC58" s="347"/>
      <c r="CD58" s="347"/>
      <c r="CE58" s="347"/>
      <c r="CF58" s="347"/>
      <c r="CG58" s="347"/>
      <c r="CH58" s="347"/>
      <c r="CI58" s="347"/>
      <c r="CJ58" s="347"/>
      <c r="CK58" s="347"/>
      <c r="CL58" s="347"/>
      <c r="CM58" s="347"/>
      <c r="CN58" s="347"/>
      <c r="CO58" s="348"/>
      <c r="CP58" s="346" t="str">
        <f>IF($BF58="","",CHAR(10)&amp;"[b]"&amp;$BF58&amp;": [/b]"&amp;CHAR(10)&amp;$BO68&amp;CHAR(10)&amp;"("&amp;AO70&amp;" points)")</f>
        <v/>
      </c>
      <c r="CQ58" s="347"/>
      <c r="CR58" s="347"/>
      <c r="CS58" s="347"/>
      <c r="CT58" s="347"/>
      <c r="CU58" s="347"/>
      <c r="CV58" s="347"/>
      <c r="CW58" s="347"/>
      <c r="CX58" s="347"/>
      <c r="CY58" s="347"/>
      <c r="CZ58" s="347"/>
      <c r="DA58" s="347"/>
      <c r="DB58" s="347"/>
      <c r="DC58" s="347"/>
      <c r="DD58" s="347"/>
      <c r="DE58" s="347"/>
      <c r="DF58" s="347"/>
      <c r="DG58" s="348"/>
      <c r="DH58" s="346" t="str">
        <f>IF($BF58="","",CHAR(10)&amp;"**"&amp;$BF58&amp;":**"&amp;CHAR(10)&amp;$BO68&amp;CHAR(10)&amp;"("&amp;$AO70&amp;" points)")</f>
        <v/>
      </c>
      <c r="DI58" s="347"/>
      <c r="DJ58" s="347"/>
      <c r="DK58" s="347"/>
      <c r="DL58" s="347"/>
      <c r="DM58" s="347"/>
      <c r="DN58" s="347"/>
      <c r="DO58" s="347"/>
      <c r="DP58" s="347"/>
      <c r="DQ58" s="347"/>
      <c r="DR58" s="347"/>
      <c r="DS58" s="347"/>
      <c r="DT58" s="347"/>
      <c r="DU58" s="347"/>
      <c r="DV58" s="347"/>
      <c r="DW58" s="347"/>
      <c r="DX58" s="347"/>
      <c r="DY58" s="348"/>
    </row>
    <row r="59" spans="2:129" ht="13.5" customHeight="1" thickBot="1">
      <c r="B59" s="18"/>
      <c r="C59" s="19" t="s">
        <v>495</v>
      </c>
      <c r="D59" s="19"/>
      <c r="E59" s="19"/>
      <c r="F59" s="19"/>
      <c r="G59" s="19"/>
      <c r="H59" s="395"/>
      <c r="I59" s="396"/>
      <c r="J59" s="396"/>
      <c r="K59" s="396"/>
      <c r="L59" s="396"/>
      <c r="M59" s="396"/>
      <c r="N59" s="396"/>
      <c r="O59" s="396"/>
      <c r="P59" s="396"/>
      <c r="Q59" s="396"/>
      <c r="R59" s="397"/>
      <c r="S59" s="395"/>
      <c r="T59" s="396"/>
      <c r="U59" s="396"/>
      <c r="V59" s="396"/>
      <c r="W59" s="396"/>
      <c r="X59" s="397"/>
      <c r="Y59" s="252" t="str">
        <f t="shared" ref="Y59:Y68" si="12">IF($H59="","",IF($S59="Normal",VLOOKUP($H59,ComponentMatrix,7,FALSE),IF($S59="Alternate",1,IF($S59="Dynamic",2,IF($S59="None",0,"")))))</f>
        <v/>
      </c>
      <c r="Z59" s="253"/>
      <c r="AA59" s="254"/>
      <c r="AB59" s="252" t="str">
        <f>IF($H59="","",VLOOKUP($H59,ComponentMatrix,5,FALSE))</f>
        <v/>
      </c>
      <c r="AC59" s="253"/>
      <c r="AD59" s="254"/>
      <c r="AE59" s="252" t="str">
        <f>IF($H59="","",VLOOKUP($H59,ComponentMatrix,9,FALSE))</f>
        <v/>
      </c>
      <c r="AF59" s="253"/>
      <c r="AG59" s="253"/>
      <c r="AH59" s="253"/>
      <c r="AI59" s="253"/>
      <c r="AJ59" s="253"/>
      <c r="AK59" s="254"/>
      <c r="AL59" s="398" t="str">
        <f t="shared" ref="AL59:AL68" si="13">IF($H59="","",VLOOKUP($H59,ComponentMatrix,15,FALSE))</f>
        <v/>
      </c>
      <c r="AM59" s="399"/>
      <c r="AN59" s="399"/>
      <c r="AO59" s="399"/>
      <c r="AP59" s="399"/>
      <c r="AQ59" s="399"/>
      <c r="AR59" s="400"/>
      <c r="AS59" s="20"/>
      <c r="BF59" s="384" t="str">
        <f>IF(H59="","",IF(S59="Alternate","Alt: ","")&amp;IF(S59="Dynamic","Dyn: ","")&amp;IF(H59=AE59,AE59&amp;" "&amp;AB59&amp;IF(AL59="",""," ["&amp;AL59&amp;"]"),IF(AE59="Custom",H59&amp;" ("&amp;Y59&amp;" points)"&amp;CHAR(10),H59&amp;": "&amp;AE59&amp;" "&amp;AB59&amp;IF(AL59="",""," ["&amp;AL59&amp;"]"))))</f>
        <v/>
      </c>
      <c r="BG59" s="385"/>
      <c r="BH59" s="385"/>
      <c r="BI59" s="385"/>
      <c r="BJ59" s="385"/>
      <c r="BK59" s="385"/>
      <c r="BL59" s="385"/>
      <c r="BM59" s="385"/>
      <c r="BN59" s="386"/>
      <c r="BO59" s="371" t="str">
        <f>IF(BF59="","","     "&amp;BF59)</f>
        <v/>
      </c>
      <c r="BP59" s="371"/>
      <c r="BQ59" s="371"/>
      <c r="BR59" s="371"/>
      <c r="BS59" s="371"/>
      <c r="BT59" s="371"/>
      <c r="BU59" s="371"/>
      <c r="BV59" s="371"/>
      <c r="BW59" s="371"/>
      <c r="BX59" s="349"/>
      <c r="BY59" s="334"/>
      <c r="BZ59" s="334"/>
      <c r="CA59" s="334"/>
      <c r="CB59" s="334"/>
      <c r="CC59" s="334"/>
      <c r="CD59" s="334"/>
      <c r="CE59" s="334"/>
      <c r="CF59" s="334"/>
      <c r="CG59" s="334"/>
      <c r="CH59" s="334"/>
      <c r="CI59" s="334"/>
      <c r="CJ59" s="334"/>
      <c r="CK59" s="334"/>
      <c r="CL59" s="334"/>
      <c r="CM59" s="334"/>
      <c r="CN59" s="334"/>
      <c r="CO59" s="350"/>
      <c r="CP59" s="349"/>
      <c r="CQ59" s="334"/>
      <c r="CR59" s="334"/>
      <c r="CS59" s="334"/>
      <c r="CT59" s="334"/>
      <c r="CU59" s="334"/>
      <c r="CV59" s="334"/>
      <c r="CW59" s="334"/>
      <c r="CX59" s="334"/>
      <c r="CY59" s="334"/>
      <c r="CZ59" s="334"/>
      <c r="DA59" s="334"/>
      <c r="DB59" s="334"/>
      <c r="DC59" s="334"/>
      <c r="DD59" s="334"/>
      <c r="DE59" s="334"/>
      <c r="DF59" s="334"/>
      <c r="DG59" s="350"/>
      <c r="DH59" s="349"/>
      <c r="DI59" s="334"/>
      <c r="DJ59" s="334"/>
      <c r="DK59" s="334"/>
      <c r="DL59" s="334"/>
      <c r="DM59" s="334"/>
      <c r="DN59" s="334"/>
      <c r="DO59" s="334"/>
      <c r="DP59" s="334"/>
      <c r="DQ59" s="334"/>
      <c r="DR59" s="334"/>
      <c r="DS59" s="334"/>
      <c r="DT59" s="334"/>
      <c r="DU59" s="334"/>
      <c r="DV59" s="334"/>
      <c r="DW59" s="334"/>
      <c r="DX59" s="334"/>
      <c r="DY59" s="350"/>
    </row>
    <row r="60" spans="2:129" ht="13.5" customHeight="1" thickBot="1">
      <c r="B60" s="18"/>
      <c r="C60" s="19" t="s">
        <v>496</v>
      </c>
      <c r="D60" s="19"/>
      <c r="E60" s="19"/>
      <c r="F60" s="19"/>
      <c r="G60" s="19"/>
      <c r="H60" s="395"/>
      <c r="I60" s="396"/>
      <c r="J60" s="396"/>
      <c r="K60" s="396"/>
      <c r="L60" s="396"/>
      <c r="M60" s="396"/>
      <c r="N60" s="396"/>
      <c r="O60" s="396"/>
      <c r="P60" s="396"/>
      <c r="Q60" s="396"/>
      <c r="R60" s="397"/>
      <c r="S60" s="395"/>
      <c r="T60" s="396"/>
      <c r="U60" s="396"/>
      <c r="V60" s="396"/>
      <c r="W60" s="396"/>
      <c r="X60" s="397"/>
      <c r="Y60" s="252" t="str">
        <f t="shared" si="12"/>
        <v/>
      </c>
      <c r="Z60" s="253"/>
      <c r="AA60" s="254"/>
      <c r="AB60" s="252" t="str">
        <f t="shared" ref="AB60:AB68" si="14">IF(H60="","",VLOOKUP(H60,ComponentMatrix,5,FALSE))</f>
        <v/>
      </c>
      <c r="AC60" s="253"/>
      <c r="AD60" s="254"/>
      <c r="AE60" s="252" t="str">
        <f t="shared" ref="AE60:AE68" si="15">IF(H60="","",VLOOKUP(H60,ComponentMatrix,9,FALSE))</f>
        <v/>
      </c>
      <c r="AF60" s="253"/>
      <c r="AG60" s="253"/>
      <c r="AH60" s="253"/>
      <c r="AI60" s="253"/>
      <c r="AJ60" s="253"/>
      <c r="AK60" s="254"/>
      <c r="AL60" s="398" t="str">
        <f t="shared" si="13"/>
        <v/>
      </c>
      <c r="AM60" s="399"/>
      <c r="AN60" s="399"/>
      <c r="AO60" s="399"/>
      <c r="AP60" s="399"/>
      <c r="AQ60" s="399"/>
      <c r="AR60" s="400"/>
      <c r="AS60" s="20"/>
      <c r="BF60" s="384" t="str">
        <f t="shared" ref="BF60:BF68" si="16">IF(H60="","",IF(S60="Alternate","Alt: ","")&amp;IF(S60="Dynamic","Dyn: ","")&amp;IF(H60=AE60,AE60&amp;" "&amp;AB60&amp;IF(AL60="",""," ["&amp;AL60&amp;"]"),IF(AE60="Custom",H60&amp;" ("&amp;Y60&amp;" points)"&amp;CHAR(10),H60&amp;": "&amp;AE60&amp;" "&amp;AB60&amp;IF(AL60="",""," ["&amp;AL60&amp;"]"))))</f>
        <v/>
      </c>
      <c r="BG60" s="385"/>
      <c r="BH60" s="385"/>
      <c r="BI60" s="385"/>
      <c r="BJ60" s="385"/>
      <c r="BK60" s="385"/>
      <c r="BL60" s="385"/>
      <c r="BM60" s="385"/>
      <c r="BN60" s="386"/>
      <c r="BO60" s="387" t="str">
        <f>BO59&amp;IF(AE59="Custom","     "&amp;BF60,IF(S60="None",", "&amp;BF60,"")&amp;IF(OR(S60="Alternate",S60="Dynamic"),CHAR(10)&amp;"     "&amp;BF60,"")&amp;IF(S60="Normal",IF(OR(S59="Alternate",S59="Dynamic",S59="None"),CHAR(10)&amp;"     "&amp;BF60,", "&amp;BF60),""))</f>
        <v/>
      </c>
      <c r="BP60" s="387"/>
      <c r="BQ60" s="387"/>
      <c r="BR60" s="387"/>
      <c r="BS60" s="387"/>
      <c r="BT60" s="387"/>
      <c r="BU60" s="387"/>
      <c r="BV60" s="387"/>
      <c r="BW60" s="387"/>
      <c r="BX60" s="349"/>
      <c r="BY60" s="334"/>
      <c r="BZ60" s="334"/>
      <c r="CA60" s="334"/>
      <c r="CB60" s="334"/>
      <c r="CC60" s="334"/>
      <c r="CD60" s="334"/>
      <c r="CE60" s="334"/>
      <c r="CF60" s="334"/>
      <c r="CG60" s="334"/>
      <c r="CH60" s="334"/>
      <c r="CI60" s="334"/>
      <c r="CJ60" s="334"/>
      <c r="CK60" s="334"/>
      <c r="CL60" s="334"/>
      <c r="CM60" s="334"/>
      <c r="CN60" s="334"/>
      <c r="CO60" s="350"/>
      <c r="CP60" s="349"/>
      <c r="CQ60" s="334"/>
      <c r="CR60" s="334"/>
      <c r="CS60" s="334"/>
      <c r="CT60" s="334"/>
      <c r="CU60" s="334"/>
      <c r="CV60" s="334"/>
      <c r="CW60" s="334"/>
      <c r="CX60" s="334"/>
      <c r="CY60" s="334"/>
      <c r="CZ60" s="334"/>
      <c r="DA60" s="334"/>
      <c r="DB60" s="334"/>
      <c r="DC60" s="334"/>
      <c r="DD60" s="334"/>
      <c r="DE60" s="334"/>
      <c r="DF60" s="334"/>
      <c r="DG60" s="350"/>
      <c r="DH60" s="349"/>
      <c r="DI60" s="334"/>
      <c r="DJ60" s="334"/>
      <c r="DK60" s="334"/>
      <c r="DL60" s="334"/>
      <c r="DM60" s="334"/>
      <c r="DN60" s="334"/>
      <c r="DO60" s="334"/>
      <c r="DP60" s="334"/>
      <c r="DQ60" s="334"/>
      <c r="DR60" s="334"/>
      <c r="DS60" s="334"/>
      <c r="DT60" s="334"/>
      <c r="DU60" s="334"/>
      <c r="DV60" s="334"/>
      <c r="DW60" s="334"/>
      <c r="DX60" s="334"/>
      <c r="DY60" s="350"/>
    </row>
    <row r="61" spans="2:129" ht="13.5" customHeight="1" thickBot="1">
      <c r="B61" s="18"/>
      <c r="C61" s="19" t="s">
        <v>497</v>
      </c>
      <c r="D61" s="19"/>
      <c r="E61" s="19"/>
      <c r="F61" s="19"/>
      <c r="G61" s="19"/>
      <c r="H61" s="395"/>
      <c r="I61" s="396"/>
      <c r="J61" s="396"/>
      <c r="K61" s="396"/>
      <c r="L61" s="396"/>
      <c r="M61" s="396"/>
      <c r="N61" s="396"/>
      <c r="O61" s="396"/>
      <c r="P61" s="396"/>
      <c r="Q61" s="396"/>
      <c r="R61" s="397"/>
      <c r="S61" s="395"/>
      <c r="T61" s="396"/>
      <c r="U61" s="396"/>
      <c r="V61" s="396"/>
      <c r="W61" s="396"/>
      <c r="X61" s="397"/>
      <c r="Y61" s="252" t="str">
        <f t="shared" si="12"/>
        <v/>
      </c>
      <c r="Z61" s="253"/>
      <c r="AA61" s="254"/>
      <c r="AB61" s="252" t="str">
        <f t="shared" si="14"/>
        <v/>
      </c>
      <c r="AC61" s="253"/>
      <c r="AD61" s="254"/>
      <c r="AE61" s="252" t="str">
        <f t="shared" si="15"/>
        <v/>
      </c>
      <c r="AF61" s="253"/>
      <c r="AG61" s="253"/>
      <c r="AH61" s="253"/>
      <c r="AI61" s="253"/>
      <c r="AJ61" s="253"/>
      <c r="AK61" s="254"/>
      <c r="AL61" s="398" t="str">
        <f t="shared" si="13"/>
        <v/>
      </c>
      <c r="AM61" s="399"/>
      <c r="AN61" s="399"/>
      <c r="AO61" s="399"/>
      <c r="AP61" s="399"/>
      <c r="AQ61" s="399"/>
      <c r="AR61" s="400"/>
      <c r="AS61" s="20"/>
      <c r="BF61" s="384" t="str">
        <f t="shared" si="16"/>
        <v/>
      </c>
      <c r="BG61" s="385"/>
      <c r="BH61" s="385"/>
      <c r="BI61" s="385"/>
      <c r="BJ61" s="385"/>
      <c r="BK61" s="385"/>
      <c r="BL61" s="385"/>
      <c r="BM61" s="385"/>
      <c r="BN61" s="386"/>
      <c r="BO61" s="387" t="str">
        <f t="shared" ref="BO61:BO68" si="17">BO60&amp;IF(AE60="Custom","     "&amp;BF61,IF(S61="None",", "&amp;BF61,"")&amp;IF(OR(S61="Alternate",S61="Dynamic"),CHAR(10)&amp;"     "&amp;BF61,"")&amp;IF(S61="Normal",IF(OR(S60="Alternate",S60="Dynamic",S60="None"),CHAR(10)&amp;"     "&amp;BF61,", "&amp;BF61),""))</f>
        <v/>
      </c>
      <c r="BP61" s="387"/>
      <c r="BQ61" s="387"/>
      <c r="BR61" s="387"/>
      <c r="BS61" s="387"/>
      <c r="BT61" s="387"/>
      <c r="BU61" s="387"/>
      <c r="BV61" s="387"/>
      <c r="BW61" s="387"/>
      <c r="BX61" s="349"/>
      <c r="BY61" s="334"/>
      <c r="BZ61" s="334"/>
      <c r="CA61" s="334"/>
      <c r="CB61" s="334"/>
      <c r="CC61" s="334"/>
      <c r="CD61" s="334"/>
      <c r="CE61" s="334"/>
      <c r="CF61" s="334"/>
      <c r="CG61" s="334"/>
      <c r="CH61" s="334"/>
      <c r="CI61" s="334"/>
      <c r="CJ61" s="334"/>
      <c r="CK61" s="334"/>
      <c r="CL61" s="334"/>
      <c r="CM61" s="334"/>
      <c r="CN61" s="334"/>
      <c r="CO61" s="350"/>
      <c r="CP61" s="349"/>
      <c r="CQ61" s="334"/>
      <c r="CR61" s="334"/>
      <c r="CS61" s="334"/>
      <c r="CT61" s="334"/>
      <c r="CU61" s="334"/>
      <c r="CV61" s="334"/>
      <c r="CW61" s="334"/>
      <c r="CX61" s="334"/>
      <c r="CY61" s="334"/>
      <c r="CZ61" s="334"/>
      <c r="DA61" s="334"/>
      <c r="DB61" s="334"/>
      <c r="DC61" s="334"/>
      <c r="DD61" s="334"/>
      <c r="DE61" s="334"/>
      <c r="DF61" s="334"/>
      <c r="DG61" s="350"/>
      <c r="DH61" s="349"/>
      <c r="DI61" s="334"/>
      <c r="DJ61" s="334"/>
      <c r="DK61" s="334"/>
      <c r="DL61" s="334"/>
      <c r="DM61" s="334"/>
      <c r="DN61" s="334"/>
      <c r="DO61" s="334"/>
      <c r="DP61" s="334"/>
      <c r="DQ61" s="334"/>
      <c r="DR61" s="334"/>
      <c r="DS61" s="334"/>
      <c r="DT61" s="334"/>
      <c r="DU61" s="334"/>
      <c r="DV61" s="334"/>
      <c r="DW61" s="334"/>
      <c r="DX61" s="334"/>
      <c r="DY61" s="350"/>
    </row>
    <row r="62" spans="2:129" ht="13.5" customHeight="1" thickBot="1">
      <c r="B62" s="18"/>
      <c r="C62" s="19" t="s">
        <v>498</v>
      </c>
      <c r="D62" s="19"/>
      <c r="E62" s="19"/>
      <c r="F62" s="19"/>
      <c r="G62" s="19"/>
      <c r="H62" s="395"/>
      <c r="I62" s="396"/>
      <c r="J62" s="396"/>
      <c r="K62" s="396"/>
      <c r="L62" s="396"/>
      <c r="M62" s="396"/>
      <c r="N62" s="396"/>
      <c r="O62" s="396"/>
      <c r="P62" s="396"/>
      <c r="Q62" s="396"/>
      <c r="R62" s="397"/>
      <c r="S62" s="395"/>
      <c r="T62" s="396"/>
      <c r="U62" s="396"/>
      <c r="V62" s="396"/>
      <c r="W62" s="396"/>
      <c r="X62" s="397"/>
      <c r="Y62" s="252" t="str">
        <f t="shared" si="12"/>
        <v/>
      </c>
      <c r="Z62" s="253"/>
      <c r="AA62" s="254"/>
      <c r="AB62" s="252" t="str">
        <f t="shared" si="14"/>
        <v/>
      </c>
      <c r="AC62" s="253"/>
      <c r="AD62" s="254"/>
      <c r="AE62" s="252" t="str">
        <f t="shared" si="15"/>
        <v/>
      </c>
      <c r="AF62" s="253"/>
      <c r="AG62" s="253"/>
      <c r="AH62" s="253"/>
      <c r="AI62" s="253"/>
      <c r="AJ62" s="253"/>
      <c r="AK62" s="254"/>
      <c r="AL62" s="398" t="str">
        <f t="shared" si="13"/>
        <v/>
      </c>
      <c r="AM62" s="399"/>
      <c r="AN62" s="399"/>
      <c r="AO62" s="399"/>
      <c r="AP62" s="399"/>
      <c r="AQ62" s="399"/>
      <c r="AR62" s="400"/>
      <c r="AS62" s="20"/>
      <c r="BF62" s="384" t="str">
        <f t="shared" si="16"/>
        <v/>
      </c>
      <c r="BG62" s="385"/>
      <c r="BH62" s="385"/>
      <c r="BI62" s="385"/>
      <c r="BJ62" s="385"/>
      <c r="BK62" s="385"/>
      <c r="BL62" s="385"/>
      <c r="BM62" s="385"/>
      <c r="BN62" s="386"/>
      <c r="BO62" s="387" t="str">
        <f t="shared" si="17"/>
        <v/>
      </c>
      <c r="BP62" s="387"/>
      <c r="BQ62" s="387"/>
      <c r="BR62" s="387"/>
      <c r="BS62" s="387"/>
      <c r="BT62" s="387"/>
      <c r="BU62" s="387"/>
      <c r="BV62" s="387"/>
      <c r="BW62" s="387"/>
      <c r="BX62" s="349"/>
      <c r="BY62" s="334"/>
      <c r="BZ62" s="334"/>
      <c r="CA62" s="334"/>
      <c r="CB62" s="334"/>
      <c r="CC62" s="334"/>
      <c r="CD62" s="334"/>
      <c r="CE62" s="334"/>
      <c r="CF62" s="334"/>
      <c r="CG62" s="334"/>
      <c r="CH62" s="334"/>
      <c r="CI62" s="334"/>
      <c r="CJ62" s="334"/>
      <c r="CK62" s="334"/>
      <c r="CL62" s="334"/>
      <c r="CM62" s="334"/>
      <c r="CN62" s="334"/>
      <c r="CO62" s="350"/>
      <c r="CP62" s="349"/>
      <c r="CQ62" s="334"/>
      <c r="CR62" s="334"/>
      <c r="CS62" s="334"/>
      <c r="CT62" s="334"/>
      <c r="CU62" s="334"/>
      <c r="CV62" s="334"/>
      <c r="CW62" s="334"/>
      <c r="CX62" s="334"/>
      <c r="CY62" s="334"/>
      <c r="CZ62" s="334"/>
      <c r="DA62" s="334"/>
      <c r="DB62" s="334"/>
      <c r="DC62" s="334"/>
      <c r="DD62" s="334"/>
      <c r="DE62" s="334"/>
      <c r="DF62" s="334"/>
      <c r="DG62" s="350"/>
      <c r="DH62" s="349"/>
      <c r="DI62" s="334"/>
      <c r="DJ62" s="334"/>
      <c r="DK62" s="334"/>
      <c r="DL62" s="334"/>
      <c r="DM62" s="334"/>
      <c r="DN62" s="334"/>
      <c r="DO62" s="334"/>
      <c r="DP62" s="334"/>
      <c r="DQ62" s="334"/>
      <c r="DR62" s="334"/>
      <c r="DS62" s="334"/>
      <c r="DT62" s="334"/>
      <c r="DU62" s="334"/>
      <c r="DV62" s="334"/>
      <c r="DW62" s="334"/>
      <c r="DX62" s="334"/>
      <c r="DY62" s="350"/>
    </row>
    <row r="63" spans="2:129" ht="13.5" customHeight="1" thickBot="1">
      <c r="B63" s="18"/>
      <c r="C63" s="19" t="s">
        <v>499</v>
      </c>
      <c r="D63" s="19"/>
      <c r="E63" s="19"/>
      <c r="F63" s="19"/>
      <c r="G63" s="19"/>
      <c r="H63" s="395"/>
      <c r="I63" s="396"/>
      <c r="J63" s="396"/>
      <c r="K63" s="396"/>
      <c r="L63" s="396"/>
      <c r="M63" s="396"/>
      <c r="N63" s="396"/>
      <c r="O63" s="396"/>
      <c r="P63" s="396"/>
      <c r="Q63" s="396"/>
      <c r="R63" s="397"/>
      <c r="S63" s="395"/>
      <c r="T63" s="396"/>
      <c r="U63" s="396"/>
      <c r="V63" s="396"/>
      <c r="W63" s="396"/>
      <c r="X63" s="397"/>
      <c r="Y63" s="252" t="str">
        <f t="shared" si="12"/>
        <v/>
      </c>
      <c r="Z63" s="253"/>
      <c r="AA63" s="254"/>
      <c r="AB63" s="252" t="str">
        <f t="shared" si="14"/>
        <v/>
      </c>
      <c r="AC63" s="253"/>
      <c r="AD63" s="254"/>
      <c r="AE63" s="252" t="str">
        <f t="shared" si="15"/>
        <v/>
      </c>
      <c r="AF63" s="253"/>
      <c r="AG63" s="253"/>
      <c r="AH63" s="253"/>
      <c r="AI63" s="253"/>
      <c r="AJ63" s="253"/>
      <c r="AK63" s="254"/>
      <c r="AL63" s="398" t="str">
        <f t="shared" si="13"/>
        <v/>
      </c>
      <c r="AM63" s="399"/>
      <c r="AN63" s="399"/>
      <c r="AO63" s="399"/>
      <c r="AP63" s="399"/>
      <c r="AQ63" s="399"/>
      <c r="AR63" s="400"/>
      <c r="AS63" s="20"/>
      <c r="BF63" s="384" t="str">
        <f t="shared" si="16"/>
        <v/>
      </c>
      <c r="BG63" s="385"/>
      <c r="BH63" s="385"/>
      <c r="BI63" s="385"/>
      <c r="BJ63" s="385"/>
      <c r="BK63" s="385"/>
      <c r="BL63" s="385"/>
      <c r="BM63" s="385"/>
      <c r="BN63" s="386"/>
      <c r="BO63" s="387" t="str">
        <f t="shared" si="17"/>
        <v/>
      </c>
      <c r="BP63" s="387"/>
      <c r="BQ63" s="387"/>
      <c r="BR63" s="387"/>
      <c r="BS63" s="387"/>
      <c r="BT63" s="387"/>
      <c r="BU63" s="387"/>
      <c r="BV63" s="387"/>
      <c r="BW63" s="387"/>
      <c r="BX63" s="349"/>
      <c r="BY63" s="334"/>
      <c r="BZ63" s="334"/>
      <c r="CA63" s="334"/>
      <c r="CB63" s="334"/>
      <c r="CC63" s="334"/>
      <c r="CD63" s="334"/>
      <c r="CE63" s="334"/>
      <c r="CF63" s="334"/>
      <c r="CG63" s="334"/>
      <c r="CH63" s="334"/>
      <c r="CI63" s="334"/>
      <c r="CJ63" s="334"/>
      <c r="CK63" s="334"/>
      <c r="CL63" s="334"/>
      <c r="CM63" s="334"/>
      <c r="CN63" s="334"/>
      <c r="CO63" s="350"/>
      <c r="CP63" s="349"/>
      <c r="CQ63" s="334"/>
      <c r="CR63" s="334"/>
      <c r="CS63" s="334"/>
      <c r="CT63" s="334"/>
      <c r="CU63" s="334"/>
      <c r="CV63" s="334"/>
      <c r="CW63" s="334"/>
      <c r="CX63" s="334"/>
      <c r="CY63" s="334"/>
      <c r="CZ63" s="334"/>
      <c r="DA63" s="334"/>
      <c r="DB63" s="334"/>
      <c r="DC63" s="334"/>
      <c r="DD63" s="334"/>
      <c r="DE63" s="334"/>
      <c r="DF63" s="334"/>
      <c r="DG63" s="350"/>
      <c r="DH63" s="349"/>
      <c r="DI63" s="334"/>
      <c r="DJ63" s="334"/>
      <c r="DK63" s="334"/>
      <c r="DL63" s="334"/>
      <c r="DM63" s="334"/>
      <c r="DN63" s="334"/>
      <c r="DO63" s="334"/>
      <c r="DP63" s="334"/>
      <c r="DQ63" s="334"/>
      <c r="DR63" s="334"/>
      <c r="DS63" s="334"/>
      <c r="DT63" s="334"/>
      <c r="DU63" s="334"/>
      <c r="DV63" s="334"/>
      <c r="DW63" s="334"/>
      <c r="DX63" s="334"/>
      <c r="DY63" s="350"/>
    </row>
    <row r="64" spans="2:129" ht="13.5" customHeight="1" thickBot="1">
      <c r="B64" s="18"/>
      <c r="C64" s="19" t="s">
        <v>500</v>
      </c>
      <c r="D64" s="19"/>
      <c r="E64" s="19"/>
      <c r="F64" s="19"/>
      <c r="G64" s="19"/>
      <c r="H64" s="395"/>
      <c r="I64" s="396"/>
      <c r="J64" s="396"/>
      <c r="K64" s="396"/>
      <c r="L64" s="396"/>
      <c r="M64" s="396"/>
      <c r="N64" s="396"/>
      <c r="O64" s="396"/>
      <c r="P64" s="396"/>
      <c r="Q64" s="396"/>
      <c r="R64" s="397"/>
      <c r="S64" s="395"/>
      <c r="T64" s="396"/>
      <c r="U64" s="396"/>
      <c r="V64" s="396"/>
      <c r="W64" s="396"/>
      <c r="X64" s="397"/>
      <c r="Y64" s="252" t="str">
        <f t="shared" si="12"/>
        <v/>
      </c>
      <c r="Z64" s="253"/>
      <c r="AA64" s="254"/>
      <c r="AB64" s="252" t="str">
        <f t="shared" si="14"/>
        <v/>
      </c>
      <c r="AC64" s="253"/>
      <c r="AD64" s="254"/>
      <c r="AE64" s="252" t="str">
        <f t="shared" si="15"/>
        <v/>
      </c>
      <c r="AF64" s="253"/>
      <c r="AG64" s="253"/>
      <c r="AH64" s="253"/>
      <c r="AI64" s="253"/>
      <c r="AJ64" s="253"/>
      <c r="AK64" s="254"/>
      <c r="AL64" s="398" t="str">
        <f t="shared" si="13"/>
        <v/>
      </c>
      <c r="AM64" s="399"/>
      <c r="AN64" s="399"/>
      <c r="AO64" s="399"/>
      <c r="AP64" s="399"/>
      <c r="AQ64" s="399"/>
      <c r="AR64" s="400"/>
      <c r="AS64" s="20"/>
      <c r="BF64" s="384" t="str">
        <f t="shared" si="16"/>
        <v/>
      </c>
      <c r="BG64" s="385"/>
      <c r="BH64" s="385"/>
      <c r="BI64" s="385"/>
      <c r="BJ64" s="385"/>
      <c r="BK64" s="385"/>
      <c r="BL64" s="385"/>
      <c r="BM64" s="385"/>
      <c r="BN64" s="386"/>
      <c r="BO64" s="387" t="str">
        <f t="shared" si="17"/>
        <v/>
      </c>
      <c r="BP64" s="387"/>
      <c r="BQ64" s="387"/>
      <c r="BR64" s="387"/>
      <c r="BS64" s="387"/>
      <c r="BT64" s="387"/>
      <c r="BU64" s="387"/>
      <c r="BV64" s="387"/>
      <c r="BW64" s="387"/>
      <c r="BX64" s="349"/>
      <c r="BY64" s="334"/>
      <c r="BZ64" s="334"/>
      <c r="CA64" s="334"/>
      <c r="CB64" s="334"/>
      <c r="CC64" s="334"/>
      <c r="CD64" s="334"/>
      <c r="CE64" s="334"/>
      <c r="CF64" s="334"/>
      <c r="CG64" s="334"/>
      <c r="CH64" s="334"/>
      <c r="CI64" s="334"/>
      <c r="CJ64" s="334"/>
      <c r="CK64" s="334"/>
      <c r="CL64" s="334"/>
      <c r="CM64" s="334"/>
      <c r="CN64" s="334"/>
      <c r="CO64" s="350"/>
      <c r="CP64" s="349"/>
      <c r="CQ64" s="334"/>
      <c r="CR64" s="334"/>
      <c r="CS64" s="334"/>
      <c r="CT64" s="334"/>
      <c r="CU64" s="334"/>
      <c r="CV64" s="334"/>
      <c r="CW64" s="334"/>
      <c r="CX64" s="334"/>
      <c r="CY64" s="334"/>
      <c r="CZ64" s="334"/>
      <c r="DA64" s="334"/>
      <c r="DB64" s="334"/>
      <c r="DC64" s="334"/>
      <c r="DD64" s="334"/>
      <c r="DE64" s="334"/>
      <c r="DF64" s="334"/>
      <c r="DG64" s="350"/>
      <c r="DH64" s="349"/>
      <c r="DI64" s="334"/>
      <c r="DJ64" s="334"/>
      <c r="DK64" s="334"/>
      <c r="DL64" s="334"/>
      <c r="DM64" s="334"/>
      <c r="DN64" s="334"/>
      <c r="DO64" s="334"/>
      <c r="DP64" s="334"/>
      <c r="DQ64" s="334"/>
      <c r="DR64" s="334"/>
      <c r="DS64" s="334"/>
      <c r="DT64" s="334"/>
      <c r="DU64" s="334"/>
      <c r="DV64" s="334"/>
      <c r="DW64" s="334"/>
      <c r="DX64" s="334"/>
      <c r="DY64" s="350"/>
    </row>
    <row r="65" spans="2:129" ht="13.5" customHeight="1" thickBot="1">
      <c r="B65" s="18"/>
      <c r="C65" s="19" t="s">
        <v>501</v>
      </c>
      <c r="D65" s="19"/>
      <c r="E65" s="19"/>
      <c r="F65" s="19"/>
      <c r="G65" s="19"/>
      <c r="H65" s="395"/>
      <c r="I65" s="396"/>
      <c r="J65" s="396"/>
      <c r="K65" s="396"/>
      <c r="L65" s="396"/>
      <c r="M65" s="396"/>
      <c r="N65" s="396"/>
      <c r="O65" s="396"/>
      <c r="P65" s="396"/>
      <c r="Q65" s="396"/>
      <c r="R65" s="397"/>
      <c r="S65" s="395"/>
      <c r="T65" s="396"/>
      <c r="U65" s="396"/>
      <c r="V65" s="396"/>
      <c r="W65" s="396"/>
      <c r="X65" s="397"/>
      <c r="Y65" s="252" t="str">
        <f t="shared" si="12"/>
        <v/>
      </c>
      <c r="Z65" s="253"/>
      <c r="AA65" s="254"/>
      <c r="AB65" s="252" t="str">
        <f t="shared" si="14"/>
        <v/>
      </c>
      <c r="AC65" s="253"/>
      <c r="AD65" s="254"/>
      <c r="AE65" s="252" t="str">
        <f t="shared" si="15"/>
        <v/>
      </c>
      <c r="AF65" s="253"/>
      <c r="AG65" s="253"/>
      <c r="AH65" s="253"/>
      <c r="AI65" s="253"/>
      <c r="AJ65" s="253"/>
      <c r="AK65" s="254"/>
      <c r="AL65" s="398" t="str">
        <f t="shared" si="13"/>
        <v/>
      </c>
      <c r="AM65" s="399"/>
      <c r="AN65" s="399"/>
      <c r="AO65" s="399"/>
      <c r="AP65" s="399"/>
      <c r="AQ65" s="399"/>
      <c r="AR65" s="400"/>
      <c r="AS65" s="20"/>
      <c r="BF65" s="384" t="str">
        <f t="shared" si="16"/>
        <v/>
      </c>
      <c r="BG65" s="385"/>
      <c r="BH65" s="385"/>
      <c r="BI65" s="385"/>
      <c r="BJ65" s="385"/>
      <c r="BK65" s="385"/>
      <c r="BL65" s="385"/>
      <c r="BM65" s="385"/>
      <c r="BN65" s="386"/>
      <c r="BO65" s="387" t="str">
        <f t="shared" si="17"/>
        <v/>
      </c>
      <c r="BP65" s="387"/>
      <c r="BQ65" s="387"/>
      <c r="BR65" s="387"/>
      <c r="BS65" s="387"/>
      <c r="BT65" s="387"/>
      <c r="BU65" s="387"/>
      <c r="BV65" s="387"/>
      <c r="BW65" s="387"/>
      <c r="BX65" s="349"/>
      <c r="BY65" s="334"/>
      <c r="BZ65" s="334"/>
      <c r="CA65" s="334"/>
      <c r="CB65" s="334"/>
      <c r="CC65" s="334"/>
      <c r="CD65" s="334"/>
      <c r="CE65" s="334"/>
      <c r="CF65" s="334"/>
      <c r="CG65" s="334"/>
      <c r="CH65" s="334"/>
      <c r="CI65" s="334"/>
      <c r="CJ65" s="334"/>
      <c r="CK65" s="334"/>
      <c r="CL65" s="334"/>
      <c r="CM65" s="334"/>
      <c r="CN65" s="334"/>
      <c r="CO65" s="350"/>
      <c r="CP65" s="349"/>
      <c r="CQ65" s="334"/>
      <c r="CR65" s="334"/>
      <c r="CS65" s="334"/>
      <c r="CT65" s="334"/>
      <c r="CU65" s="334"/>
      <c r="CV65" s="334"/>
      <c r="CW65" s="334"/>
      <c r="CX65" s="334"/>
      <c r="CY65" s="334"/>
      <c r="CZ65" s="334"/>
      <c r="DA65" s="334"/>
      <c r="DB65" s="334"/>
      <c r="DC65" s="334"/>
      <c r="DD65" s="334"/>
      <c r="DE65" s="334"/>
      <c r="DF65" s="334"/>
      <c r="DG65" s="350"/>
      <c r="DH65" s="349"/>
      <c r="DI65" s="334"/>
      <c r="DJ65" s="334"/>
      <c r="DK65" s="334"/>
      <c r="DL65" s="334"/>
      <c r="DM65" s="334"/>
      <c r="DN65" s="334"/>
      <c r="DO65" s="334"/>
      <c r="DP65" s="334"/>
      <c r="DQ65" s="334"/>
      <c r="DR65" s="334"/>
      <c r="DS65" s="334"/>
      <c r="DT65" s="334"/>
      <c r="DU65" s="334"/>
      <c r="DV65" s="334"/>
      <c r="DW65" s="334"/>
      <c r="DX65" s="334"/>
      <c r="DY65" s="350"/>
    </row>
    <row r="66" spans="2:129" ht="13.5" customHeight="1" thickBot="1">
      <c r="B66" s="18"/>
      <c r="C66" s="19" t="s">
        <v>502</v>
      </c>
      <c r="D66" s="19"/>
      <c r="E66" s="19"/>
      <c r="F66" s="19"/>
      <c r="G66" s="19"/>
      <c r="H66" s="395"/>
      <c r="I66" s="396"/>
      <c r="J66" s="396"/>
      <c r="K66" s="396"/>
      <c r="L66" s="396"/>
      <c r="M66" s="396"/>
      <c r="N66" s="396"/>
      <c r="O66" s="396"/>
      <c r="P66" s="396"/>
      <c r="Q66" s="396"/>
      <c r="R66" s="397"/>
      <c r="S66" s="395"/>
      <c r="T66" s="396"/>
      <c r="U66" s="396"/>
      <c r="V66" s="396"/>
      <c r="W66" s="396"/>
      <c r="X66" s="397"/>
      <c r="Y66" s="252" t="str">
        <f t="shared" si="12"/>
        <v/>
      </c>
      <c r="Z66" s="253"/>
      <c r="AA66" s="254"/>
      <c r="AB66" s="252" t="str">
        <f t="shared" si="14"/>
        <v/>
      </c>
      <c r="AC66" s="253"/>
      <c r="AD66" s="254"/>
      <c r="AE66" s="252" t="str">
        <f t="shared" si="15"/>
        <v/>
      </c>
      <c r="AF66" s="253"/>
      <c r="AG66" s="253"/>
      <c r="AH66" s="253"/>
      <c r="AI66" s="253"/>
      <c r="AJ66" s="253"/>
      <c r="AK66" s="254"/>
      <c r="AL66" s="398" t="str">
        <f t="shared" si="13"/>
        <v/>
      </c>
      <c r="AM66" s="399"/>
      <c r="AN66" s="399"/>
      <c r="AO66" s="399"/>
      <c r="AP66" s="399"/>
      <c r="AQ66" s="399"/>
      <c r="AR66" s="400"/>
      <c r="AS66" s="20"/>
      <c r="BF66" s="384" t="str">
        <f t="shared" si="16"/>
        <v/>
      </c>
      <c r="BG66" s="385"/>
      <c r="BH66" s="385"/>
      <c r="BI66" s="385"/>
      <c r="BJ66" s="385"/>
      <c r="BK66" s="385"/>
      <c r="BL66" s="385"/>
      <c r="BM66" s="385"/>
      <c r="BN66" s="386"/>
      <c r="BO66" s="387" t="str">
        <f t="shared" si="17"/>
        <v/>
      </c>
      <c r="BP66" s="387"/>
      <c r="BQ66" s="387"/>
      <c r="BR66" s="387"/>
      <c r="BS66" s="387"/>
      <c r="BT66" s="387"/>
      <c r="BU66" s="387"/>
      <c r="BV66" s="387"/>
      <c r="BW66" s="387"/>
      <c r="BX66" s="349"/>
      <c r="BY66" s="334"/>
      <c r="BZ66" s="334"/>
      <c r="CA66" s="334"/>
      <c r="CB66" s="334"/>
      <c r="CC66" s="334"/>
      <c r="CD66" s="334"/>
      <c r="CE66" s="334"/>
      <c r="CF66" s="334"/>
      <c r="CG66" s="334"/>
      <c r="CH66" s="334"/>
      <c r="CI66" s="334"/>
      <c r="CJ66" s="334"/>
      <c r="CK66" s="334"/>
      <c r="CL66" s="334"/>
      <c r="CM66" s="334"/>
      <c r="CN66" s="334"/>
      <c r="CO66" s="350"/>
      <c r="CP66" s="349"/>
      <c r="CQ66" s="334"/>
      <c r="CR66" s="334"/>
      <c r="CS66" s="334"/>
      <c r="CT66" s="334"/>
      <c r="CU66" s="334"/>
      <c r="CV66" s="334"/>
      <c r="CW66" s="334"/>
      <c r="CX66" s="334"/>
      <c r="CY66" s="334"/>
      <c r="CZ66" s="334"/>
      <c r="DA66" s="334"/>
      <c r="DB66" s="334"/>
      <c r="DC66" s="334"/>
      <c r="DD66" s="334"/>
      <c r="DE66" s="334"/>
      <c r="DF66" s="334"/>
      <c r="DG66" s="350"/>
      <c r="DH66" s="349"/>
      <c r="DI66" s="334"/>
      <c r="DJ66" s="334"/>
      <c r="DK66" s="334"/>
      <c r="DL66" s="334"/>
      <c r="DM66" s="334"/>
      <c r="DN66" s="334"/>
      <c r="DO66" s="334"/>
      <c r="DP66" s="334"/>
      <c r="DQ66" s="334"/>
      <c r="DR66" s="334"/>
      <c r="DS66" s="334"/>
      <c r="DT66" s="334"/>
      <c r="DU66" s="334"/>
      <c r="DV66" s="334"/>
      <c r="DW66" s="334"/>
      <c r="DX66" s="334"/>
      <c r="DY66" s="350"/>
    </row>
    <row r="67" spans="2:129" ht="13.5" customHeight="1" thickBot="1">
      <c r="B67" s="18"/>
      <c r="C67" s="19" t="s">
        <v>503</v>
      </c>
      <c r="D67" s="19"/>
      <c r="E67" s="19"/>
      <c r="F67" s="19"/>
      <c r="G67" s="19"/>
      <c r="H67" s="395"/>
      <c r="I67" s="396"/>
      <c r="J67" s="396"/>
      <c r="K67" s="396"/>
      <c r="L67" s="396"/>
      <c r="M67" s="396"/>
      <c r="N67" s="396"/>
      <c r="O67" s="396"/>
      <c r="P67" s="396"/>
      <c r="Q67" s="396"/>
      <c r="R67" s="397"/>
      <c r="S67" s="395"/>
      <c r="T67" s="396"/>
      <c r="U67" s="396"/>
      <c r="V67" s="396"/>
      <c r="W67" s="396"/>
      <c r="X67" s="397"/>
      <c r="Y67" s="252" t="str">
        <f t="shared" si="12"/>
        <v/>
      </c>
      <c r="Z67" s="253"/>
      <c r="AA67" s="254"/>
      <c r="AB67" s="252" t="str">
        <f t="shared" si="14"/>
        <v/>
      </c>
      <c r="AC67" s="253"/>
      <c r="AD67" s="254"/>
      <c r="AE67" s="252" t="str">
        <f t="shared" si="15"/>
        <v/>
      </c>
      <c r="AF67" s="253"/>
      <c r="AG67" s="253"/>
      <c r="AH67" s="253"/>
      <c r="AI67" s="253"/>
      <c r="AJ67" s="253"/>
      <c r="AK67" s="254"/>
      <c r="AL67" s="398" t="str">
        <f t="shared" si="13"/>
        <v/>
      </c>
      <c r="AM67" s="399"/>
      <c r="AN67" s="399"/>
      <c r="AO67" s="399"/>
      <c r="AP67" s="399"/>
      <c r="AQ67" s="399"/>
      <c r="AR67" s="400"/>
      <c r="AS67" s="20"/>
      <c r="BF67" s="384" t="str">
        <f t="shared" si="16"/>
        <v/>
      </c>
      <c r="BG67" s="385"/>
      <c r="BH67" s="385"/>
      <c r="BI67" s="385"/>
      <c r="BJ67" s="385"/>
      <c r="BK67" s="385"/>
      <c r="BL67" s="385"/>
      <c r="BM67" s="385"/>
      <c r="BN67" s="386"/>
      <c r="BO67" s="387" t="str">
        <f t="shared" si="17"/>
        <v/>
      </c>
      <c r="BP67" s="387"/>
      <c r="BQ67" s="387"/>
      <c r="BR67" s="387"/>
      <c r="BS67" s="387"/>
      <c r="BT67" s="387"/>
      <c r="BU67" s="387"/>
      <c r="BV67" s="387"/>
      <c r="BW67" s="387"/>
      <c r="BX67" s="349"/>
      <c r="BY67" s="334"/>
      <c r="BZ67" s="334"/>
      <c r="CA67" s="334"/>
      <c r="CB67" s="334"/>
      <c r="CC67" s="334"/>
      <c r="CD67" s="334"/>
      <c r="CE67" s="334"/>
      <c r="CF67" s="334"/>
      <c r="CG67" s="334"/>
      <c r="CH67" s="334"/>
      <c r="CI67" s="334"/>
      <c r="CJ67" s="334"/>
      <c r="CK67" s="334"/>
      <c r="CL67" s="334"/>
      <c r="CM67" s="334"/>
      <c r="CN67" s="334"/>
      <c r="CO67" s="350"/>
      <c r="CP67" s="349"/>
      <c r="CQ67" s="334"/>
      <c r="CR67" s="334"/>
      <c r="CS67" s="334"/>
      <c r="CT67" s="334"/>
      <c r="CU67" s="334"/>
      <c r="CV67" s="334"/>
      <c r="CW67" s="334"/>
      <c r="CX67" s="334"/>
      <c r="CY67" s="334"/>
      <c r="CZ67" s="334"/>
      <c r="DA67" s="334"/>
      <c r="DB67" s="334"/>
      <c r="DC67" s="334"/>
      <c r="DD67" s="334"/>
      <c r="DE67" s="334"/>
      <c r="DF67" s="334"/>
      <c r="DG67" s="350"/>
      <c r="DH67" s="349"/>
      <c r="DI67" s="334"/>
      <c r="DJ67" s="334"/>
      <c r="DK67" s="334"/>
      <c r="DL67" s="334"/>
      <c r="DM67" s="334"/>
      <c r="DN67" s="334"/>
      <c r="DO67" s="334"/>
      <c r="DP67" s="334"/>
      <c r="DQ67" s="334"/>
      <c r="DR67" s="334"/>
      <c r="DS67" s="334"/>
      <c r="DT67" s="334"/>
      <c r="DU67" s="334"/>
      <c r="DV67" s="334"/>
      <c r="DW67" s="334"/>
      <c r="DX67" s="334"/>
      <c r="DY67" s="350"/>
    </row>
    <row r="68" spans="2:129" ht="13.5" customHeight="1" thickBot="1">
      <c r="B68" s="18"/>
      <c r="C68" s="19" t="s">
        <v>504</v>
      </c>
      <c r="D68" s="19"/>
      <c r="E68" s="19"/>
      <c r="F68" s="19"/>
      <c r="G68" s="19"/>
      <c r="H68" s="395"/>
      <c r="I68" s="396"/>
      <c r="J68" s="396"/>
      <c r="K68" s="396"/>
      <c r="L68" s="396"/>
      <c r="M68" s="396"/>
      <c r="N68" s="396"/>
      <c r="O68" s="396"/>
      <c r="P68" s="396"/>
      <c r="Q68" s="396"/>
      <c r="R68" s="397"/>
      <c r="S68" s="395"/>
      <c r="T68" s="396"/>
      <c r="U68" s="396"/>
      <c r="V68" s="396"/>
      <c r="W68" s="396"/>
      <c r="X68" s="397"/>
      <c r="Y68" s="252" t="str">
        <f t="shared" si="12"/>
        <v/>
      </c>
      <c r="Z68" s="253"/>
      <c r="AA68" s="254"/>
      <c r="AB68" s="252" t="str">
        <f t="shared" si="14"/>
        <v/>
      </c>
      <c r="AC68" s="253"/>
      <c r="AD68" s="254"/>
      <c r="AE68" s="252" t="str">
        <f t="shared" si="15"/>
        <v/>
      </c>
      <c r="AF68" s="253"/>
      <c r="AG68" s="253"/>
      <c r="AH68" s="253"/>
      <c r="AI68" s="253"/>
      <c r="AJ68" s="253"/>
      <c r="AK68" s="254"/>
      <c r="AL68" s="398" t="str">
        <f t="shared" si="13"/>
        <v/>
      </c>
      <c r="AM68" s="399"/>
      <c r="AN68" s="399"/>
      <c r="AO68" s="399"/>
      <c r="AP68" s="399"/>
      <c r="AQ68" s="399"/>
      <c r="AR68" s="400"/>
      <c r="AS68" s="20"/>
      <c r="BF68" s="384" t="str">
        <f t="shared" si="16"/>
        <v/>
      </c>
      <c r="BG68" s="385"/>
      <c r="BH68" s="385"/>
      <c r="BI68" s="385"/>
      <c r="BJ68" s="385"/>
      <c r="BK68" s="385"/>
      <c r="BL68" s="385"/>
      <c r="BM68" s="385"/>
      <c r="BN68" s="386"/>
      <c r="BO68" s="387" t="str">
        <f t="shared" si="17"/>
        <v/>
      </c>
      <c r="BP68" s="387"/>
      <c r="BQ68" s="387"/>
      <c r="BR68" s="387"/>
      <c r="BS68" s="387"/>
      <c r="BT68" s="387"/>
      <c r="BU68" s="387"/>
      <c r="BV68" s="387"/>
      <c r="BW68" s="387"/>
      <c r="BX68" s="349"/>
      <c r="BY68" s="334"/>
      <c r="BZ68" s="334"/>
      <c r="CA68" s="334"/>
      <c r="CB68" s="334"/>
      <c r="CC68" s="334"/>
      <c r="CD68" s="334"/>
      <c r="CE68" s="334"/>
      <c r="CF68" s="334"/>
      <c r="CG68" s="334"/>
      <c r="CH68" s="334"/>
      <c r="CI68" s="334"/>
      <c r="CJ68" s="334"/>
      <c r="CK68" s="334"/>
      <c r="CL68" s="334"/>
      <c r="CM68" s="334"/>
      <c r="CN68" s="334"/>
      <c r="CO68" s="350"/>
      <c r="CP68" s="349"/>
      <c r="CQ68" s="334"/>
      <c r="CR68" s="334"/>
      <c r="CS68" s="334"/>
      <c r="CT68" s="334"/>
      <c r="CU68" s="334"/>
      <c r="CV68" s="334"/>
      <c r="CW68" s="334"/>
      <c r="CX68" s="334"/>
      <c r="CY68" s="334"/>
      <c r="CZ68" s="334"/>
      <c r="DA68" s="334"/>
      <c r="DB68" s="334"/>
      <c r="DC68" s="334"/>
      <c r="DD68" s="334"/>
      <c r="DE68" s="334"/>
      <c r="DF68" s="334"/>
      <c r="DG68" s="350"/>
      <c r="DH68" s="349"/>
      <c r="DI68" s="334"/>
      <c r="DJ68" s="334"/>
      <c r="DK68" s="334"/>
      <c r="DL68" s="334"/>
      <c r="DM68" s="334"/>
      <c r="DN68" s="334"/>
      <c r="DO68" s="334"/>
      <c r="DP68" s="334"/>
      <c r="DQ68" s="334"/>
      <c r="DR68" s="334"/>
      <c r="DS68" s="334"/>
      <c r="DT68" s="334"/>
      <c r="DU68" s="334"/>
      <c r="DV68" s="334"/>
      <c r="DW68" s="334"/>
      <c r="DX68" s="334"/>
      <c r="DY68" s="350"/>
    </row>
    <row r="69" spans="2:129" ht="13.5" customHeight="1" thickBot="1">
      <c r="B69" s="18"/>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20"/>
      <c r="BX69" s="349"/>
      <c r="BY69" s="334"/>
      <c r="BZ69" s="334"/>
      <c r="CA69" s="334"/>
      <c r="CB69" s="334"/>
      <c r="CC69" s="334"/>
      <c r="CD69" s="334"/>
      <c r="CE69" s="334"/>
      <c r="CF69" s="334"/>
      <c r="CG69" s="334"/>
      <c r="CH69" s="334"/>
      <c r="CI69" s="334"/>
      <c r="CJ69" s="334"/>
      <c r="CK69" s="334"/>
      <c r="CL69" s="334"/>
      <c r="CM69" s="334"/>
      <c r="CN69" s="334"/>
      <c r="CO69" s="350"/>
      <c r="CP69" s="349"/>
      <c r="CQ69" s="334"/>
      <c r="CR69" s="334"/>
      <c r="CS69" s="334"/>
      <c r="CT69" s="334"/>
      <c r="CU69" s="334"/>
      <c r="CV69" s="334"/>
      <c r="CW69" s="334"/>
      <c r="CX69" s="334"/>
      <c r="CY69" s="334"/>
      <c r="CZ69" s="334"/>
      <c r="DA69" s="334"/>
      <c r="DB69" s="334"/>
      <c r="DC69" s="334"/>
      <c r="DD69" s="334"/>
      <c r="DE69" s="334"/>
      <c r="DF69" s="334"/>
      <c r="DG69" s="350"/>
      <c r="DH69" s="349"/>
      <c r="DI69" s="334"/>
      <c r="DJ69" s="334"/>
      <c r="DK69" s="334"/>
      <c r="DL69" s="334"/>
      <c r="DM69" s="334"/>
      <c r="DN69" s="334"/>
      <c r="DO69" s="334"/>
      <c r="DP69" s="334"/>
      <c r="DQ69" s="334"/>
      <c r="DR69" s="334"/>
      <c r="DS69" s="334"/>
      <c r="DT69" s="334"/>
      <c r="DU69" s="334"/>
      <c r="DV69" s="334"/>
      <c r="DW69" s="334"/>
      <c r="DX69" s="334"/>
      <c r="DY69" s="350"/>
    </row>
    <row r="70" spans="2:129" ht="13.5" customHeight="1" thickBot="1">
      <c r="B70" s="18"/>
      <c r="C70" s="388" t="s">
        <v>525</v>
      </c>
      <c r="D70" s="388"/>
      <c r="E70" s="388"/>
      <c r="F70" s="388"/>
      <c r="G70" s="388"/>
      <c r="H70" s="389"/>
      <c r="I70" s="390"/>
      <c r="J70" s="390"/>
      <c r="K70" s="390"/>
      <c r="L70" s="390"/>
      <c r="M70" s="390"/>
      <c r="N70" s="390"/>
      <c r="O70" s="390"/>
      <c r="P70" s="390"/>
      <c r="Q70" s="390"/>
      <c r="R70" s="390"/>
      <c r="S70" s="390"/>
      <c r="T70" s="390"/>
      <c r="U70" s="390"/>
      <c r="V70" s="390"/>
      <c r="W70" s="390"/>
      <c r="X70" s="390"/>
      <c r="Y70" s="390"/>
      <c r="Z70" s="390"/>
      <c r="AA70" s="390"/>
      <c r="AB70" s="390"/>
      <c r="AC70" s="390"/>
      <c r="AD70" s="390"/>
      <c r="AE70" s="390"/>
      <c r="AF70" s="390"/>
      <c r="AG70" s="390"/>
      <c r="AH70" s="390"/>
      <c r="AI70" s="391"/>
      <c r="AJ70" s="19"/>
      <c r="AK70" s="19" t="s">
        <v>526</v>
      </c>
      <c r="AL70" s="19"/>
      <c r="AM70" s="19"/>
      <c r="AN70" s="19"/>
      <c r="AO70" s="252" t="str">
        <f>IF(H58="","",SUM(Y59:AA68))</f>
        <v/>
      </c>
      <c r="AP70" s="253"/>
      <c r="AQ70" s="253"/>
      <c r="AR70" s="254"/>
      <c r="AS70" s="20"/>
      <c r="BX70" s="349"/>
      <c r="BY70" s="334"/>
      <c r="BZ70" s="334"/>
      <c r="CA70" s="334"/>
      <c r="CB70" s="334"/>
      <c r="CC70" s="334"/>
      <c r="CD70" s="334"/>
      <c r="CE70" s="334"/>
      <c r="CF70" s="334"/>
      <c r="CG70" s="334"/>
      <c r="CH70" s="334"/>
      <c r="CI70" s="334"/>
      <c r="CJ70" s="334"/>
      <c r="CK70" s="334"/>
      <c r="CL70" s="334"/>
      <c r="CM70" s="334"/>
      <c r="CN70" s="334"/>
      <c r="CO70" s="350"/>
      <c r="CP70" s="349"/>
      <c r="CQ70" s="334"/>
      <c r="CR70" s="334"/>
      <c r="CS70" s="334"/>
      <c r="CT70" s="334"/>
      <c r="CU70" s="334"/>
      <c r="CV70" s="334"/>
      <c r="CW70" s="334"/>
      <c r="CX70" s="334"/>
      <c r="CY70" s="334"/>
      <c r="CZ70" s="334"/>
      <c r="DA70" s="334"/>
      <c r="DB70" s="334"/>
      <c r="DC70" s="334"/>
      <c r="DD70" s="334"/>
      <c r="DE70" s="334"/>
      <c r="DF70" s="334"/>
      <c r="DG70" s="350"/>
      <c r="DH70" s="349"/>
      <c r="DI70" s="334"/>
      <c r="DJ70" s="334"/>
      <c r="DK70" s="334"/>
      <c r="DL70" s="334"/>
      <c r="DM70" s="334"/>
      <c r="DN70" s="334"/>
      <c r="DO70" s="334"/>
      <c r="DP70" s="334"/>
      <c r="DQ70" s="334"/>
      <c r="DR70" s="334"/>
      <c r="DS70" s="334"/>
      <c r="DT70" s="334"/>
      <c r="DU70" s="334"/>
      <c r="DV70" s="334"/>
      <c r="DW70" s="334"/>
      <c r="DX70" s="334"/>
      <c r="DY70" s="350"/>
    </row>
    <row r="71" spans="2:129" ht="13.5" customHeight="1" thickBot="1">
      <c r="B71" s="18"/>
      <c r="C71" s="388"/>
      <c r="D71" s="388"/>
      <c r="E71" s="388"/>
      <c r="F71" s="388"/>
      <c r="G71" s="388"/>
      <c r="H71" s="392"/>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4"/>
      <c r="AJ71" s="19"/>
      <c r="AK71" s="19"/>
      <c r="AL71" s="19"/>
      <c r="AM71" s="19"/>
      <c r="AN71" s="19"/>
      <c r="AO71" s="19"/>
      <c r="AP71" s="19"/>
      <c r="AQ71" s="19"/>
      <c r="AR71" s="19"/>
      <c r="AS71" s="20"/>
      <c r="BX71" s="351"/>
      <c r="BY71" s="352"/>
      <c r="BZ71" s="352"/>
      <c r="CA71" s="352"/>
      <c r="CB71" s="352"/>
      <c r="CC71" s="352"/>
      <c r="CD71" s="352"/>
      <c r="CE71" s="352"/>
      <c r="CF71" s="352"/>
      <c r="CG71" s="352"/>
      <c r="CH71" s="352"/>
      <c r="CI71" s="352"/>
      <c r="CJ71" s="352"/>
      <c r="CK71" s="352"/>
      <c r="CL71" s="352"/>
      <c r="CM71" s="352"/>
      <c r="CN71" s="352"/>
      <c r="CO71" s="353"/>
      <c r="CP71" s="351"/>
      <c r="CQ71" s="352"/>
      <c r="CR71" s="352"/>
      <c r="CS71" s="352"/>
      <c r="CT71" s="352"/>
      <c r="CU71" s="352"/>
      <c r="CV71" s="352"/>
      <c r="CW71" s="352"/>
      <c r="CX71" s="352"/>
      <c r="CY71" s="352"/>
      <c r="CZ71" s="352"/>
      <c r="DA71" s="352"/>
      <c r="DB71" s="352"/>
      <c r="DC71" s="352"/>
      <c r="DD71" s="352"/>
      <c r="DE71" s="352"/>
      <c r="DF71" s="352"/>
      <c r="DG71" s="353"/>
      <c r="DH71" s="351"/>
      <c r="DI71" s="352"/>
      <c r="DJ71" s="352"/>
      <c r="DK71" s="352"/>
      <c r="DL71" s="352"/>
      <c r="DM71" s="352"/>
      <c r="DN71" s="352"/>
      <c r="DO71" s="352"/>
      <c r="DP71" s="352"/>
      <c r="DQ71" s="352"/>
      <c r="DR71" s="352"/>
      <c r="DS71" s="352"/>
      <c r="DT71" s="352"/>
      <c r="DU71" s="352"/>
      <c r="DV71" s="352"/>
      <c r="DW71" s="352"/>
      <c r="DX71" s="352"/>
      <c r="DY71" s="353"/>
    </row>
    <row r="72" spans="2:129" ht="13.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3"/>
    </row>
    <row r="73" spans="2:129" ht="13.5" customHeight="1" thickBot="1"/>
    <row r="74" spans="2:129" ht="13.5" customHeight="1" thickBot="1">
      <c r="B74" s="15"/>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7"/>
      <c r="BF74" s="12" t="s">
        <v>620</v>
      </c>
      <c r="BO74" s="12" t="s">
        <v>621</v>
      </c>
      <c r="CG74" s="44"/>
      <c r="CH74" s="44"/>
      <c r="CI74" s="44"/>
      <c r="CJ74" s="44"/>
      <c r="CK74" s="44"/>
      <c r="CL74" s="44"/>
      <c r="CM74" s="44"/>
      <c r="CN74" s="44"/>
      <c r="CO74" s="44"/>
    </row>
    <row r="75" spans="2:129" ht="13.5" customHeight="1" thickBot="1">
      <c r="B75" s="18"/>
      <c r="C75" s="19" t="s">
        <v>385</v>
      </c>
      <c r="D75" s="19"/>
      <c r="E75" s="19"/>
      <c r="F75" s="19"/>
      <c r="G75" s="19"/>
      <c r="H75" s="249"/>
      <c r="I75" s="250"/>
      <c r="J75" s="250"/>
      <c r="K75" s="250"/>
      <c r="L75" s="250"/>
      <c r="M75" s="250"/>
      <c r="N75" s="250"/>
      <c r="O75" s="250"/>
      <c r="P75" s="250"/>
      <c r="Q75" s="250"/>
      <c r="R75" s="251"/>
      <c r="S75" s="401" t="s">
        <v>505</v>
      </c>
      <c r="T75" s="262"/>
      <c r="U75" s="262"/>
      <c r="V75" s="262"/>
      <c r="W75" s="262"/>
      <c r="X75" s="262"/>
      <c r="Y75" s="269" t="s">
        <v>37</v>
      </c>
      <c r="Z75" s="269"/>
      <c r="AA75" s="269"/>
      <c r="AB75" s="269" t="s">
        <v>36</v>
      </c>
      <c r="AC75" s="269"/>
      <c r="AD75" s="269"/>
      <c r="AE75" s="269" t="s">
        <v>506</v>
      </c>
      <c r="AF75" s="269"/>
      <c r="AG75" s="269"/>
      <c r="AH75" s="269"/>
      <c r="AI75" s="269"/>
      <c r="AJ75" s="269"/>
      <c r="AK75" s="269"/>
      <c r="AL75" s="269" t="s">
        <v>507</v>
      </c>
      <c r="AM75" s="269"/>
      <c r="AN75" s="269"/>
      <c r="AO75" s="269"/>
      <c r="AP75" s="269"/>
      <c r="AQ75" s="269"/>
      <c r="AR75" s="269"/>
      <c r="AS75" s="20"/>
      <c r="BF75" s="384" t="str">
        <f>IF(H75="","",H75&amp;IF(H87="",""," ["&amp;H87&amp;"]"))</f>
        <v/>
      </c>
      <c r="BG75" s="385"/>
      <c r="BH75" s="385"/>
      <c r="BI75" s="385"/>
      <c r="BJ75" s="385"/>
      <c r="BK75" s="385"/>
      <c r="BL75" s="385"/>
      <c r="BM75" s="385"/>
      <c r="BN75" s="386"/>
      <c r="BO75" s="371"/>
      <c r="BP75" s="371"/>
      <c r="BQ75" s="371"/>
      <c r="BR75" s="371"/>
      <c r="BS75" s="371"/>
      <c r="BT75" s="371"/>
      <c r="BU75" s="371"/>
      <c r="BV75" s="371"/>
      <c r="BW75" s="371"/>
      <c r="BX75" s="346" t="str">
        <f>IF(BF75="","",CHAR(10)&amp;CHAR(149)&amp;" "&amp;BF75&amp;CHAR(10)&amp;BO85)</f>
        <v/>
      </c>
      <c r="BY75" s="347"/>
      <c r="BZ75" s="347"/>
      <c r="CA75" s="347"/>
      <c r="CB75" s="347"/>
      <c r="CC75" s="347"/>
      <c r="CD75" s="347"/>
      <c r="CE75" s="347"/>
      <c r="CF75" s="347"/>
      <c r="CG75" s="347"/>
      <c r="CH75" s="347"/>
      <c r="CI75" s="347"/>
      <c r="CJ75" s="347"/>
      <c r="CK75" s="347"/>
      <c r="CL75" s="347"/>
      <c r="CM75" s="347"/>
      <c r="CN75" s="347"/>
      <c r="CO75" s="348"/>
      <c r="CP75" s="346" t="str">
        <f>IF($BF75="","",CHAR(10)&amp;"[b]"&amp;$BF75&amp;": [/b]"&amp;CHAR(10)&amp;$BO85&amp;CHAR(10)&amp;"("&amp;AO87&amp;" points)")</f>
        <v/>
      </c>
      <c r="CQ75" s="347"/>
      <c r="CR75" s="347"/>
      <c r="CS75" s="347"/>
      <c r="CT75" s="347"/>
      <c r="CU75" s="347"/>
      <c r="CV75" s="347"/>
      <c r="CW75" s="347"/>
      <c r="CX75" s="347"/>
      <c r="CY75" s="347"/>
      <c r="CZ75" s="347"/>
      <c r="DA75" s="347"/>
      <c r="DB75" s="347"/>
      <c r="DC75" s="347"/>
      <c r="DD75" s="347"/>
      <c r="DE75" s="347"/>
      <c r="DF75" s="347"/>
      <c r="DG75" s="348"/>
      <c r="DH75" s="346" t="str">
        <f>IF($BF75="","",CHAR(10)&amp;"**"&amp;$BF75&amp;":**"&amp;CHAR(10)&amp;$BO85&amp;CHAR(10)&amp;"("&amp;$AO87&amp;" points)")</f>
        <v/>
      </c>
      <c r="DI75" s="347"/>
      <c r="DJ75" s="347"/>
      <c r="DK75" s="347"/>
      <c r="DL75" s="347"/>
      <c r="DM75" s="347"/>
      <c r="DN75" s="347"/>
      <c r="DO75" s="347"/>
      <c r="DP75" s="347"/>
      <c r="DQ75" s="347"/>
      <c r="DR75" s="347"/>
      <c r="DS75" s="347"/>
      <c r="DT75" s="347"/>
      <c r="DU75" s="347"/>
      <c r="DV75" s="347"/>
      <c r="DW75" s="347"/>
      <c r="DX75" s="347"/>
      <c r="DY75" s="348"/>
    </row>
    <row r="76" spans="2:129" ht="13.5" customHeight="1" thickBot="1">
      <c r="B76" s="18"/>
      <c r="C76" s="19" t="s">
        <v>495</v>
      </c>
      <c r="D76" s="19"/>
      <c r="E76" s="19"/>
      <c r="F76" s="19"/>
      <c r="G76" s="19"/>
      <c r="H76" s="395"/>
      <c r="I76" s="396"/>
      <c r="J76" s="396"/>
      <c r="K76" s="396"/>
      <c r="L76" s="396"/>
      <c r="M76" s="396"/>
      <c r="N76" s="396"/>
      <c r="O76" s="396"/>
      <c r="P76" s="396"/>
      <c r="Q76" s="396"/>
      <c r="R76" s="397"/>
      <c r="S76" s="395"/>
      <c r="T76" s="396"/>
      <c r="U76" s="396"/>
      <c r="V76" s="396"/>
      <c r="W76" s="396"/>
      <c r="X76" s="397"/>
      <c r="Y76" s="252" t="str">
        <f t="shared" ref="Y76:Y85" si="18">IF($H76="","",IF($S76="Normal",VLOOKUP($H76,ComponentMatrix,7,FALSE),IF($S76="Alternate",1,IF($S76="Dynamic",2,IF($S76="None",0,"")))))</f>
        <v/>
      </c>
      <c r="Z76" s="253"/>
      <c r="AA76" s="254"/>
      <c r="AB76" s="252" t="str">
        <f>IF($H76="","",VLOOKUP($H76,ComponentMatrix,5,FALSE))</f>
        <v/>
      </c>
      <c r="AC76" s="253"/>
      <c r="AD76" s="254"/>
      <c r="AE76" s="252" t="str">
        <f>IF($H76="","",VLOOKUP($H76,ComponentMatrix,9,FALSE))</f>
        <v/>
      </c>
      <c r="AF76" s="253"/>
      <c r="AG76" s="253"/>
      <c r="AH76" s="253"/>
      <c r="AI76" s="253"/>
      <c r="AJ76" s="253"/>
      <c r="AK76" s="254"/>
      <c r="AL76" s="398" t="str">
        <f t="shared" ref="AL76:AL85" si="19">IF($H76="","",VLOOKUP($H76,ComponentMatrix,15,FALSE))</f>
        <v/>
      </c>
      <c r="AM76" s="399"/>
      <c r="AN76" s="399"/>
      <c r="AO76" s="399"/>
      <c r="AP76" s="399"/>
      <c r="AQ76" s="399"/>
      <c r="AR76" s="400"/>
      <c r="AS76" s="20"/>
      <c r="BF76" s="384" t="str">
        <f>IF(H76="","",IF(S76="Alternate","Alt: ","")&amp;IF(S76="Dynamic","Dyn: ","")&amp;IF(H76=AE76,AE76&amp;" "&amp;AB76&amp;IF(AL76="",""," ["&amp;AL76&amp;"]"),IF(AE76="Custom",H76&amp;" ("&amp;Y76&amp;" points)"&amp;CHAR(10),H76&amp;": "&amp;AE76&amp;" "&amp;AB76&amp;IF(AL76="",""," ["&amp;AL76&amp;"]"))))</f>
        <v/>
      </c>
      <c r="BG76" s="385"/>
      <c r="BH76" s="385"/>
      <c r="BI76" s="385"/>
      <c r="BJ76" s="385"/>
      <c r="BK76" s="385"/>
      <c r="BL76" s="385"/>
      <c r="BM76" s="385"/>
      <c r="BN76" s="386"/>
      <c r="BO76" s="371" t="str">
        <f>IF(BF76="","","     "&amp;BF76)</f>
        <v/>
      </c>
      <c r="BP76" s="371"/>
      <c r="BQ76" s="371"/>
      <c r="BR76" s="371"/>
      <c r="BS76" s="371"/>
      <c r="BT76" s="371"/>
      <c r="BU76" s="371"/>
      <c r="BV76" s="371"/>
      <c r="BW76" s="371"/>
      <c r="BX76" s="349"/>
      <c r="BY76" s="334"/>
      <c r="BZ76" s="334"/>
      <c r="CA76" s="334"/>
      <c r="CB76" s="334"/>
      <c r="CC76" s="334"/>
      <c r="CD76" s="334"/>
      <c r="CE76" s="334"/>
      <c r="CF76" s="334"/>
      <c r="CG76" s="334"/>
      <c r="CH76" s="334"/>
      <c r="CI76" s="334"/>
      <c r="CJ76" s="334"/>
      <c r="CK76" s="334"/>
      <c r="CL76" s="334"/>
      <c r="CM76" s="334"/>
      <c r="CN76" s="334"/>
      <c r="CO76" s="350"/>
      <c r="CP76" s="349"/>
      <c r="CQ76" s="334"/>
      <c r="CR76" s="334"/>
      <c r="CS76" s="334"/>
      <c r="CT76" s="334"/>
      <c r="CU76" s="334"/>
      <c r="CV76" s="334"/>
      <c r="CW76" s="334"/>
      <c r="CX76" s="334"/>
      <c r="CY76" s="334"/>
      <c r="CZ76" s="334"/>
      <c r="DA76" s="334"/>
      <c r="DB76" s="334"/>
      <c r="DC76" s="334"/>
      <c r="DD76" s="334"/>
      <c r="DE76" s="334"/>
      <c r="DF76" s="334"/>
      <c r="DG76" s="350"/>
      <c r="DH76" s="349"/>
      <c r="DI76" s="334"/>
      <c r="DJ76" s="334"/>
      <c r="DK76" s="334"/>
      <c r="DL76" s="334"/>
      <c r="DM76" s="334"/>
      <c r="DN76" s="334"/>
      <c r="DO76" s="334"/>
      <c r="DP76" s="334"/>
      <c r="DQ76" s="334"/>
      <c r="DR76" s="334"/>
      <c r="DS76" s="334"/>
      <c r="DT76" s="334"/>
      <c r="DU76" s="334"/>
      <c r="DV76" s="334"/>
      <c r="DW76" s="334"/>
      <c r="DX76" s="334"/>
      <c r="DY76" s="350"/>
    </row>
    <row r="77" spans="2:129" ht="13.5" customHeight="1" thickBot="1">
      <c r="B77" s="18"/>
      <c r="C77" s="19" t="s">
        <v>496</v>
      </c>
      <c r="D77" s="19"/>
      <c r="E77" s="19"/>
      <c r="F77" s="19"/>
      <c r="G77" s="19"/>
      <c r="H77" s="395"/>
      <c r="I77" s="396"/>
      <c r="J77" s="396"/>
      <c r="K77" s="396"/>
      <c r="L77" s="396"/>
      <c r="M77" s="396"/>
      <c r="N77" s="396"/>
      <c r="O77" s="396"/>
      <c r="P77" s="396"/>
      <c r="Q77" s="396"/>
      <c r="R77" s="397"/>
      <c r="S77" s="395"/>
      <c r="T77" s="396"/>
      <c r="U77" s="396"/>
      <c r="V77" s="396"/>
      <c r="W77" s="396"/>
      <c r="X77" s="397"/>
      <c r="Y77" s="252" t="str">
        <f t="shared" si="18"/>
        <v/>
      </c>
      <c r="Z77" s="253"/>
      <c r="AA77" s="254"/>
      <c r="AB77" s="252" t="str">
        <f t="shared" ref="AB77:AB85" si="20">IF(H77="","",VLOOKUP(H77,ComponentMatrix,5,FALSE))</f>
        <v/>
      </c>
      <c r="AC77" s="253"/>
      <c r="AD77" s="254"/>
      <c r="AE77" s="252" t="str">
        <f t="shared" ref="AE77:AE85" si="21">IF(H77="","",VLOOKUP(H77,ComponentMatrix,9,FALSE))</f>
        <v/>
      </c>
      <c r="AF77" s="253"/>
      <c r="AG77" s="253"/>
      <c r="AH77" s="253"/>
      <c r="AI77" s="253"/>
      <c r="AJ77" s="253"/>
      <c r="AK77" s="254"/>
      <c r="AL77" s="398" t="str">
        <f t="shared" si="19"/>
        <v/>
      </c>
      <c r="AM77" s="399"/>
      <c r="AN77" s="399"/>
      <c r="AO77" s="399"/>
      <c r="AP77" s="399"/>
      <c r="AQ77" s="399"/>
      <c r="AR77" s="400"/>
      <c r="AS77" s="20"/>
      <c r="BF77" s="384" t="str">
        <f t="shared" ref="BF77:BF85" si="22">IF(H77="","",IF(S77="Alternate","Alt: ","")&amp;IF(S77="Dynamic","Dyn: ","")&amp;IF(H77=AE77,AE77&amp;" "&amp;AB77&amp;IF(AL77="",""," ["&amp;AL77&amp;"]"),IF(AE77="Custom",H77&amp;" ("&amp;Y77&amp;" points)"&amp;CHAR(10),H77&amp;": "&amp;AE77&amp;" "&amp;AB77&amp;IF(AL77="",""," ["&amp;AL77&amp;"]"))))</f>
        <v/>
      </c>
      <c r="BG77" s="385"/>
      <c r="BH77" s="385"/>
      <c r="BI77" s="385"/>
      <c r="BJ77" s="385"/>
      <c r="BK77" s="385"/>
      <c r="BL77" s="385"/>
      <c r="BM77" s="385"/>
      <c r="BN77" s="386"/>
      <c r="BO77" s="387" t="str">
        <f>BO76&amp;IF(AE76="Custom","     "&amp;BF77,IF(S77="None",", "&amp;BF77,"")&amp;IF(OR(S77="Alternate",S77="Dynamic"),CHAR(10)&amp;"     "&amp;BF77,"")&amp;IF(S77="Normal",IF(OR(S76="Alternate",S76="Dynamic",S76="None"),CHAR(10)&amp;"     "&amp;BF77,", "&amp;BF77),""))</f>
        <v/>
      </c>
      <c r="BP77" s="387"/>
      <c r="BQ77" s="387"/>
      <c r="BR77" s="387"/>
      <c r="BS77" s="387"/>
      <c r="BT77" s="387"/>
      <c r="BU77" s="387"/>
      <c r="BV77" s="387"/>
      <c r="BW77" s="387"/>
      <c r="BX77" s="349"/>
      <c r="BY77" s="334"/>
      <c r="BZ77" s="334"/>
      <c r="CA77" s="334"/>
      <c r="CB77" s="334"/>
      <c r="CC77" s="334"/>
      <c r="CD77" s="334"/>
      <c r="CE77" s="334"/>
      <c r="CF77" s="334"/>
      <c r="CG77" s="334"/>
      <c r="CH77" s="334"/>
      <c r="CI77" s="334"/>
      <c r="CJ77" s="334"/>
      <c r="CK77" s="334"/>
      <c r="CL77" s="334"/>
      <c r="CM77" s="334"/>
      <c r="CN77" s="334"/>
      <c r="CO77" s="350"/>
      <c r="CP77" s="349"/>
      <c r="CQ77" s="334"/>
      <c r="CR77" s="334"/>
      <c r="CS77" s="334"/>
      <c r="CT77" s="334"/>
      <c r="CU77" s="334"/>
      <c r="CV77" s="334"/>
      <c r="CW77" s="334"/>
      <c r="CX77" s="334"/>
      <c r="CY77" s="334"/>
      <c r="CZ77" s="334"/>
      <c r="DA77" s="334"/>
      <c r="DB77" s="334"/>
      <c r="DC77" s="334"/>
      <c r="DD77" s="334"/>
      <c r="DE77" s="334"/>
      <c r="DF77" s="334"/>
      <c r="DG77" s="350"/>
      <c r="DH77" s="349"/>
      <c r="DI77" s="334"/>
      <c r="DJ77" s="334"/>
      <c r="DK77" s="334"/>
      <c r="DL77" s="334"/>
      <c r="DM77" s="334"/>
      <c r="DN77" s="334"/>
      <c r="DO77" s="334"/>
      <c r="DP77" s="334"/>
      <c r="DQ77" s="334"/>
      <c r="DR77" s="334"/>
      <c r="DS77" s="334"/>
      <c r="DT77" s="334"/>
      <c r="DU77" s="334"/>
      <c r="DV77" s="334"/>
      <c r="DW77" s="334"/>
      <c r="DX77" s="334"/>
      <c r="DY77" s="350"/>
    </row>
    <row r="78" spans="2:129" ht="13.5" customHeight="1" thickBot="1">
      <c r="B78" s="18"/>
      <c r="C78" s="19" t="s">
        <v>497</v>
      </c>
      <c r="D78" s="19"/>
      <c r="E78" s="19"/>
      <c r="F78" s="19"/>
      <c r="G78" s="19"/>
      <c r="H78" s="395"/>
      <c r="I78" s="396"/>
      <c r="J78" s="396"/>
      <c r="K78" s="396"/>
      <c r="L78" s="396"/>
      <c r="M78" s="396"/>
      <c r="N78" s="396"/>
      <c r="O78" s="396"/>
      <c r="P78" s="396"/>
      <c r="Q78" s="396"/>
      <c r="R78" s="397"/>
      <c r="S78" s="395"/>
      <c r="T78" s="396"/>
      <c r="U78" s="396"/>
      <c r="V78" s="396"/>
      <c r="W78" s="396"/>
      <c r="X78" s="397"/>
      <c r="Y78" s="252" t="str">
        <f t="shared" si="18"/>
        <v/>
      </c>
      <c r="Z78" s="253"/>
      <c r="AA78" s="254"/>
      <c r="AB78" s="252" t="str">
        <f t="shared" si="20"/>
        <v/>
      </c>
      <c r="AC78" s="253"/>
      <c r="AD78" s="254"/>
      <c r="AE78" s="252" t="str">
        <f t="shared" si="21"/>
        <v/>
      </c>
      <c r="AF78" s="253"/>
      <c r="AG78" s="253"/>
      <c r="AH78" s="253"/>
      <c r="AI78" s="253"/>
      <c r="AJ78" s="253"/>
      <c r="AK78" s="254"/>
      <c r="AL78" s="398" t="str">
        <f t="shared" si="19"/>
        <v/>
      </c>
      <c r="AM78" s="399"/>
      <c r="AN78" s="399"/>
      <c r="AO78" s="399"/>
      <c r="AP78" s="399"/>
      <c r="AQ78" s="399"/>
      <c r="AR78" s="400"/>
      <c r="AS78" s="20"/>
      <c r="BF78" s="384" t="str">
        <f t="shared" si="22"/>
        <v/>
      </c>
      <c r="BG78" s="385"/>
      <c r="BH78" s="385"/>
      <c r="BI78" s="385"/>
      <c r="BJ78" s="385"/>
      <c r="BK78" s="385"/>
      <c r="BL78" s="385"/>
      <c r="BM78" s="385"/>
      <c r="BN78" s="386"/>
      <c r="BO78" s="387" t="str">
        <f t="shared" ref="BO78:BO85" si="23">BO77&amp;IF(AE77="Custom","     "&amp;BF78,IF(S78="None",", "&amp;BF78,"")&amp;IF(OR(S78="Alternate",S78="Dynamic"),CHAR(10)&amp;"     "&amp;BF78,"")&amp;IF(S78="Normal",IF(OR(S77="Alternate",S77="Dynamic",S77="None"),CHAR(10)&amp;"     "&amp;BF78,", "&amp;BF78),""))</f>
        <v/>
      </c>
      <c r="BP78" s="387"/>
      <c r="BQ78" s="387"/>
      <c r="BR78" s="387"/>
      <c r="BS78" s="387"/>
      <c r="BT78" s="387"/>
      <c r="BU78" s="387"/>
      <c r="BV78" s="387"/>
      <c r="BW78" s="387"/>
      <c r="BX78" s="349"/>
      <c r="BY78" s="334"/>
      <c r="BZ78" s="334"/>
      <c r="CA78" s="334"/>
      <c r="CB78" s="334"/>
      <c r="CC78" s="334"/>
      <c r="CD78" s="334"/>
      <c r="CE78" s="334"/>
      <c r="CF78" s="334"/>
      <c r="CG78" s="334"/>
      <c r="CH78" s="334"/>
      <c r="CI78" s="334"/>
      <c r="CJ78" s="334"/>
      <c r="CK78" s="334"/>
      <c r="CL78" s="334"/>
      <c r="CM78" s="334"/>
      <c r="CN78" s="334"/>
      <c r="CO78" s="350"/>
      <c r="CP78" s="349"/>
      <c r="CQ78" s="334"/>
      <c r="CR78" s="334"/>
      <c r="CS78" s="334"/>
      <c r="CT78" s="334"/>
      <c r="CU78" s="334"/>
      <c r="CV78" s="334"/>
      <c r="CW78" s="334"/>
      <c r="CX78" s="334"/>
      <c r="CY78" s="334"/>
      <c r="CZ78" s="334"/>
      <c r="DA78" s="334"/>
      <c r="DB78" s="334"/>
      <c r="DC78" s="334"/>
      <c r="DD78" s="334"/>
      <c r="DE78" s="334"/>
      <c r="DF78" s="334"/>
      <c r="DG78" s="350"/>
      <c r="DH78" s="349"/>
      <c r="DI78" s="334"/>
      <c r="DJ78" s="334"/>
      <c r="DK78" s="334"/>
      <c r="DL78" s="334"/>
      <c r="DM78" s="334"/>
      <c r="DN78" s="334"/>
      <c r="DO78" s="334"/>
      <c r="DP78" s="334"/>
      <c r="DQ78" s="334"/>
      <c r="DR78" s="334"/>
      <c r="DS78" s="334"/>
      <c r="DT78" s="334"/>
      <c r="DU78" s="334"/>
      <c r="DV78" s="334"/>
      <c r="DW78" s="334"/>
      <c r="DX78" s="334"/>
      <c r="DY78" s="350"/>
    </row>
    <row r="79" spans="2:129" ht="13.5" customHeight="1" thickBot="1">
      <c r="B79" s="18"/>
      <c r="C79" s="19" t="s">
        <v>498</v>
      </c>
      <c r="D79" s="19"/>
      <c r="E79" s="19"/>
      <c r="F79" s="19"/>
      <c r="G79" s="19"/>
      <c r="H79" s="395"/>
      <c r="I79" s="396"/>
      <c r="J79" s="396"/>
      <c r="K79" s="396"/>
      <c r="L79" s="396"/>
      <c r="M79" s="396"/>
      <c r="N79" s="396"/>
      <c r="O79" s="396"/>
      <c r="P79" s="396"/>
      <c r="Q79" s="396"/>
      <c r="R79" s="397"/>
      <c r="S79" s="395"/>
      <c r="T79" s="396"/>
      <c r="U79" s="396"/>
      <c r="V79" s="396"/>
      <c r="W79" s="396"/>
      <c r="X79" s="397"/>
      <c r="Y79" s="252" t="str">
        <f t="shared" si="18"/>
        <v/>
      </c>
      <c r="Z79" s="253"/>
      <c r="AA79" s="254"/>
      <c r="AB79" s="252" t="str">
        <f t="shared" si="20"/>
        <v/>
      </c>
      <c r="AC79" s="253"/>
      <c r="AD79" s="254"/>
      <c r="AE79" s="252" t="str">
        <f t="shared" si="21"/>
        <v/>
      </c>
      <c r="AF79" s="253"/>
      <c r="AG79" s="253"/>
      <c r="AH79" s="253"/>
      <c r="AI79" s="253"/>
      <c r="AJ79" s="253"/>
      <c r="AK79" s="254"/>
      <c r="AL79" s="398" t="str">
        <f t="shared" si="19"/>
        <v/>
      </c>
      <c r="AM79" s="399"/>
      <c r="AN79" s="399"/>
      <c r="AO79" s="399"/>
      <c r="AP79" s="399"/>
      <c r="AQ79" s="399"/>
      <c r="AR79" s="400"/>
      <c r="AS79" s="20"/>
      <c r="BF79" s="384" t="str">
        <f t="shared" si="22"/>
        <v/>
      </c>
      <c r="BG79" s="385"/>
      <c r="BH79" s="385"/>
      <c r="BI79" s="385"/>
      <c r="BJ79" s="385"/>
      <c r="BK79" s="385"/>
      <c r="BL79" s="385"/>
      <c r="BM79" s="385"/>
      <c r="BN79" s="386"/>
      <c r="BO79" s="387" t="str">
        <f t="shared" si="23"/>
        <v/>
      </c>
      <c r="BP79" s="387"/>
      <c r="BQ79" s="387"/>
      <c r="BR79" s="387"/>
      <c r="BS79" s="387"/>
      <c r="BT79" s="387"/>
      <c r="BU79" s="387"/>
      <c r="BV79" s="387"/>
      <c r="BW79" s="387"/>
      <c r="BX79" s="349"/>
      <c r="BY79" s="334"/>
      <c r="BZ79" s="334"/>
      <c r="CA79" s="334"/>
      <c r="CB79" s="334"/>
      <c r="CC79" s="334"/>
      <c r="CD79" s="334"/>
      <c r="CE79" s="334"/>
      <c r="CF79" s="334"/>
      <c r="CG79" s="334"/>
      <c r="CH79" s="334"/>
      <c r="CI79" s="334"/>
      <c r="CJ79" s="334"/>
      <c r="CK79" s="334"/>
      <c r="CL79" s="334"/>
      <c r="CM79" s="334"/>
      <c r="CN79" s="334"/>
      <c r="CO79" s="350"/>
      <c r="CP79" s="349"/>
      <c r="CQ79" s="334"/>
      <c r="CR79" s="334"/>
      <c r="CS79" s="334"/>
      <c r="CT79" s="334"/>
      <c r="CU79" s="334"/>
      <c r="CV79" s="334"/>
      <c r="CW79" s="334"/>
      <c r="CX79" s="334"/>
      <c r="CY79" s="334"/>
      <c r="CZ79" s="334"/>
      <c r="DA79" s="334"/>
      <c r="DB79" s="334"/>
      <c r="DC79" s="334"/>
      <c r="DD79" s="334"/>
      <c r="DE79" s="334"/>
      <c r="DF79" s="334"/>
      <c r="DG79" s="350"/>
      <c r="DH79" s="349"/>
      <c r="DI79" s="334"/>
      <c r="DJ79" s="334"/>
      <c r="DK79" s="334"/>
      <c r="DL79" s="334"/>
      <c r="DM79" s="334"/>
      <c r="DN79" s="334"/>
      <c r="DO79" s="334"/>
      <c r="DP79" s="334"/>
      <c r="DQ79" s="334"/>
      <c r="DR79" s="334"/>
      <c r="DS79" s="334"/>
      <c r="DT79" s="334"/>
      <c r="DU79" s="334"/>
      <c r="DV79" s="334"/>
      <c r="DW79" s="334"/>
      <c r="DX79" s="334"/>
      <c r="DY79" s="350"/>
    </row>
    <row r="80" spans="2:129" ht="13.5" customHeight="1" thickBot="1">
      <c r="B80" s="18"/>
      <c r="C80" s="19" t="s">
        <v>499</v>
      </c>
      <c r="D80" s="19"/>
      <c r="E80" s="19"/>
      <c r="F80" s="19"/>
      <c r="G80" s="19"/>
      <c r="H80" s="395"/>
      <c r="I80" s="396"/>
      <c r="J80" s="396"/>
      <c r="K80" s="396"/>
      <c r="L80" s="396"/>
      <c r="M80" s="396"/>
      <c r="N80" s="396"/>
      <c r="O80" s="396"/>
      <c r="P80" s="396"/>
      <c r="Q80" s="396"/>
      <c r="R80" s="397"/>
      <c r="S80" s="395"/>
      <c r="T80" s="396"/>
      <c r="U80" s="396"/>
      <c r="V80" s="396"/>
      <c r="W80" s="396"/>
      <c r="X80" s="397"/>
      <c r="Y80" s="252" t="str">
        <f t="shared" si="18"/>
        <v/>
      </c>
      <c r="Z80" s="253"/>
      <c r="AA80" s="254"/>
      <c r="AB80" s="252" t="str">
        <f t="shared" si="20"/>
        <v/>
      </c>
      <c r="AC80" s="253"/>
      <c r="AD80" s="254"/>
      <c r="AE80" s="252" t="str">
        <f t="shared" si="21"/>
        <v/>
      </c>
      <c r="AF80" s="253"/>
      <c r="AG80" s="253"/>
      <c r="AH80" s="253"/>
      <c r="AI80" s="253"/>
      <c r="AJ80" s="253"/>
      <c r="AK80" s="254"/>
      <c r="AL80" s="398" t="str">
        <f t="shared" si="19"/>
        <v/>
      </c>
      <c r="AM80" s="399"/>
      <c r="AN80" s="399"/>
      <c r="AO80" s="399"/>
      <c r="AP80" s="399"/>
      <c r="AQ80" s="399"/>
      <c r="AR80" s="400"/>
      <c r="AS80" s="20"/>
      <c r="BF80" s="384" t="str">
        <f t="shared" si="22"/>
        <v/>
      </c>
      <c r="BG80" s="385"/>
      <c r="BH80" s="385"/>
      <c r="BI80" s="385"/>
      <c r="BJ80" s="385"/>
      <c r="BK80" s="385"/>
      <c r="BL80" s="385"/>
      <c r="BM80" s="385"/>
      <c r="BN80" s="386"/>
      <c r="BO80" s="387" t="str">
        <f t="shared" si="23"/>
        <v/>
      </c>
      <c r="BP80" s="387"/>
      <c r="BQ80" s="387"/>
      <c r="BR80" s="387"/>
      <c r="BS80" s="387"/>
      <c r="BT80" s="387"/>
      <c r="BU80" s="387"/>
      <c r="BV80" s="387"/>
      <c r="BW80" s="387"/>
      <c r="BX80" s="349"/>
      <c r="BY80" s="334"/>
      <c r="BZ80" s="334"/>
      <c r="CA80" s="334"/>
      <c r="CB80" s="334"/>
      <c r="CC80" s="334"/>
      <c r="CD80" s="334"/>
      <c r="CE80" s="334"/>
      <c r="CF80" s="334"/>
      <c r="CG80" s="334"/>
      <c r="CH80" s="334"/>
      <c r="CI80" s="334"/>
      <c r="CJ80" s="334"/>
      <c r="CK80" s="334"/>
      <c r="CL80" s="334"/>
      <c r="CM80" s="334"/>
      <c r="CN80" s="334"/>
      <c r="CO80" s="350"/>
      <c r="CP80" s="349"/>
      <c r="CQ80" s="334"/>
      <c r="CR80" s="334"/>
      <c r="CS80" s="334"/>
      <c r="CT80" s="334"/>
      <c r="CU80" s="334"/>
      <c r="CV80" s="334"/>
      <c r="CW80" s="334"/>
      <c r="CX80" s="334"/>
      <c r="CY80" s="334"/>
      <c r="CZ80" s="334"/>
      <c r="DA80" s="334"/>
      <c r="DB80" s="334"/>
      <c r="DC80" s="334"/>
      <c r="DD80" s="334"/>
      <c r="DE80" s="334"/>
      <c r="DF80" s="334"/>
      <c r="DG80" s="350"/>
      <c r="DH80" s="349"/>
      <c r="DI80" s="334"/>
      <c r="DJ80" s="334"/>
      <c r="DK80" s="334"/>
      <c r="DL80" s="334"/>
      <c r="DM80" s="334"/>
      <c r="DN80" s="334"/>
      <c r="DO80" s="334"/>
      <c r="DP80" s="334"/>
      <c r="DQ80" s="334"/>
      <c r="DR80" s="334"/>
      <c r="DS80" s="334"/>
      <c r="DT80" s="334"/>
      <c r="DU80" s="334"/>
      <c r="DV80" s="334"/>
      <c r="DW80" s="334"/>
      <c r="DX80" s="334"/>
      <c r="DY80" s="350"/>
    </row>
    <row r="81" spans="2:129" ht="13.5" customHeight="1" thickBot="1">
      <c r="B81" s="18"/>
      <c r="C81" s="19" t="s">
        <v>500</v>
      </c>
      <c r="D81" s="19"/>
      <c r="E81" s="19"/>
      <c r="F81" s="19"/>
      <c r="G81" s="19"/>
      <c r="H81" s="395"/>
      <c r="I81" s="396"/>
      <c r="J81" s="396"/>
      <c r="K81" s="396"/>
      <c r="L81" s="396"/>
      <c r="M81" s="396"/>
      <c r="N81" s="396"/>
      <c r="O81" s="396"/>
      <c r="P81" s="396"/>
      <c r="Q81" s="396"/>
      <c r="R81" s="397"/>
      <c r="S81" s="395"/>
      <c r="T81" s="396"/>
      <c r="U81" s="396"/>
      <c r="V81" s="396"/>
      <c r="W81" s="396"/>
      <c r="X81" s="397"/>
      <c r="Y81" s="252" t="str">
        <f t="shared" si="18"/>
        <v/>
      </c>
      <c r="Z81" s="253"/>
      <c r="AA81" s="254"/>
      <c r="AB81" s="252" t="str">
        <f t="shared" si="20"/>
        <v/>
      </c>
      <c r="AC81" s="253"/>
      <c r="AD81" s="254"/>
      <c r="AE81" s="252" t="str">
        <f t="shared" si="21"/>
        <v/>
      </c>
      <c r="AF81" s="253"/>
      <c r="AG81" s="253"/>
      <c r="AH81" s="253"/>
      <c r="AI81" s="253"/>
      <c r="AJ81" s="253"/>
      <c r="AK81" s="254"/>
      <c r="AL81" s="398" t="str">
        <f t="shared" si="19"/>
        <v/>
      </c>
      <c r="AM81" s="399"/>
      <c r="AN81" s="399"/>
      <c r="AO81" s="399"/>
      <c r="AP81" s="399"/>
      <c r="AQ81" s="399"/>
      <c r="AR81" s="400"/>
      <c r="AS81" s="20"/>
      <c r="BF81" s="384" t="str">
        <f t="shared" si="22"/>
        <v/>
      </c>
      <c r="BG81" s="385"/>
      <c r="BH81" s="385"/>
      <c r="BI81" s="385"/>
      <c r="BJ81" s="385"/>
      <c r="BK81" s="385"/>
      <c r="BL81" s="385"/>
      <c r="BM81" s="385"/>
      <c r="BN81" s="386"/>
      <c r="BO81" s="387" t="str">
        <f t="shared" si="23"/>
        <v/>
      </c>
      <c r="BP81" s="387"/>
      <c r="BQ81" s="387"/>
      <c r="BR81" s="387"/>
      <c r="BS81" s="387"/>
      <c r="BT81" s="387"/>
      <c r="BU81" s="387"/>
      <c r="BV81" s="387"/>
      <c r="BW81" s="387"/>
      <c r="BX81" s="349"/>
      <c r="BY81" s="334"/>
      <c r="BZ81" s="334"/>
      <c r="CA81" s="334"/>
      <c r="CB81" s="334"/>
      <c r="CC81" s="334"/>
      <c r="CD81" s="334"/>
      <c r="CE81" s="334"/>
      <c r="CF81" s="334"/>
      <c r="CG81" s="334"/>
      <c r="CH81" s="334"/>
      <c r="CI81" s="334"/>
      <c r="CJ81" s="334"/>
      <c r="CK81" s="334"/>
      <c r="CL81" s="334"/>
      <c r="CM81" s="334"/>
      <c r="CN81" s="334"/>
      <c r="CO81" s="350"/>
      <c r="CP81" s="349"/>
      <c r="CQ81" s="334"/>
      <c r="CR81" s="334"/>
      <c r="CS81" s="334"/>
      <c r="CT81" s="334"/>
      <c r="CU81" s="334"/>
      <c r="CV81" s="334"/>
      <c r="CW81" s="334"/>
      <c r="CX81" s="334"/>
      <c r="CY81" s="334"/>
      <c r="CZ81" s="334"/>
      <c r="DA81" s="334"/>
      <c r="DB81" s="334"/>
      <c r="DC81" s="334"/>
      <c r="DD81" s="334"/>
      <c r="DE81" s="334"/>
      <c r="DF81" s="334"/>
      <c r="DG81" s="350"/>
      <c r="DH81" s="349"/>
      <c r="DI81" s="334"/>
      <c r="DJ81" s="334"/>
      <c r="DK81" s="334"/>
      <c r="DL81" s="334"/>
      <c r="DM81" s="334"/>
      <c r="DN81" s="334"/>
      <c r="DO81" s="334"/>
      <c r="DP81" s="334"/>
      <c r="DQ81" s="334"/>
      <c r="DR81" s="334"/>
      <c r="DS81" s="334"/>
      <c r="DT81" s="334"/>
      <c r="DU81" s="334"/>
      <c r="DV81" s="334"/>
      <c r="DW81" s="334"/>
      <c r="DX81" s="334"/>
      <c r="DY81" s="350"/>
    </row>
    <row r="82" spans="2:129" ht="13.5" customHeight="1" thickBot="1">
      <c r="B82" s="18"/>
      <c r="C82" s="19" t="s">
        <v>501</v>
      </c>
      <c r="D82" s="19"/>
      <c r="E82" s="19"/>
      <c r="F82" s="19"/>
      <c r="G82" s="19"/>
      <c r="H82" s="395"/>
      <c r="I82" s="396"/>
      <c r="J82" s="396"/>
      <c r="K82" s="396"/>
      <c r="L82" s="396"/>
      <c r="M82" s="396"/>
      <c r="N82" s="396"/>
      <c r="O82" s="396"/>
      <c r="P82" s="396"/>
      <c r="Q82" s="396"/>
      <c r="R82" s="397"/>
      <c r="S82" s="395"/>
      <c r="T82" s="396"/>
      <c r="U82" s="396"/>
      <c r="V82" s="396"/>
      <c r="W82" s="396"/>
      <c r="X82" s="397"/>
      <c r="Y82" s="252" t="str">
        <f t="shared" si="18"/>
        <v/>
      </c>
      <c r="Z82" s="253"/>
      <c r="AA82" s="254"/>
      <c r="AB82" s="252" t="str">
        <f t="shared" si="20"/>
        <v/>
      </c>
      <c r="AC82" s="253"/>
      <c r="AD82" s="254"/>
      <c r="AE82" s="252" t="str">
        <f t="shared" si="21"/>
        <v/>
      </c>
      <c r="AF82" s="253"/>
      <c r="AG82" s="253"/>
      <c r="AH82" s="253"/>
      <c r="AI82" s="253"/>
      <c r="AJ82" s="253"/>
      <c r="AK82" s="254"/>
      <c r="AL82" s="398" t="str">
        <f t="shared" si="19"/>
        <v/>
      </c>
      <c r="AM82" s="399"/>
      <c r="AN82" s="399"/>
      <c r="AO82" s="399"/>
      <c r="AP82" s="399"/>
      <c r="AQ82" s="399"/>
      <c r="AR82" s="400"/>
      <c r="AS82" s="20"/>
      <c r="BF82" s="384" t="str">
        <f t="shared" si="22"/>
        <v/>
      </c>
      <c r="BG82" s="385"/>
      <c r="BH82" s="385"/>
      <c r="BI82" s="385"/>
      <c r="BJ82" s="385"/>
      <c r="BK82" s="385"/>
      <c r="BL82" s="385"/>
      <c r="BM82" s="385"/>
      <c r="BN82" s="386"/>
      <c r="BO82" s="387" t="str">
        <f t="shared" si="23"/>
        <v/>
      </c>
      <c r="BP82" s="387"/>
      <c r="BQ82" s="387"/>
      <c r="BR82" s="387"/>
      <c r="BS82" s="387"/>
      <c r="BT82" s="387"/>
      <c r="BU82" s="387"/>
      <c r="BV82" s="387"/>
      <c r="BW82" s="387"/>
      <c r="BX82" s="349"/>
      <c r="BY82" s="334"/>
      <c r="BZ82" s="334"/>
      <c r="CA82" s="334"/>
      <c r="CB82" s="334"/>
      <c r="CC82" s="334"/>
      <c r="CD82" s="334"/>
      <c r="CE82" s="334"/>
      <c r="CF82" s="334"/>
      <c r="CG82" s="334"/>
      <c r="CH82" s="334"/>
      <c r="CI82" s="334"/>
      <c r="CJ82" s="334"/>
      <c r="CK82" s="334"/>
      <c r="CL82" s="334"/>
      <c r="CM82" s="334"/>
      <c r="CN82" s="334"/>
      <c r="CO82" s="350"/>
      <c r="CP82" s="349"/>
      <c r="CQ82" s="334"/>
      <c r="CR82" s="334"/>
      <c r="CS82" s="334"/>
      <c r="CT82" s="334"/>
      <c r="CU82" s="334"/>
      <c r="CV82" s="334"/>
      <c r="CW82" s="334"/>
      <c r="CX82" s="334"/>
      <c r="CY82" s="334"/>
      <c r="CZ82" s="334"/>
      <c r="DA82" s="334"/>
      <c r="DB82" s="334"/>
      <c r="DC82" s="334"/>
      <c r="DD82" s="334"/>
      <c r="DE82" s="334"/>
      <c r="DF82" s="334"/>
      <c r="DG82" s="350"/>
      <c r="DH82" s="349"/>
      <c r="DI82" s="334"/>
      <c r="DJ82" s="334"/>
      <c r="DK82" s="334"/>
      <c r="DL82" s="334"/>
      <c r="DM82" s="334"/>
      <c r="DN82" s="334"/>
      <c r="DO82" s="334"/>
      <c r="DP82" s="334"/>
      <c r="DQ82" s="334"/>
      <c r="DR82" s="334"/>
      <c r="DS82" s="334"/>
      <c r="DT82" s="334"/>
      <c r="DU82" s="334"/>
      <c r="DV82" s="334"/>
      <c r="DW82" s="334"/>
      <c r="DX82" s="334"/>
      <c r="DY82" s="350"/>
    </row>
    <row r="83" spans="2:129" ht="13.5" customHeight="1" thickBot="1">
      <c r="B83" s="18"/>
      <c r="C83" s="19" t="s">
        <v>502</v>
      </c>
      <c r="D83" s="19"/>
      <c r="E83" s="19"/>
      <c r="F83" s="19"/>
      <c r="G83" s="19"/>
      <c r="H83" s="395"/>
      <c r="I83" s="396"/>
      <c r="J83" s="396"/>
      <c r="K83" s="396"/>
      <c r="L83" s="396"/>
      <c r="M83" s="396"/>
      <c r="N83" s="396"/>
      <c r="O83" s="396"/>
      <c r="P83" s="396"/>
      <c r="Q83" s="396"/>
      <c r="R83" s="397"/>
      <c r="S83" s="395"/>
      <c r="T83" s="396"/>
      <c r="U83" s="396"/>
      <c r="V83" s="396"/>
      <c r="W83" s="396"/>
      <c r="X83" s="397"/>
      <c r="Y83" s="252" t="str">
        <f t="shared" si="18"/>
        <v/>
      </c>
      <c r="Z83" s="253"/>
      <c r="AA83" s="254"/>
      <c r="AB83" s="252" t="str">
        <f t="shared" si="20"/>
        <v/>
      </c>
      <c r="AC83" s="253"/>
      <c r="AD83" s="254"/>
      <c r="AE83" s="252" t="str">
        <f t="shared" si="21"/>
        <v/>
      </c>
      <c r="AF83" s="253"/>
      <c r="AG83" s="253"/>
      <c r="AH83" s="253"/>
      <c r="AI83" s="253"/>
      <c r="AJ83" s="253"/>
      <c r="AK83" s="254"/>
      <c r="AL83" s="398" t="str">
        <f t="shared" si="19"/>
        <v/>
      </c>
      <c r="AM83" s="399"/>
      <c r="AN83" s="399"/>
      <c r="AO83" s="399"/>
      <c r="AP83" s="399"/>
      <c r="AQ83" s="399"/>
      <c r="AR83" s="400"/>
      <c r="AS83" s="20"/>
      <c r="BF83" s="384" t="str">
        <f t="shared" si="22"/>
        <v/>
      </c>
      <c r="BG83" s="385"/>
      <c r="BH83" s="385"/>
      <c r="BI83" s="385"/>
      <c r="BJ83" s="385"/>
      <c r="BK83" s="385"/>
      <c r="BL83" s="385"/>
      <c r="BM83" s="385"/>
      <c r="BN83" s="386"/>
      <c r="BO83" s="387" t="str">
        <f t="shared" si="23"/>
        <v/>
      </c>
      <c r="BP83" s="387"/>
      <c r="BQ83" s="387"/>
      <c r="BR83" s="387"/>
      <c r="BS83" s="387"/>
      <c r="BT83" s="387"/>
      <c r="BU83" s="387"/>
      <c r="BV83" s="387"/>
      <c r="BW83" s="387"/>
      <c r="BX83" s="349"/>
      <c r="BY83" s="334"/>
      <c r="BZ83" s="334"/>
      <c r="CA83" s="334"/>
      <c r="CB83" s="334"/>
      <c r="CC83" s="334"/>
      <c r="CD83" s="334"/>
      <c r="CE83" s="334"/>
      <c r="CF83" s="334"/>
      <c r="CG83" s="334"/>
      <c r="CH83" s="334"/>
      <c r="CI83" s="334"/>
      <c r="CJ83" s="334"/>
      <c r="CK83" s="334"/>
      <c r="CL83" s="334"/>
      <c r="CM83" s="334"/>
      <c r="CN83" s="334"/>
      <c r="CO83" s="350"/>
      <c r="CP83" s="349"/>
      <c r="CQ83" s="334"/>
      <c r="CR83" s="334"/>
      <c r="CS83" s="334"/>
      <c r="CT83" s="334"/>
      <c r="CU83" s="334"/>
      <c r="CV83" s="334"/>
      <c r="CW83" s="334"/>
      <c r="CX83" s="334"/>
      <c r="CY83" s="334"/>
      <c r="CZ83" s="334"/>
      <c r="DA83" s="334"/>
      <c r="DB83" s="334"/>
      <c r="DC83" s="334"/>
      <c r="DD83" s="334"/>
      <c r="DE83" s="334"/>
      <c r="DF83" s="334"/>
      <c r="DG83" s="350"/>
      <c r="DH83" s="349"/>
      <c r="DI83" s="334"/>
      <c r="DJ83" s="334"/>
      <c r="DK83" s="334"/>
      <c r="DL83" s="334"/>
      <c r="DM83" s="334"/>
      <c r="DN83" s="334"/>
      <c r="DO83" s="334"/>
      <c r="DP83" s="334"/>
      <c r="DQ83" s="334"/>
      <c r="DR83" s="334"/>
      <c r="DS83" s="334"/>
      <c r="DT83" s="334"/>
      <c r="DU83" s="334"/>
      <c r="DV83" s="334"/>
      <c r="DW83" s="334"/>
      <c r="DX83" s="334"/>
      <c r="DY83" s="350"/>
    </row>
    <row r="84" spans="2:129" ht="13.5" customHeight="1" thickBot="1">
      <c r="B84" s="18"/>
      <c r="C84" s="19" t="s">
        <v>503</v>
      </c>
      <c r="D84" s="19"/>
      <c r="E84" s="19"/>
      <c r="F84" s="19"/>
      <c r="G84" s="19"/>
      <c r="H84" s="395"/>
      <c r="I84" s="396"/>
      <c r="J84" s="396"/>
      <c r="K84" s="396"/>
      <c r="L84" s="396"/>
      <c r="M84" s="396"/>
      <c r="N84" s="396"/>
      <c r="O84" s="396"/>
      <c r="P84" s="396"/>
      <c r="Q84" s="396"/>
      <c r="R84" s="397"/>
      <c r="S84" s="395"/>
      <c r="T84" s="396"/>
      <c r="U84" s="396"/>
      <c r="V84" s="396"/>
      <c r="W84" s="396"/>
      <c r="X84" s="397"/>
      <c r="Y84" s="252" t="str">
        <f t="shared" si="18"/>
        <v/>
      </c>
      <c r="Z84" s="253"/>
      <c r="AA84" s="254"/>
      <c r="AB84" s="252" t="str">
        <f t="shared" si="20"/>
        <v/>
      </c>
      <c r="AC84" s="253"/>
      <c r="AD84" s="254"/>
      <c r="AE84" s="252" t="str">
        <f t="shared" si="21"/>
        <v/>
      </c>
      <c r="AF84" s="253"/>
      <c r="AG84" s="253"/>
      <c r="AH84" s="253"/>
      <c r="AI84" s="253"/>
      <c r="AJ84" s="253"/>
      <c r="AK84" s="254"/>
      <c r="AL84" s="398" t="str">
        <f t="shared" si="19"/>
        <v/>
      </c>
      <c r="AM84" s="399"/>
      <c r="AN84" s="399"/>
      <c r="AO84" s="399"/>
      <c r="AP84" s="399"/>
      <c r="AQ84" s="399"/>
      <c r="AR84" s="400"/>
      <c r="AS84" s="20"/>
      <c r="BF84" s="384" t="str">
        <f t="shared" si="22"/>
        <v/>
      </c>
      <c r="BG84" s="385"/>
      <c r="BH84" s="385"/>
      <c r="BI84" s="385"/>
      <c r="BJ84" s="385"/>
      <c r="BK84" s="385"/>
      <c r="BL84" s="385"/>
      <c r="BM84" s="385"/>
      <c r="BN84" s="386"/>
      <c r="BO84" s="387" t="str">
        <f t="shared" si="23"/>
        <v/>
      </c>
      <c r="BP84" s="387"/>
      <c r="BQ84" s="387"/>
      <c r="BR84" s="387"/>
      <c r="BS84" s="387"/>
      <c r="BT84" s="387"/>
      <c r="BU84" s="387"/>
      <c r="BV84" s="387"/>
      <c r="BW84" s="387"/>
      <c r="BX84" s="349"/>
      <c r="BY84" s="334"/>
      <c r="BZ84" s="334"/>
      <c r="CA84" s="334"/>
      <c r="CB84" s="334"/>
      <c r="CC84" s="334"/>
      <c r="CD84" s="334"/>
      <c r="CE84" s="334"/>
      <c r="CF84" s="334"/>
      <c r="CG84" s="334"/>
      <c r="CH84" s="334"/>
      <c r="CI84" s="334"/>
      <c r="CJ84" s="334"/>
      <c r="CK84" s="334"/>
      <c r="CL84" s="334"/>
      <c r="CM84" s="334"/>
      <c r="CN84" s="334"/>
      <c r="CO84" s="350"/>
      <c r="CP84" s="349"/>
      <c r="CQ84" s="334"/>
      <c r="CR84" s="334"/>
      <c r="CS84" s="334"/>
      <c r="CT84" s="334"/>
      <c r="CU84" s="334"/>
      <c r="CV84" s="334"/>
      <c r="CW84" s="334"/>
      <c r="CX84" s="334"/>
      <c r="CY84" s="334"/>
      <c r="CZ84" s="334"/>
      <c r="DA84" s="334"/>
      <c r="DB84" s="334"/>
      <c r="DC84" s="334"/>
      <c r="DD84" s="334"/>
      <c r="DE84" s="334"/>
      <c r="DF84" s="334"/>
      <c r="DG84" s="350"/>
      <c r="DH84" s="349"/>
      <c r="DI84" s="334"/>
      <c r="DJ84" s="334"/>
      <c r="DK84" s="334"/>
      <c r="DL84" s="334"/>
      <c r="DM84" s="334"/>
      <c r="DN84" s="334"/>
      <c r="DO84" s="334"/>
      <c r="DP84" s="334"/>
      <c r="DQ84" s="334"/>
      <c r="DR84" s="334"/>
      <c r="DS84" s="334"/>
      <c r="DT84" s="334"/>
      <c r="DU84" s="334"/>
      <c r="DV84" s="334"/>
      <c r="DW84" s="334"/>
      <c r="DX84" s="334"/>
      <c r="DY84" s="350"/>
    </row>
    <row r="85" spans="2:129" ht="13.5" customHeight="1" thickBot="1">
      <c r="B85" s="18"/>
      <c r="C85" s="19" t="s">
        <v>504</v>
      </c>
      <c r="D85" s="19"/>
      <c r="E85" s="19"/>
      <c r="F85" s="19"/>
      <c r="G85" s="19"/>
      <c r="H85" s="395"/>
      <c r="I85" s="396"/>
      <c r="J85" s="396"/>
      <c r="K85" s="396"/>
      <c r="L85" s="396"/>
      <c r="M85" s="396"/>
      <c r="N85" s="396"/>
      <c r="O85" s="396"/>
      <c r="P85" s="396"/>
      <c r="Q85" s="396"/>
      <c r="R85" s="397"/>
      <c r="S85" s="395"/>
      <c r="T85" s="396"/>
      <c r="U85" s="396"/>
      <c r="V85" s="396"/>
      <c r="W85" s="396"/>
      <c r="X85" s="397"/>
      <c r="Y85" s="252" t="str">
        <f t="shared" si="18"/>
        <v/>
      </c>
      <c r="Z85" s="253"/>
      <c r="AA85" s="254"/>
      <c r="AB85" s="252" t="str">
        <f t="shared" si="20"/>
        <v/>
      </c>
      <c r="AC85" s="253"/>
      <c r="AD85" s="254"/>
      <c r="AE85" s="252" t="str">
        <f t="shared" si="21"/>
        <v/>
      </c>
      <c r="AF85" s="253"/>
      <c r="AG85" s="253"/>
      <c r="AH85" s="253"/>
      <c r="AI85" s="253"/>
      <c r="AJ85" s="253"/>
      <c r="AK85" s="254"/>
      <c r="AL85" s="398" t="str">
        <f t="shared" si="19"/>
        <v/>
      </c>
      <c r="AM85" s="399"/>
      <c r="AN85" s="399"/>
      <c r="AO85" s="399"/>
      <c r="AP85" s="399"/>
      <c r="AQ85" s="399"/>
      <c r="AR85" s="400"/>
      <c r="AS85" s="20"/>
      <c r="BF85" s="384" t="str">
        <f t="shared" si="22"/>
        <v/>
      </c>
      <c r="BG85" s="385"/>
      <c r="BH85" s="385"/>
      <c r="BI85" s="385"/>
      <c r="BJ85" s="385"/>
      <c r="BK85" s="385"/>
      <c r="BL85" s="385"/>
      <c r="BM85" s="385"/>
      <c r="BN85" s="386"/>
      <c r="BO85" s="387" t="str">
        <f t="shared" si="23"/>
        <v/>
      </c>
      <c r="BP85" s="387"/>
      <c r="BQ85" s="387"/>
      <c r="BR85" s="387"/>
      <c r="BS85" s="387"/>
      <c r="BT85" s="387"/>
      <c r="BU85" s="387"/>
      <c r="BV85" s="387"/>
      <c r="BW85" s="387"/>
      <c r="BX85" s="349"/>
      <c r="BY85" s="334"/>
      <c r="BZ85" s="334"/>
      <c r="CA85" s="334"/>
      <c r="CB85" s="334"/>
      <c r="CC85" s="334"/>
      <c r="CD85" s="334"/>
      <c r="CE85" s="334"/>
      <c r="CF85" s="334"/>
      <c r="CG85" s="334"/>
      <c r="CH85" s="334"/>
      <c r="CI85" s="334"/>
      <c r="CJ85" s="334"/>
      <c r="CK85" s="334"/>
      <c r="CL85" s="334"/>
      <c r="CM85" s="334"/>
      <c r="CN85" s="334"/>
      <c r="CO85" s="350"/>
      <c r="CP85" s="349"/>
      <c r="CQ85" s="334"/>
      <c r="CR85" s="334"/>
      <c r="CS85" s="334"/>
      <c r="CT85" s="334"/>
      <c r="CU85" s="334"/>
      <c r="CV85" s="334"/>
      <c r="CW85" s="334"/>
      <c r="CX85" s="334"/>
      <c r="CY85" s="334"/>
      <c r="CZ85" s="334"/>
      <c r="DA85" s="334"/>
      <c r="DB85" s="334"/>
      <c r="DC85" s="334"/>
      <c r="DD85" s="334"/>
      <c r="DE85" s="334"/>
      <c r="DF85" s="334"/>
      <c r="DG85" s="350"/>
      <c r="DH85" s="349"/>
      <c r="DI85" s="334"/>
      <c r="DJ85" s="334"/>
      <c r="DK85" s="334"/>
      <c r="DL85" s="334"/>
      <c r="DM85" s="334"/>
      <c r="DN85" s="334"/>
      <c r="DO85" s="334"/>
      <c r="DP85" s="334"/>
      <c r="DQ85" s="334"/>
      <c r="DR85" s="334"/>
      <c r="DS85" s="334"/>
      <c r="DT85" s="334"/>
      <c r="DU85" s="334"/>
      <c r="DV85" s="334"/>
      <c r="DW85" s="334"/>
      <c r="DX85" s="334"/>
      <c r="DY85" s="350"/>
    </row>
    <row r="86" spans="2:129" ht="13.5" customHeight="1" thickBot="1">
      <c r="B86" s="18"/>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20"/>
      <c r="BX86" s="349"/>
      <c r="BY86" s="334"/>
      <c r="BZ86" s="334"/>
      <c r="CA86" s="334"/>
      <c r="CB86" s="334"/>
      <c r="CC86" s="334"/>
      <c r="CD86" s="334"/>
      <c r="CE86" s="334"/>
      <c r="CF86" s="334"/>
      <c r="CG86" s="334"/>
      <c r="CH86" s="334"/>
      <c r="CI86" s="334"/>
      <c r="CJ86" s="334"/>
      <c r="CK86" s="334"/>
      <c r="CL86" s="334"/>
      <c r="CM86" s="334"/>
      <c r="CN86" s="334"/>
      <c r="CO86" s="350"/>
      <c r="CP86" s="349"/>
      <c r="CQ86" s="334"/>
      <c r="CR86" s="334"/>
      <c r="CS86" s="334"/>
      <c r="CT86" s="334"/>
      <c r="CU86" s="334"/>
      <c r="CV86" s="334"/>
      <c r="CW86" s="334"/>
      <c r="CX86" s="334"/>
      <c r="CY86" s="334"/>
      <c r="CZ86" s="334"/>
      <c r="DA86" s="334"/>
      <c r="DB86" s="334"/>
      <c r="DC86" s="334"/>
      <c r="DD86" s="334"/>
      <c r="DE86" s="334"/>
      <c r="DF86" s="334"/>
      <c r="DG86" s="350"/>
      <c r="DH86" s="349"/>
      <c r="DI86" s="334"/>
      <c r="DJ86" s="334"/>
      <c r="DK86" s="334"/>
      <c r="DL86" s="334"/>
      <c r="DM86" s="334"/>
      <c r="DN86" s="334"/>
      <c r="DO86" s="334"/>
      <c r="DP86" s="334"/>
      <c r="DQ86" s="334"/>
      <c r="DR86" s="334"/>
      <c r="DS86" s="334"/>
      <c r="DT86" s="334"/>
      <c r="DU86" s="334"/>
      <c r="DV86" s="334"/>
      <c r="DW86" s="334"/>
      <c r="DX86" s="334"/>
      <c r="DY86" s="350"/>
    </row>
    <row r="87" spans="2:129" ht="13.5" customHeight="1" thickBot="1">
      <c r="B87" s="18"/>
      <c r="C87" s="388" t="s">
        <v>525</v>
      </c>
      <c r="D87" s="388"/>
      <c r="E87" s="388"/>
      <c r="F87" s="388"/>
      <c r="G87" s="388"/>
      <c r="H87" s="389"/>
      <c r="I87" s="390"/>
      <c r="J87" s="390"/>
      <c r="K87" s="390"/>
      <c r="L87" s="390"/>
      <c r="M87" s="390"/>
      <c r="N87" s="390"/>
      <c r="O87" s="390"/>
      <c r="P87" s="390"/>
      <c r="Q87" s="390"/>
      <c r="R87" s="390"/>
      <c r="S87" s="390"/>
      <c r="T87" s="390"/>
      <c r="U87" s="390"/>
      <c r="V87" s="390"/>
      <c r="W87" s="390"/>
      <c r="X87" s="390"/>
      <c r="Y87" s="390"/>
      <c r="Z87" s="390"/>
      <c r="AA87" s="390"/>
      <c r="AB87" s="390"/>
      <c r="AC87" s="390"/>
      <c r="AD87" s="390"/>
      <c r="AE87" s="390"/>
      <c r="AF87" s="390"/>
      <c r="AG87" s="390"/>
      <c r="AH87" s="390"/>
      <c r="AI87" s="391"/>
      <c r="AJ87" s="19"/>
      <c r="AK87" s="19" t="s">
        <v>526</v>
      </c>
      <c r="AL87" s="19"/>
      <c r="AM87" s="19"/>
      <c r="AN87" s="19"/>
      <c r="AO87" s="252" t="str">
        <f>IF(H75="","",SUM(Y76:AA85))</f>
        <v/>
      </c>
      <c r="AP87" s="253"/>
      <c r="AQ87" s="253"/>
      <c r="AR87" s="254"/>
      <c r="AS87" s="20"/>
      <c r="BX87" s="349"/>
      <c r="BY87" s="334"/>
      <c r="BZ87" s="334"/>
      <c r="CA87" s="334"/>
      <c r="CB87" s="334"/>
      <c r="CC87" s="334"/>
      <c r="CD87" s="334"/>
      <c r="CE87" s="334"/>
      <c r="CF87" s="334"/>
      <c r="CG87" s="334"/>
      <c r="CH87" s="334"/>
      <c r="CI87" s="334"/>
      <c r="CJ87" s="334"/>
      <c r="CK87" s="334"/>
      <c r="CL87" s="334"/>
      <c r="CM87" s="334"/>
      <c r="CN87" s="334"/>
      <c r="CO87" s="350"/>
      <c r="CP87" s="349"/>
      <c r="CQ87" s="334"/>
      <c r="CR87" s="334"/>
      <c r="CS87" s="334"/>
      <c r="CT87" s="334"/>
      <c r="CU87" s="334"/>
      <c r="CV87" s="334"/>
      <c r="CW87" s="334"/>
      <c r="CX87" s="334"/>
      <c r="CY87" s="334"/>
      <c r="CZ87" s="334"/>
      <c r="DA87" s="334"/>
      <c r="DB87" s="334"/>
      <c r="DC87" s="334"/>
      <c r="DD87" s="334"/>
      <c r="DE87" s="334"/>
      <c r="DF87" s="334"/>
      <c r="DG87" s="350"/>
      <c r="DH87" s="349"/>
      <c r="DI87" s="334"/>
      <c r="DJ87" s="334"/>
      <c r="DK87" s="334"/>
      <c r="DL87" s="334"/>
      <c r="DM87" s="334"/>
      <c r="DN87" s="334"/>
      <c r="DO87" s="334"/>
      <c r="DP87" s="334"/>
      <c r="DQ87" s="334"/>
      <c r="DR87" s="334"/>
      <c r="DS87" s="334"/>
      <c r="DT87" s="334"/>
      <c r="DU87" s="334"/>
      <c r="DV87" s="334"/>
      <c r="DW87" s="334"/>
      <c r="DX87" s="334"/>
      <c r="DY87" s="350"/>
    </row>
    <row r="88" spans="2:129" ht="13.5" customHeight="1" thickBot="1">
      <c r="B88" s="18"/>
      <c r="C88" s="388"/>
      <c r="D88" s="388"/>
      <c r="E88" s="388"/>
      <c r="F88" s="388"/>
      <c r="G88" s="388"/>
      <c r="H88" s="392"/>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4"/>
      <c r="AJ88" s="19"/>
      <c r="AK88" s="19"/>
      <c r="AL88" s="19"/>
      <c r="AM88" s="19"/>
      <c r="AN88" s="19"/>
      <c r="AO88" s="19"/>
      <c r="AP88" s="19"/>
      <c r="AQ88" s="19"/>
      <c r="AR88" s="19"/>
      <c r="AS88" s="20"/>
      <c r="BX88" s="351"/>
      <c r="BY88" s="352"/>
      <c r="BZ88" s="352"/>
      <c r="CA88" s="352"/>
      <c r="CB88" s="352"/>
      <c r="CC88" s="352"/>
      <c r="CD88" s="352"/>
      <c r="CE88" s="352"/>
      <c r="CF88" s="352"/>
      <c r="CG88" s="352"/>
      <c r="CH88" s="352"/>
      <c r="CI88" s="352"/>
      <c r="CJ88" s="352"/>
      <c r="CK88" s="352"/>
      <c r="CL88" s="352"/>
      <c r="CM88" s="352"/>
      <c r="CN88" s="352"/>
      <c r="CO88" s="353"/>
      <c r="CP88" s="351"/>
      <c r="CQ88" s="352"/>
      <c r="CR88" s="352"/>
      <c r="CS88" s="352"/>
      <c r="CT88" s="352"/>
      <c r="CU88" s="352"/>
      <c r="CV88" s="352"/>
      <c r="CW88" s="352"/>
      <c r="CX88" s="352"/>
      <c r="CY88" s="352"/>
      <c r="CZ88" s="352"/>
      <c r="DA88" s="352"/>
      <c r="DB88" s="352"/>
      <c r="DC88" s="352"/>
      <c r="DD88" s="352"/>
      <c r="DE88" s="352"/>
      <c r="DF88" s="352"/>
      <c r="DG88" s="353"/>
      <c r="DH88" s="351"/>
      <c r="DI88" s="352"/>
      <c r="DJ88" s="352"/>
      <c r="DK88" s="352"/>
      <c r="DL88" s="352"/>
      <c r="DM88" s="352"/>
      <c r="DN88" s="352"/>
      <c r="DO88" s="352"/>
      <c r="DP88" s="352"/>
      <c r="DQ88" s="352"/>
      <c r="DR88" s="352"/>
      <c r="DS88" s="352"/>
      <c r="DT88" s="352"/>
      <c r="DU88" s="352"/>
      <c r="DV88" s="352"/>
      <c r="DW88" s="352"/>
      <c r="DX88" s="352"/>
      <c r="DY88" s="353"/>
    </row>
    <row r="89" spans="2:129" ht="13.5" customHeight="1" thickBo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3"/>
    </row>
    <row r="90" spans="2:129" ht="13.5" customHeight="1" thickBot="1"/>
    <row r="91" spans="2:129" ht="13.5" customHeight="1" thickBot="1">
      <c r="B91" s="15"/>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7"/>
      <c r="BF91" s="12" t="s">
        <v>620</v>
      </c>
      <c r="BO91" s="12" t="s">
        <v>621</v>
      </c>
      <c r="CG91" s="44"/>
      <c r="CH91" s="44"/>
      <c r="CI91" s="44"/>
      <c r="CJ91" s="44"/>
      <c r="CK91" s="44"/>
      <c r="CL91" s="44"/>
      <c r="CM91" s="44"/>
      <c r="CN91" s="44"/>
      <c r="CO91" s="44"/>
    </row>
    <row r="92" spans="2:129" ht="13.5" customHeight="1" thickBot="1">
      <c r="B92" s="18"/>
      <c r="C92" s="19" t="s">
        <v>385</v>
      </c>
      <c r="D92" s="19"/>
      <c r="E92" s="19"/>
      <c r="F92" s="19"/>
      <c r="G92" s="19"/>
      <c r="H92" s="249"/>
      <c r="I92" s="250"/>
      <c r="J92" s="250"/>
      <c r="K92" s="250"/>
      <c r="L92" s="250"/>
      <c r="M92" s="250"/>
      <c r="N92" s="250"/>
      <c r="O92" s="250"/>
      <c r="P92" s="250"/>
      <c r="Q92" s="250"/>
      <c r="R92" s="251"/>
      <c r="S92" s="401" t="s">
        <v>505</v>
      </c>
      <c r="T92" s="262"/>
      <c r="U92" s="262"/>
      <c r="V92" s="262"/>
      <c r="W92" s="262"/>
      <c r="X92" s="262"/>
      <c r="Y92" s="269" t="s">
        <v>37</v>
      </c>
      <c r="Z92" s="269"/>
      <c r="AA92" s="269"/>
      <c r="AB92" s="269" t="s">
        <v>36</v>
      </c>
      <c r="AC92" s="269"/>
      <c r="AD92" s="269"/>
      <c r="AE92" s="269" t="s">
        <v>506</v>
      </c>
      <c r="AF92" s="269"/>
      <c r="AG92" s="269"/>
      <c r="AH92" s="269"/>
      <c r="AI92" s="269"/>
      <c r="AJ92" s="269"/>
      <c r="AK92" s="269"/>
      <c r="AL92" s="269" t="s">
        <v>507</v>
      </c>
      <c r="AM92" s="269"/>
      <c r="AN92" s="269"/>
      <c r="AO92" s="269"/>
      <c r="AP92" s="269"/>
      <c r="AQ92" s="269"/>
      <c r="AR92" s="269"/>
      <c r="AS92" s="20"/>
      <c r="BF92" s="384" t="str">
        <f>IF(H92="","",H92&amp;IF(H104="",""," ["&amp;H104&amp;"]"))</f>
        <v/>
      </c>
      <c r="BG92" s="385"/>
      <c r="BH92" s="385"/>
      <c r="BI92" s="385"/>
      <c r="BJ92" s="385"/>
      <c r="BK92" s="385"/>
      <c r="BL92" s="385"/>
      <c r="BM92" s="385"/>
      <c r="BN92" s="386"/>
      <c r="BO92" s="371"/>
      <c r="BP92" s="371"/>
      <c r="BQ92" s="371"/>
      <c r="BR92" s="371"/>
      <c r="BS92" s="371"/>
      <c r="BT92" s="371"/>
      <c r="BU92" s="371"/>
      <c r="BV92" s="371"/>
      <c r="BW92" s="371"/>
      <c r="BX92" s="346" t="str">
        <f>IF(BF92="","",CHAR(10)&amp;CHAR(149)&amp;" "&amp;BF92&amp;CHAR(10)&amp;BO102)</f>
        <v/>
      </c>
      <c r="BY92" s="347"/>
      <c r="BZ92" s="347"/>
      <c r="CA92" s="347"/>
      <c r="CB92" s="347"/>
      <c r="CC92" s="347"/>
      <c r="CD92" s="347"/>
      <c r="CE92" s="347"/>
      <c r="CF92" s="347"/>
      <c r="CG92" s="347"/>
      <c r="CH92" s="347"/>
      <c r="CI92" s="347"/>
      <c r="CJ92" s="347"/>
      <c r="CK92" s="347"/>
      <c r="CL92" s="347"/>
      <c r="CM92" s="347"/>
      <c r="CN92" s="347"/>
      <c r="CO92" s="348"/>
      <c r="CP92" s="346" t="str">
        <f>IF($BF92="","",CHAR(10)&amp;"[b]"&amp;$BF92&amp;": [/b]"&amp;CHAR(10)&amp;$BO102&amp;CHAR(10)&amp;"("&amp;AO104&amp;" points)")</f>
        <v/>
      </c>
      <c r="CQ92" s="347"/>
      <c r="CR92" s="347"/>
      <c r="CS92" s="347"/>
      <c r="CT92" s="347"/>
      <c r="CU92" s="347"/>
      <c r="CV92" s="347"/>
      <c r="CW92" s="347"/>
      <c r="CX92" s="347"/>
      <c r="CY92" s="347"/>
      <c r="CZ92" s="347"/>
      <c r="DA92" s="347"/>
      <c r="DB92" s="347"/>
      <c r="DC92" s="347"/>
      <c r="DD92" s="347"/>
      <c r="DE92" s="347"/>
      <c r="DF92" s="347"/>
      <c r="DG92" s="348"/>
      <c r="DH92" s="346" t="str">
        <f>IF($BF92="","",CHAR(10)&amp;"**"&amp;$BF92&amp;":**"&amp;CHAR(10)&amp;$BO102&amp;CHAR(10)&amp;"("&amp;$AO104&amp;" points)")</f>
        <v/>
      </c>
      <c r="DI92" s="347"/>
      <c r="DJ92" s="347"/>
      <c r="DK92" s="347"/>
      <c r="DL92" s="347"/>
      <c r="DM92" s="347"/>
      <c r="DN92" s="347"/>
      <c r="DO92" s="347"/>
      <c r="DP92" s="347"/>
      <c r="DQ92" s="347"/>
      <c r="DR92" s="347"/>
      <c r="DS92" s="347"/>
      <c r="DT92" s="347"/>
      <c r="DU92" s="347"/>
      <c r="DV92" s="347"/>
      <c r="DW92" s="347"/>
      <c r="DX92" s="347"/>
      <c r="DY92" s="348"/>
    </row>
    <row r="93" spans="2:129" ht="13.5" customHeight="1" thickBot="1">
      <c r="B93" s="18"/>
      <c r="C93" s="19" t="s">
        <v>495</v>
      </c>
      <c r="D93" s="19"/>
      <c r="E93" s="19"/>
      <c r="F93" s="19"/>
      <c r="G93" s="19"/>
      <c r="H93" s="395"/>
      <c r="I93" s="396"/>
      <c r="J93" s="396"/>
      <c r="K93" s="396"/>
      <c r="L93" s="396"/>
      <c r="M93" s="396"/>
      <c r="N93" s="396"/>
      <c r="O93" s="396"/>
      <c r="P93" s="396"/>
      <c r="Q93" s="396"/>
      <c r="R93" s="397"/>
      <c r="S93" s="395"/>
      <c r="T93" s="396"/>
      <c r="U93" s="396"/>
      <c r="V93" s="396"/>
      <c r="W93" s="396"/>
      <c r="X93" s="397"/>
      <c r="Y93" s="252" t="str">
        <f t="shared" ref="Y93:Y102" si="24">IF($H93="","",IF($S93="Normal",VLOOKUP($H93,ComponentMatrix,7,FALSE),IF($S93="Alternate",1,IF($S93="Dynamic",2,IF($S93="None",0,"")))))</f>
        <v/>
      </c>
      <c r="Z93" s="253"/>
      <c r="AA93" s="254"/>
      <c r="AB93" s="252" t="str">
        <f>IF($H93="","",VLOOKUP($H93,ComponentMatrix,5,FALSE))</f>
        <v/>
      </c>
      <c r="AC93" s="253"/>
      <c r="AD93" s="254"/>
      <c r="AE93" s="252" t="str">
        <f>IF($H93="","",VLOOKUP($H93,ComponentMatrix,9,FALSE))</f>
        <v/>
      </c>
      <c r="AF93" s="253"/>
      <c r="AG93" s="253"/>
      <c r="AH93" s="253"/>
      <c r="AI93" s="253"/>
      <c r="AJ93" s="253"/>
      <c r="AK93" s="254"/>
      <c r="AL93" s="398" t="str">
        <f t="shared" ref="AL93:AL102" si="25">IF($H93="","",VLOOKUP($H93,ComponentMatrix,15,FALSE))</f>
        <v/>
      </c>
      <c r="AM93" s="399"/>
      <c r="AN93" s="399"/>
      <c r="AO93" s="399"/>
      <c r="AP93" s="399"/>
      <c r="AQ93" s="399"/>
      <c r="AR93" s="400"/>
      <c r="AS93" s="20"/>
      <c r="BF93" s="384" t="str">
        <f>IF(H93="","",IF(S93="Alternate","Alt: ","")&amp;IF(S93="Dynamic","Dyn: ","")&amp;IF(H93=AE93,AE93&amp;" "&amp;AB93&amp;IF(AL93="",""," ["&amp;AL93&amp;"]"),IF(AE93="Custom",H93&amp;" ("&amp;Y93&amp;" points)"&amp;CHAR(10),H93&amp;": "&amp;AE93&amp;" "&amp;AB93&amp;IF(AL93="",""," ["&amp;AL93&amp;"]"))))</f>
        <v/>
      </c>
      <c r="BG93" s="385"/>
      <c r="BH93" s="385"/>
      <c r="BI93" s="385"/>
      <c r="BJ93" s="385"/>
      <c r="BK93" s="385"/>
      <c r="BL93" s="385"/>
      <c r="BM93" s="385"/>
      <c r="BN93" s="386"/>
      <c r="BO93" s="371" t="str">
        <f>IF(BF93="","","     "&amp;BF93)</f>
        <v/>
      </c>
      <c r="BP93" s="371"/>
      <c r="BQ93" s="371"/>
      <c r="BR93" s="371"/>
      <c r="BS93" s="371"/>
      <c r="BT93" s="371"/>
      <c r="BU93" s="371"/>
      <c r="BV93" s="371"/>
      <c r="BW93" s="371"/>
      <c r="BX93" s="349"/>
      <c r="BY93" s="334"/>
      <c r="BZ93" s="334"/>
      <c r="CA93" s="334"/>
      <c r="CB93" s="334"/>
      <c r="CC93" s="334"/>
      <c r="CD93" s="334"/>
      <c r="CE93" s="334"/>
      <c r="CF93" s="334"/>
      <c r="CG93" s="334"/>
      <c r="CH93" s="334"/>
      <c r="CI93" s="334"/>
      <c r="CJ93" s="334"/>
      <c r="CK93" s="334"/>
      <c r="CL93" s="334"/>
      <c r="CM93" s="334"/>
      <c r="CN93" s="334"/>
      <c r="CO93" s="350"/>
      <c r="CP93" s="349"/>
      <c r="CQ93" s="334"/>
      <c r="CR93" s="334"/>
      <c r="CS93" s="334"/>
      <c r="CT93" s="334"/>
      <c r="CU93" s="334"/>
      <c r="CV93" s="334"/>
      <c r="CW93" s="334"/>
      <c r="CX93" s="334"/>
      <c r="CY93" s="334"/>
      <c r="CZ93" s="334"/>
      <c r="DA93" s="334"/>
      <c r="DB93" s="334"/>
      <c r="DC93" s="334"/>
      <c r="DD93" s="334"/>
      <c r="DE93" s="334"/>
      <c r="DF93" s="334"/>
      <c r="DG93" s="350"/>
      <c r="DH93" s="349"/>
      <c r="DI93" s="334"/>
      <c r="DJ93" s="334"/>
      <c r="DK93" s="334"/>
      <c r="DL93" s="334"/>
      <c r="DM93" s="334"/>
      <c r="DN93" s="334"/>
      <c r="DO93" s="334"/>
      <c r="DP93" s="334"/>
      <c r="DQ93" s="334"/>
      <c r="DR93" s="334"/>
      <c r="DS93" s="334"/>
      <c r="DT93" s="334"/>
      <c r="DU93" s="334"/>
      <c r="DV93" s="334"/>
      <c r="DW93" s="334"/>
      <c r="DX93" s="334"/>
      <c r="DY93" s="350"/>
    </row>
    <row r="94" spans="2:129" ht="13.5" customHeight="1" thickBot="1">
      <c r="B94" s="18"/>
      <c r="C94" s="19" t="s">
        <v>496</v>
      </c>
      <c r="D94" s="19"/>
      <c r="E94" s="19"/>
      <c r="F94" s="19"/>
      <c r="G94" s="19"/>
      <c r="H94" s="395"/>
      <c r="I94" s="396"/>
      <c r="J94" s="396"/>
      <c r="K94" s="396"/>
      <c r="L94" s="396"/>
      <c r="M94" s="396"/>
      <c r="N94" s="396"/>
      <c r="O94" s="396"/>
      <c r="P94" s="396"/>
      <c r="Q94" s="396"/>
      <c r="R94" s="397"/>
      <c r="S94" s="395"/>
      <c r="T94" s="396"/>
      <c r="U94" s="396"/>
      <c r="V94" s="396"/>
      <c r="W94" s="396"/>
      <c r="X94" s="397"/>
      <c r="Y94" s="252" t="str">
        <f t="shared" si="24"/>
        <v/>
      </c>
      <c r="Z94" s="253"/>
      <c r="AA94" s="254"/>
      <c r="AB94" s="252" t="str">
        <f t="shared" ref="AB94:AB102" si="26">IF(H94="","",VLOOKUP(H94,ComponentMatrix,5,FALSE))</f>
        <v/>
      </c>
      <c r="AC94" s="253"/>
      <c r="AD94" s="254"/>
      <c r="AE94" s="252" t="str">
        <f t="shared" ref="AE94:AE102" si="27">IF(H94="","",VLOOKUP(H94,ComponentMatrix,9,FALSE))</f>
        <v/>
      </c>
      <c r="AF94" s="253"/>
      <c r="AG94" s="253"/>
      <c r="AH94" s="253"/>
      <c r="AI94" s="253"/>
      <c r="AJ94" s="253"/>
      <c r="AK94" s="254"/>
      <c r="AL94" s="398" t="str">
        <f t="shared" si="25"/>
        <v/>
      </c>
      <c r="AM94" s="399"/>
      <c r="AN94" s="399"/>
      <c r="AO94" s="399"/>
      <c r="AP94" s="399"/>
      <c r="AQ94" s="399"/>
      <c r="AR94" s="400"/>
      <c r="AS94" s="20"/>
      <c r="BF94" s="384" t="str">
        <f t="shared" ref="BF94:BF102" si="28">IF(H94="","",IF(S94="Alternate","Alt: ","")&amp;IF(S94="Dynamic","Dyn: ","")&amp;IF(H94=AE94,AE94&amp;" "&amp;AB94&amp;IF(AL94="",""," ["&amp;AL94&amp;"]"),IF(AE94="Custom",H94&amp;" ("&amp;Y94&amp;" points)"&amp;CHAR(10),H94&amp;": "&amp;AE94&amp;" "&amp;AB94&amp;IF(AL94="",""," ["&amp;AL94&amp;"]"))))</f>
        <v/>
      </c>
      <c r="BG94" s="385"/>
      <c r="BH94" s="385"/>
      <c r="BI94" s="385"/>
      <c r="BJ94" s="385"/>
      <c r="BK94" s="385"/>
      <c r="BL94" s="385"/>
      <c r="BM94" s="385"/>
      <c r="BN94" s="386"/>
      <c r="BO94" s="387" t="str">
        <f>BO93&amp;IF(AE93="Custom","     "&amp;BF94,IF(S94="None",", "&amp;BF94,"")&amp;IF(OR(S94="Alternate",S94="Dynamic"),CHAR(10)&amp;"     "&amp;BF94,"")&amp;IF(S94="Normal",IF(OR(S93="Alternate",S93="Dynamic",S93="None"),CHAR(10)&amp;"     "&amp;BF94,", "&amp;BF94),""))</f>
        <v/>
      </c>
      <c r="BP94" s="387"/>
      <c r="BQ94" s="387"/>
      <c r="BR94" s="387"/>
      <c r="BS94" s="387"/>
      <c r="BT94" s="387"/>
      <c r="BU94" s="387"/>
      <c r="BV94" s="387"/>
      <c r="BW94" s="387"/>
      <c r="BX94" s="349"/>
      <c r="BY94" s="334"/>
      <c r="BZ94" s="334"/>
      <c r="CA94" s="334"/>
      <c r="CB94" s="334"/>
      <c r="CC94" s="334"/>
      <c r="CD94" s="334"/>
      <c r="CE94" s="334"/>
      <c r="CF94" s="334"/>
      <c r="CG94" s="334"/>
      <c r="CH94" s="334"/>
      <c r="CI94" s="334"/>
      <c r="CJ94" s="334"/>
      <c r="CK94" s="334"/>
      <c r="CL94" s="334"/>
      <c r="CM94" s="334"/>
      <c r="CN94" s="334"/>
      <c r="CO94" s="350"/>
      <c r="CP94" s="349"/>
      <c r="CQ94" s="334"/>
      <c r="CR94" s="334"/>
      <c r="CS94" s="334"/>
      <c r="CT94" s="334"/>
      <c r="CU94" s="334"/>
      <c r="CV94" s="334"/>
      <c r="CW94" s="334"/>
      <c r="CX94" s="334"/>
      <c r="CY94" s="334"/>
      <c r="CZ94" s="334"/>
      <c r="DA94" s="334"/>
      <c r="DB94" s="334"/>
      <c r="DC94" s="334"/>
      <c r="DD94" s="334"/>
      <c r="DE94" s="334"/>
      <c r="DF94" s="334"/>
      <c r="DG94" s="350"/>
      <c r="DH94" s="349"/>
      <c r="DI94" s="334"/>
      <c r="DJ94" s="334"/>
      <c r="DK94" s="334"/>
      <c r="DL94" s="334"/>
      <c r="DM94" s="334"/>
      <c r="DN94" s="334"/>
      <c r="DO94" s="334"/>
      <c r="DP94" s="334"/>
      <c r="DQ94" s="334"/>
      <c r="DR94" s="334"/>
      <c r="DS94" s="334"/>
      <c r="DT94" s="334"/>
      <c r="DU94" s="334"/>
      <c r="DV94" s="334"/>
      <c r="DW94" s="334"/>
      <c r="DX94" s="334"/>
      <c r="DY94" s="350"/>
    </row>
    <row r="95" spans="2:129" ht="13.5" customHeight="1" thickBot="1">
      <c r="B95" s="18"/>
      <c r="C95" s="19" t="s">
        <v>497</v>
      </c>
      <c r="D95" s="19"/>
      <c r="E95" s="19"/>
      <c r="F95" s="19"/>
      <c r="G95" s="19"/>
      <c r="H95" s="395"/>
      <c r="I95" s="396"/>
      <c r="J95" s="396"/>
      <c r="K95" s="396"/>
      <c r="L95" s="396"/>
      <c r="M95" s="396"/>
      <c r="N95" s="396"/>
      <c r="O95" s="396"/>
      <c r="P95" s="396"/>
      <c r="Q95" s="396"/>
      <c r="R95" s="397"/>
      <c r="S95" s="395"/>
      <c r="T95" s="396"/>
      <c r="U95" s="396"/>
      <c r="V95" s="396"/>
      <c r="W95" s="396"/>
      <c r="X95" s="397"/>
      <c r="Y95" s="252" t="str">
        <f t="shared" si="24"/>
        <v/>
      </c>
      <c r="Z95" s="253"/>
      <c r="AA95" s="254"/>
      <c r="AB95" s="252" t="str">
        <f t="shared" si="26"/>
        <v/>
      </c>
      <c r="AC95" s="253"/>
      <c r="AD95" s="254"/>
      <c r="AE95" s="252" t="str">
        <f t="shared" si="27"/>
        <v/>
      </c>
      <c r="AF95" s="253"/>
      <c r="AG95" s="253"/>
      <c r="AH95" s="253"/>
      <c r="AI95" s="253"/>
      <c r="AJ95" s="253"/>
      <c r="AK95" s="254"/>
      <c r="AL95" s="398" t="str">
        <f t="shared" si="25"/>
        <v/>
      </c>
      <c r="AM95" s="399"/>
      <c r="AN95" s="399"/>
      <c r="AO95" s="399"/>
      <c r="AP95" s="399"/>
      <c r="AQ95" s="399"/>
      <c r="AR95" s="400"/>
      <c r="AS95" s="20"/>
      <c r="BF95" s="384" t="str">
        <f t="shared" si="28"/>
        <v/>
      </c>
      <c r="BG95" s="385"/>
      <c r="BH95" s="385"/>
      <c r="BI95" s="385"/>
      <c r="BJ95" s="385"/>
      <c r="BK95" s="385"/>
      <c r="BL95" s="385"/>
      <c r="BM95" s="385"/>
      <c r="BN95" s="386"/>
      <c r="BO95" s="387" t="str">
        <f t="shared" ref="BO95:BO102" si="29">BO94&amp;IF(AE94="Custom","     "&amp;BF95,IF(S95="None",", "&amp;BF95,"")&amp;IF(OR(S95="Alternate",S95="Dynamic"),CHAR(10)&amp;"     "&amp;BF95,"")&amp;IF(S95="Normal",IF(OR(S94="Alternate",S94="Dynamic",S94="None"),CHAR(10)&amp;"     "&amp;BF95,", "&amp;BF95),""))</f>
        <v/>
      </c>
      <c r="BP95" s="387"/>
      <c r="BQ95" s="387"/>
      <c r="BR95" s="387"/>
      <c r="BS95" s="387"/>
      <c r="BT95" s="387"/>
      <c r="BU95" s="387"/>
      <c r="BV95" s="387"/>
      <c r="BW95" s="387"/>
      <c r="BX95" s="349"/>
      <c r="BY95" s="334"/>
      <c r="BZ95" s="334"/>
      <c r="CA95" s="334"/>
      <c r="CB95" s="334"/>
      <c r="CC95" s="334"/>
      <c r="CD95" s="334"/>
      <c r="CE95" s="334"/>
      <c r="CF95" s="334"/>
      <c r="CG95" s="334"/>
      <c r="CH95" s="334"/>
      <c r="CI95" s="334"/>
      <c r="CJ95" s="334"/>
      <c r="CK95" s="334"/>
      <c r="CL95" s="334"/>
      <c r="CM95" s="334"/>
      <c r="CN95" s="334"/>
      <c r="CO95" s="350"/>
      <c r="CP95" s="349"/>
      <c r="CQ95" s="334"/>
      <c r="CR95" s="334"/>
      <c r="CS95" s="334"/>
      <c r="CT95" s="334"/>
      <c r="CU95" s="334"/>
      <c r="CV95" s="334"/>
      <c r="CW95" s="334"/>
      <c r="CX95" s="334"/>
      <c r="CY95" s="334"/>
      <c r="CZ95" s="334"/>
      <c r="DA95" s="334"/>
      <c r="DB95" s="334"/>
      <c r="DC95" s="334"/>
      <c r="DD95" s="334"/>
      <c r="DE95" s="334"/>
      <c r="DF95" s="334"/>
      <c r="DG95" s="350"/>
      <c r="DH95" s="349"/>
      <c r="DI95" s="334"/>
      <c r="DJ95" s="334"/>
      <c r="DK95" s="334"/>
      <c r="DL95" s="334"/>
      <c r="DM95" s="334"/>
      <c r="DN95" s="334"/>
      <c r="DO95" s="334"/>
      <c r="DP95" s="334"/>
      <c r="DQ95" s="334"/>
      <c r="DR95" s="334"/>
      <c r="DS95" s="334"/>
      <c r="DT95" s="334"/>
      <c r="DU95" s="334"/>
      <c r="DV95" s="334"/>
      <c r="DW95" s="334"/>
      <c r="DX95" s="334"/>
      <c r="DY95" s="350"/>
    </row>
    <row r="96" spans="2:129" ht="13.5" customHeight="1" thickBot="1">
      <c r="B96" s="18"/>
      <c r="C96" s="19" t="s">
        <v>498</v>
      </c>
      <c r="D96" s="19"/>
      <c r="E96" s="19"/>
      <c r="F96" s="19"/>
      <c r="G96" s="19"/>
      <c r="H96" s="395"/>
      <c r="I96" s="396"/>
      <c r="J96" s="396"/>
      <c r="K96" s="396"/>
      <c r="L96" s="396"/>
      <c r="M96" s="396"/>
      <c r="N96" s="396"/>
      <c r="O96" s="396"/>
      <c r="P96" s="396"/>
      <c r="Q96" s="396"/>
      <c r="R96" s="397"/>
      <c r="S96" s="395"/>
      <c r="T96" s="396"/>
      <c r="U96" s="396"/>
      <c r="V96" s="396"/>
      <c r="W96" s="396"/>
      <c r="X96" s="397"/>
      <c r="Y96" s="252" t="str">
        <f t="shared" si="24"/>
        <v/>
      </c>
      <c r="Z96" s="253"/>
      <c r="AA96" s="254"/>
      <c r="AB96" s="252" t="str">
        <f t="shared" si="26"/>
        <v/>
      </c>
      <c r="AC96" s="253"/>
      <c r="AD96" s="254"/>
      <c r="AE96" s="252" t="str">
        <f t="shared" si="27"/>
        <v/>
      </c>
      <c r="AF96" s="253"/>
      <c r="AG96" s="253"/>
      <c r="AH96" s="253"/>
      <c r="AI96" s="253"/>
      <c r="AJ96" s="253"/>
      <c r="AK96" s="254"/>
      <c r="AL96" s="398" t="str">
        <f t="shared" si="25"/>
        <v/>
      </c>
      <c r="AM96" s="399"/>
      <c r="AN96" s="399"/>
      <c r="AO96" s="399"/>
      <c r="AP96" s="399"/>
      <c r="AQ96" s="399"/>
      <c r="AR96" s="400"/>
      <c r="AS96" s="20"/>
      <c r="BF96" s="384" t="str">
        <f t="shared" si="28"/>
        <v/>
      </c>
      <c r="BG96" s="385"/>
      <c r="BH96" s="385"/>
      <c r="BI96" s="385"/>
      <c r="BJ96" s="385"/>
      <c r="BK96" s="385"/>
      <c r="BL96" s="385"/>
      <c r="BM96" s="385"/>
      <c r="BN96" s="386"/>
      <c r="BO96" s="387" t="str">
        <f t="shared" si="29"/>
        <v/>
      </c>
      <c r="BP96" s="387"/>
      <c r="BQ96" s="387"/>
      <c r="BR96" s="387"/>
      <c r="BS96" s="387"/>
      <c r="BT96" s="387"/>
      <c r="BU96" s="387"/>
      <c r="BV96" s="387"/>
      <c r="BW96" s="387"/>
      <c r="BX96" s="349"/>
      <c r="BY96" s="334"/>
      <c r="BZ96" s="334"/>
      <c r="CA96" s="334"/>
      <c r="CB96" s="334"/>
      <c r="CC96" s="334"/>
      <c r="CD96" s="334"/>
      <c r="CE96" s="334"/>
      <c r="CF96" s="334"/>
      <c r="CG96" s="334"/>
      <c r="CH96" s="334"/>
      <c r="CI96" s="334"/>
      <c r="CJ96" s="334"/>
      <c r="CK96" s="334"/>
      <c r="CL96" s="334"/>
      <c r="CM96" s="334"/>
      <c r="CN96" s="334"/>
      <c r="CO96" s="350"/>
      <c r="CP96" s="349"/>
      <c r="CQ96" s="334"/>
      <c r="CR96" s="334"/>
      <c r="CS96" s="334"/>
      <c r="CT96" s="334"/>
      <c r="CU96" s="334"/>
      <c r="CV96" s="334"/>
      <c r="CW96" s="334"/>
      <c r="CX96" s="334"/>
      <c r="CY96" s="334"/>
      <c r="CZ96" s="334"/>
      <c r="DA96" s="334"/>
      <c r="DB96" s="334"/>
      <c r="DC96" s="334"/>
      <c r="DD96" s="334"/>
      <c r="DE96" s="334"/>
      <c r="DF96" s="334"/>
      <c r="DG96" s="350"/>
      <c r="DH96" s="349"/>
      <c r="DI96" s="334"/>
      <c r="DJ96" s="334"/>
      <c r="DK96" s="334"/>
      <c r="DL96" s="334"/>
      <c r="DM96" s="334"/>
      <c r="DN96" s="334"/>
      <c r="DO96" s="334"/>
      <c r="DP96" s="334"/>
      <c r="DQ96" s="334"/>
      <c r="DR96" s="334"/>
      <c r="DS96" s="334"/>
      <c r="DT96" s="334"/>
      <c r="DU96" s="334"/>
      <c r="DV96" s="334"/>
      <c r="DW96" s="334"/>
      <c r="DX96" s="334"/>
      <c r="DY96" s="350"/>
    </row>
    <row r="97" spans="2:129" ht="13.5" customHeight="1" thickBot="1">
      <c r="B97" s="18"/>
      <c r="C97" s="19" t="s">
        <v>499</v>
      </c>
      <c r="D97" s="19"/>
      <c r="E97" s="19"/>
      <c r="F97" s="19"/>
      <c r="G97" s="19"/>
      <c r="H97" s="395"/>
      <c r="I97" s="396"/>
      <c r="J97" s="396"/>
      <c r="K97" s="396"/>
      <c r="L97" s="396"/>
      <c r="M97" s="396"/>
      <c r="N97" s="396"/>
      <c r="O97" s="396"/>
      <c r="P97" s="396"/>
      <c r="Q97" s="396"/>
      <c r="R97" s="397"/>
      <c r="S97" s="395"/>
      <c r="T97" s="396"/>
      <c r="U97" s="396"/>
      <c r="V97" s="396"/>
      <c r="W97" s="396"/>
      <c r="X97" s="397"/>
      <c r="Y97" s="252" t="str">
        <f t="shared" si="24"/>
        <v/>
      </c>
      <c r="Z97" s="253"/>
      <c r="AA97" s="254"/>
      <c r="AB97" s="252" t="str">
        <f t="shared" si="26"/>
        <v/>
      </c>
      <c r="AC97" s="253"/>
      <c r="AD97" s="254"/>
      <c r="AE97" s="252" t="str">
        <f t="shared" si="27"/>
        <v/>
      </c>
      <c r="AF97" s="253"/>
      <c r="AG97" s="253"/>
      <c r="AH97" s="253"/>
      <c r="AI97" s="253"/>
      <c r="AJ97" s="253"/>
      <c r="AK97" s="254"/>
      <c r="AL97" s="398" t="str">
        <f t="shared" si="25"/>
        <v/>
      </c>
      <c r="AM97" s="399"/>
      <c r="AN97" s="399"/>
      <c r="AO97" s="399"/>
      <c r="AP97" s="399"/>
      <c r="AQ97" s="399"/>
      <c r="AR97" s="400"/>
      <c r="AS97" s="20"/>
      <c r="BF97" s="384" t="str">
        <f t="shared" si="28"/>
        <v/>
      </c>
      <c r="BG97" s="385"/>
      <c r="BH97" s="385"/>
      <c r="BI97" s="385"/>
      <c r="BJ97" s="385"/>
      <c r="BK97" s="385"/>
      <c r="BL97" s="385"/>
      <c r="BM97" s="385"/>
      <c r="BN97" s="386"/>
      <c r="BO97" s="387" t="str">
        <f t="shared" si="29"/>
        <v/>
      </c>
      <c r="BP97" s="387"/>
      <c r="BQ97" s="387"/>
      <c r="BR97" s="387"/>
      <c r="BS97" s="387"/>
      <c r="BT97" s="387"/>
      <c r="BU97" s="387"/>
      <c r="BV97" s="387"/>
      <c r="BW97" s="387"/>
      <c r="BX97" s="349"/>
      <c r="BY97" s="334"/>
      <c r="BZ97" s="334"/>
      <c r="CA97" s="334"/>
      <c r="CB97" s="334"/>
      <c r="CC97" s="334"/>
      <c r="CD97" s="334"/>
      <c r="CE97" s="334"/>
      <c r="CF97" s="334"/>
      <c r="CG97" s="334"/>
      <c r="CH97" s="334"/>
      <c r="CI97" s="334"/>
      <c r="CJ97" s="334"/>
      <c r="CK97" s="334"/>
      <c r="CL97" s="334"/>
      <c r="CM97" s="334"/>
      <c r="CN97" s="334"/>
      <c r="CO97" s="350"/>
      <c r="CP97" s="349"/>
      <c r="CQ97" s="334"/>
      <c r="CR97" s="334"/>
      <c r="CS97" s="334"/>
      <c r="CT97" s="334"/>
      <c r="CU97" s="334"/>
      <c r="CV97" s="334"/>
      <c r="CW97" s="334"/>
      <c r="CX97" s="334"/>
      <c r="CY97" s="334"/>
      <c r="CZ97" s="334"/>
      <c r="DA97" s="334"/>
      <c r="DB97" s="334"/>
      <c r="DC97" s="334"/>
      <c r="DD97" s="334"/>
      <c r="DE97" s="334"/>
      <c r="DF97" s="334"/>
      <c r="DG97" s="350"/>
      <c r="DH97" s="349"/>
      <c r="DI97" s="334"/>
      <c r="DJ97" s="334"/>
      <c r="DK97" s="334"/>
      <c r="DL97" s="334"/>
      <c r="DM97" s="334"/>
      <c r="DN97" s="334"/>
      <c r="DO97" s="334"/>
      <c r="DP97" s="334"/>
      <c r="DQ97" s="334"/>
      <c r="DR97" s="334"/>
      <c r="DS97" s="334"/>
      <c r="DT97" s="334"/>
      <c r="DU97" s="334"/>
      <c r="DV97" s="334"/>
      <c r="DW97" s="334"/>
      <c r="DX97" s="334"/>
      <c r="DY97" s="350"/>
    </row>
    <row r="98" spans="2:129" ht="13.5" customHeight="1" thickBot="1">
      <c r="B98" s="18"/>
      <c r="C98" s="19" t="s">
        <v>500</v>
      </c>
      <c r="D98" s="19"/>
      <c r="E98" s="19"/>
      <c r="F98" s="19"/>
      <c r="G98" s="19"/>
      <c r="H98" s="395"/>
      <c r="I98" s="396"/>
      <c r="J98" s="396"/>
      <c r="K98" s="396"/>
      <c r="L98" s="396"/>
      <c r="M98" s="396"/>
      <c r="N98" s="396"/>
      <c r="O98" s="396"/>
      <c r="P98" s="396"/>
      <c r="Q98" s="396"/>
      <c r="R98" s="397"/>
      <c r="S98" s="395"/>
      <c r="T98" s="396"/>
      <c r="U98" s="396"/>
      <c r="V98" s="396"/>
      <c r="W98" s="396"/>
      <c r="X98" s="397"/>
      <c r="Y98" s="252" t="str">
        <f t="shared" si="24"/>
        <v/>
      </c>
      <c r="Z98" s="253"/>
      <c r="AA98" s="254"/>
      <c r="AB98" s="252" t="str">
        <f t="shared" si="26"/>
        <v/>
      </c>
      <c r="AC98" s="253"/>
      <c r="AD98" s="254"/>
      <c r="AE98" s="252" t="str">
        <f t="shared" si="27"/>
        <v/>
      </c>
      <c r="AF98" s="253"/>
      <c r="AG98" s="253"/>
      <c r="AH98" s="253"/>
      <c r="AI98" s="253"/>
      <c r="AJ98" s="253"/>
      <c r="AK98" s="254"/>
      <c r="AL98" s="398" t="str">
        <f t="shared" si="25"/>
        <v/>
      </c>
      <c r="AM98" s="399"/>
      <c r="AN98" s="399"/>
      <c r="AO98" s="399"/>
      <c r="AP98" s="399"/>
      <c r="AQ98" s="399"/>
      <c r="AR98" s="400"/>
      <c r="AS98" s="20"/>
      <c r="BF98" s="384" t="str">
        <f t="shared" si="28"/>
        <v/>
      </c>
      <c r="BG98" s="385"/>
      <c r="BH98" s="385"/>
      <c r="BI98" s="385"/>
      <c r="BJ98" s="385"/>
      <c r="BK98" s="385"/>
      <c r="BL98" s="385"/>
      <c r="BM98" s="385"/>
      <c r="BN98" s="386"/>
      <c r="BO98" s="387" t="str">
        <f t="shared" si="29"/>
        <v/>
      </c>
      <c r="BP98" s="387"/>
      <c r="BQ98" s="387"/>
      <c r="BR98" s="387"/>
      <c r="BS98" s="387"/>
      <c r="BT98" s="387"/>
      <c r="BU98" s="387"/>
      <c r="BV98" s="387"/>
      <c r="BW98" s="387"/>
      <c r="BX98" s="349"/>
      <c r="BY98" s="334"/>
      <c r="BZ98" s="334"/>
      <c r="CA98" s="334"/>
      <c r="CB98" s="334"/>
      <c r="CC98" s="334"/>
      <c r="CD98" s="334"/>
      <c r="CE98" s="334"/>
      <c r="CF98" s="334"/>
      <c r="CG98" s="334"/>
      <c r="CH98" s="334"/>
      <c r="CI98" s="334"/>
      <c r="CJ98" s="334"/>
      <c r="CK98" s="334"/>
      <c r="CL98" s="334"/>
      <c r="CM98" s="334"/>
      <c r="CN98" s="334"/>
      <c r="CO98" s="350"/>
      <c r="CP98" s="349"/>
      <c r="CQ98" s="334"/>
      <c r="CR98" s="334"/>
      <c r="CS98" s="334"/>
      <c r="CT98" s="334"/>
      <c r="CU98" s="334"/>
      <c r="CV98" s="334"/>
      <c r="CW98" s="334"/>
      <c r="CX98" s="334"/>
      <c r="CY98" s="334"/>
      <c r="CZ98" s="334"/>
      <c r="DA98" s="334"/>
      <c r="DB98" s="334"/>
      <c r="DC98" s="334"/>
      <c r="DD98" s="334"/>
      <c r="DE98" s="334"/>
      <c r="DF98" s="334"/>
      <c r="DG98" s="350"/>
      <c r="DH98" s="349"/>
      <c r="DI98" s="334"/>
      <c r="DJ98" s="334"/>
      <c r="DK98" s="334"/>
      <c r="DL98" s="334"/>
      <c r="DM98" s="334"/>
      <c r="DN98" s="334"/>
      <c r="DO98" s="334"/>
      <c r="DP98" s="334"/>
      <c r="DQ98" s="334"/>
      <c r="DR98" s="334"/>
      <c r="DS98" s="334"/>
      <c r="DT98" s="334"/>
      <c r="DU98" s="334"/>
      <c r="DV98" s="334"/>
      <c r="DW98" s="334"/>
      <c r="DX98" s="334"/>
      <c r="DY98" s="350"/>
    </row>
    <row r="99" spans="2:129" ht="13.5" customHeight="1" thickBot="1">
      <c r="B99" s="18"/>
      <c r="C99" s="19" t="s">
        <v>501</v>
      </c>
      <c r="D99" s="19"/>
      <c r="E99" s="19"/>
      <c r="F99" s="19"/>
      <c r="G99" s="19"/>
      <c r="H99" s="395"/>
      <c r="I99" s="396"/>
      <c r="J99" s="396"/>
      <c r="K99" s="396"/>
      <c r="L99" s="396"/>
      <c r="M99" s="396"/>
      <c r="N99" s="396"/>
      <c r="O99" s="396"/>
      <c r="P99" s="396"/>
      <c r="Q99" s="396"/>
      <c r="R99" s="397"/>
      <c r="S99" s="395"/>
      <c r="T99" s="396"/>
      <c r="U99" s="396"/>
      <c r="V99" s="396"/>
      <c r="W99" s="396"/>
      <c r="X99" s="397"/>
      <c r="Y99" s="252" t="str">
        <f t="shared" si="24"/>
        <v/>
      </c>
      <c r="Z99" s="253"/>
      <c r="AA99" s="254"/>
      <c r="AB99" s="252" t="str">
        <f t="shared" si="26"/>
        <v/>
      </c>
      <c r="AC99" s="253"/>
      <c r="AD99" s="254"/>
      <c r="AE99" s="252" t="str">
        <f t="shared" si="27"/>
        <v/>
      </c>
      <c r="AF99" s="253"/>
      <c r="AG99" s="253"/>
      <c r="AH99" s="253"/>
      <c r="AI99" s="253"/>
      <c r="AJ99" s="253"/>
      <c r="AK99" s="254"/>
      <c r="AL99" s="398" t="str">
        <f t="shared" si="25"/>
        <v/>
      </c>
      <c r="AM99" s="399"/>
      <c r="AN99" s="399"/>
      <c r="AO99" s="399"/>
      <c r="AP99" s="399"/>
      <c r="AQ99" s="399"/>
      <c r="AR99" s="400"/>
      <c r="AS99" s="20"/>
      <c r="BF99" s="384" t="str">
        <f t="shared" si="28"/>
        <v/>
      </c>
      <c r="BG99" s="385"/>
      <c r="BH99" s="385"/>
      <c r="BI99" s="385"/>
      <c r="BJ99" s="385"/>
      <c r="BK99" s="385"/>
      <c r="BL99" s="385"/>
      <c r="BM99" s="385"/>
      <c r="BN99" s="386"/>
      <c r="BO99" s="387" t="str">
        <f t="shared" si="29"/>
        <v/>
      </c>
      <c r="BP99" s="387"/>
      <c r="BQ99" s="387"/>
      <c r="BR99" s="387"/>
      <c r="BS99" s="387"/>
      <c r="BT99" s="387"/>
      <c r="BU99" s="387"/>
      <c r="BV99" s="387"/>
      <c r="BW99" s="387"/>
      <c r="BX99" s="349"/>
      <c r="BY99" s="334"/>
      <c r="BZ99" s="334"/>
      <c r="CA99" s="334"/>
      <c r="CB99" s="334"/>
      <c r="CC99" s="334"/>
      <c r="CD99" s="334"/>
      <c r="CE99" s="334"/>
      <c r="CF99" s="334"/>
      <c r="CG99" s="334"/>
      <c r="CH99" s="334"/>
      <c r="CI99" s="334"/>
      <c r="CJ99" s="334"/>
      <c r="CK99" s="334"/>
      <c r="CL99" s="334"/>
      <c r="CM99" s="334"/>
      <c r="CN99" s="334"/>
      <c r="CO99" s="350"/>
      <c r="CP99" s="349"/>
      <c r="CQ99" s="334"/>
      <c r="CR99" s="334"/>
      <c r="CS99" s="334"/>
      <c r="CT99" s="334"/>
      <c r="CU99" s="334"/>
      <c r="CV99" s="334"/>
      <c r="CW99" s="334"/>
      <c r="CX99" s="334"/>
      <c r="CY99" s="334"/>
      <c r="CZ99" s="334"/>
      <c r="DA99" s="334"/>
      <c r="DB99" s="334"/>
      <c r="DC99" s="334"/>
      <c r="DD99" s="334"/>
      <c r="DE99" s="334"/>
      <c r="DF99" s="334"/>
      <c r="DG99" s="350"/>
      <c r="DH99" s="349"/>
      <c r="DI99" s="334"/>
      <c r="DJ99" s="334"/>
      <c r="DK99" s="334"/>
      <c r="DL99" s="334"/>
      <c r="DM99" s="334"/>
      <c r="DN99" s="334"/>
      <c r="DO99" s="334"/>
      <c r="DP99" s="334"/>
      <c r="DQ99" s="334"/>
      <c r="DR99" s="334"/>
      <c r="DS99" s="334"/>
      <c r="DT99" s="334"/>
      <c r="DU99" s="334"/>
      <c r="DV99" s="334"/>
      <c r="DW99" s="334"/>
      <c r="DX99" s="334"/>
      <c r="DY99" s="350"/>
    </row>
    <row r="100" spans="2:129" ht="13.5" customHeight="1" thickBot="1">
      <c r="B100" s="18"/>
      <c r="C100" s="19" t="s">
        <v>502</v>
      </c>
      <c r="D100" s="19"/>
      <c r="E100" s="19"/>
      <c r="F100" s="19"/>
      <c r="G100" s="19"/>
      <c r="H100" s="395"/>
      <c r="I100" s="396"/>
      <c r="J100" s="396"/>
      <c r="K100" s="396"/>
      <c r="L100" s="396"/>
      <c r="M100" s="396"/>
      <c r="N100" s="396"/>
      <c r="O100" s="396"/>
      <c r="P100" s="396"/>
      <c r="Q100" s="396"/>
      <c r="R100" s="397"/>
      <c r="S100" s="395"/>
      <c r="T100" s="396"/>
      <c r="U100" s="396"/>
      <c r="V100" s="396"/>
      <c r="W100" s="396"/>
      <c r="X100" s="397"/>
      <c r="Y100" s="252" t="str">
        <f t="shared" si="24"/>
        <v/>
      </c>
      <c r="Z100" s="253"/>
      <c r="AA100" s="254"/>
      <c r="AB100" s="252" t="str">
        <f t="shared" si="26"/>
        <v/>
      </c>
      <c r="AC100" s="253"/>
      <c r="AD100" s="254"/>
      <c r="AE100" s="252" t="str">
        <f t="shared" si="27"/>
        <v/>
      </c>
      <c r="AF100" s="253"/>
      <c r="AG100" s="253"/>
      <c r="AH100" s="253"/>
      <c r="AI100" s="253"/>
      <c r="AJ100" s="253"/>
      <c r="AK100" s="254"/>
      <c r="AL100" s="398" t="str">
        <f t="shared" si="25"/>
        <v/>
      </c>
      <c r="AM100" s="399"/>
      <c r="AN100" s="399"/>
      <c r="AO100" s="399"/>
      <c r="AP100" s="399"/>
      <c r="AQ100" s="399"/>
      <c r="AR100" s="400"/>
      <c r="AS100" s="20"/>
      <c r="BF100" s="384" t="str">
        <f t="shared" si="28"/>
        <v/>
      </c>
      <c r="BG100" s="385"/>
      <c r="BH100" s="385"/>
      <c r="BI100" s="385"/>
      <c r="BJ100" s="385"/>
      <c r="BK100" s="385"/>
      <c r="BL100" s="385"/>
      <c r="BM100" s="385"/>
      <c r="BN100" s="386"/>
      <c r="BO100" s="387" t="str">
        <f t="shared" si="29"/>
        <v/>
      </c>
      <c r="BP100" s="387"/>
      <c r="BQ100" s="387"/>
      <c r="BR100" s="387"/>
      <c r="BS100" s="387"/>
      <c r="BT100" s="387"/>
      <c r="BU100" s="387"/>
      <c r="BV100" s="387"/>
      <c r="BW100" s="387"/>
      <c r="BX100" s="349"/>
      <c r="BY100" s="334"/>
      <c r="BZ100" s="334"/>
      <c r="CA100" s="334"/>
      <c r="CB100" s="334"/>
      <c r="CC100" s="334"/>
      <c r="CD100" s="334"/>
      <c r="CE100" s="334"/>
      <c r="CF100" s="334"/>
      <c r="CG100" s="334"/>
      <c r="CH100" s="334"/>
      <c r="CI100" s="334"/>
      <c r="CJ100" s="334"/>
      <c r="CK100" s="334"/>
      <c r="CL100" s="334"/>
      <c r="CM100" s="334"/>
      <c r="CN100" s="334"/>
      <c r="CO100" s="350"/>
      <c r="CP100" s="349"/>
      <c r="CQ100" s="334"/>
      <c r="CR100" s="334"/>
      <c r="CS100" s="334"/>
      <c r="CT100" s="334"/>
      <c r="CU100" s="334"/>
      <c r="CV100" s="334"/>
      <c r="CW100" s="334"/>
      <c r="CX100" s="334"/>
      <c r="CY100" s="334"/>
      <c r="CZ100" s="334"/>
      <c r="DA100" s="334"/>
      <c r="DB100" s="334"/>
      <c r="DC100" s="334"/>
      <c r="DD100" s="334"/>
      <c r="DE100" s="334"/>
      <c r="DF100" s="334"/>
      <c r="DG100" s="350"/>
      <c r="DH100" s="349"/>
      <c r="DI100" s="334"/>
      <c r="DJ100" s="334"/>
      <c r="DK100" s="334"/>
      <c r="DL100" s="334"/>
      <c r="DM100" s="334"/>
      <c r="DN100" s="334"/>
      <c r="DO100" s="334"/>
      <c r="DP100" s="334"/>
      <c r="DQ100" s="334"/>
      <c r="DR100" s="334"/>
      <c r="DS100" s="334"/>
      <c r="DT100" s="334"/>
      <c r="DU100" s="334"/>
      <c r="DV100" s="334"/>
      <c r="DW100" s="334"/>
      <c r="DX100" s="334"/>
      <c r="DY100" s="350"/>
    </row>
    <row r="101" spans="2:129" ht="13.5" customHeight="1" thickBot="1">
      <c r="B101" s="18"/>
      <c r="C101" s="19" t="s">
        <v>503</v>
      </c>
      <c r="D101" s="19"/>
      <c r="E101" s="19"/>
      <c r="F101" s="19"/>
      <c r="G101" s="19"/>
      <c r="H101" s="395"/>
      <c r="I101" s="396"/>
      <c r="J101" s="396"/>
      <c r="K101" s="396"/>
      <c r="L101" s="396"/>
      <c r="M101" s="396"/>
      <c r="N101" s="396"/>
      <c r="O101" s="396"/>
      <c r="P101" s="396"/>
      <c r="Q101" s="396"/>
      <c r="R101" s="397"/>
      <c r="S101" s="395"/>
      <c r="T101" s="396"/>
      <c r="U101" s="396"/>
      <c r="V101" s="396"/>
      <c r="W101" s="396"/>
      <c r="X101" s="397"/>
      <c r="Y101" s="252" t="str">
        <f t="shared" si="24"/>
        <v/>
      </c>
      <c r="Z101" s="253"/>
      <c r="AA101" s="254"/>
      <c r="AB101" s="252" t="str">
        <f t="shared" si="26"/>
        <v/>
      </c>
      <c r="AC101" s="253"/>
      <c r="AD101" s="254"/>
      <c r="AE101" s="252" t="str">
        <f t="shared" si="27"/>
        <v/>
      </c>
      <c r="AF101" s="253"/>
      <c r="AG101" s="253"/>
      <c r="AH101" s="253"/>
      <c r="AI101" s="253"/>
      <c r="AJ101" s="253"/>
      <c r="AK101" s="254"/>
      <c r="AL101" s="398" t="str">
        <f t="shared" si="25"/>
        <v/>
      </c>
      <c r="AM101" s="399"/>
      <c r="AN101" s="399"/>
      <c r="AO101" s="399"/>
      <c r="AP101" s="399"/>
      <c r="AQ101" s="399"/>
      <c r="AR101" s="400"/>
      <c r="AS101" s="20"/>
      <c r="BF101" s="384" t="str">
        <f t="shared" si="28"/>
        <v/>
      </c>
      <c r="BG101" s="385"/>
      <c r="BH101" s="385"/>
      <c r="BI101" s="385"/>
      <c r="BJ101" s="385"/>
      <c r="BK101" s="385"/>
      <c r="BL101" s="385"/>
      <c r="BM101" s="385"/>
      <c r="BN101" s="386"/>
      <c r="BO101" s="387" t="str">
        <f t="shared" si="29"/>
        <v/>
      </c>
      <c r="BP101" s="387"/>
      <c r="BQ101" s="387"/>
      <c r="BR101" s="387"/>
      <c r="BS101" s="387"/>
      <c r="BT101" s="387"/>
      <c r="BU101" s="387"/>
      <c r="BV101" s="387"/>
      <c r="BW101" s="387"/>
      <c r="BX101" s="349"/>
      <c r="BY101" s="334"/>
      <c r="BZ101" s="334"/>
      <c r="CA101" s="334"/>
      <c r="CB101" s="334"/>
      <c r="CC101" s="334"/>
      <c r="CD101" s="334"/>
      <c r="CE101" s="334"/>
      <c r="CF101" s="334"/>
      <c r="CG101" s="334"/>
      <c r="CH101" s="334"/>
      <c r="CI101" s="334"/>
      <c r="CJ101" s="334"/>
      <c r="CK101" s="334"/>
      <c r="CL101" s="334"/>
      <c r="CM101" s="334"/>
      <c r="CN101" s="334"/>
      <c r="CO101" s="350"/>
      <c r="CP101" s="349"/>
      <c r="CQ101" s="334"/>
      <c r="CR101" s="334"/>
      <c r="CS101" s="334"/>
      <c r="CT101" s="334"/>
      <c r="CU101" s="334"/>
      <c r="CV101" s="334"/>
      <c r="CW101" s="334"/>
      <c r="CX101" s="334"/>
      <c r="CY101" s="334"/>
      <c r="CZ101" s="334"/>
      <c r="DA101" s="334"/>
      <c r="DB101" s="334"/>
      <c r="DC101" s="334"/>
      <c r="DD101" s="334"/>
      <c r="DE101" s="334"/>
      <c r="DF101" s="334"/>
      <c r="DG101" s="350"/>
      <c r="DH101" s="349"/>
      <c r="DI101" s="334"/>
      <c r="DJ101" s="334"/>
      <c r="DK101" s="334"/>
      <c r="DL101" s="334"/>
      <c r="DM101" s="334"/>
      <c r="DN101" s="334"/>
      <c r="DO101" s="334"/>
      <c r="DP101" s="334"/>
      <c r="DQ101" s="334"/>
      <c r="DR101" s="334"/>
      <c r="DS101" s="334"/>
      <c r="DT101" s="334"/>
      <c r="DU101" s="334"/>
      <c r="DV101" s="334"/>
      <c r="DW101" s="334"/>
      <c r="DX101" s="334"/>
      <c r="DY101" s="350"/>
    </row>
    <row r="102" spans="2:129" ht="13.5" customHeight="1" thickBot="1">
      <c r="B102" s="18"/>
      <c r="C102" s="19" t="s">
        <v>504</v>
      </c>
      <c r="D102" s="19"/>
      <c r="E102" s="19"/>
      <c r="F102" s="19"/>
      <c r="G102" s="19"/>
      <c r="H102" s="395"/>
      <c r="I102" s="396"/>
      <c r="J102" s="396"/>
      <c r="K102" s="396"/>
      <c r="L102" s="396"/>
      <c r="M102" s="396"/>
      <c r="N102" s="396"/>
      <c r="O102" s="396"/>
      <c r="P102" s="396"/>
      <c r="Q102" s="396"/>
      <c r="R102" s="397"/>
      <c r="S102" s="395"/>
      <c r="T102" s="396"/>
      <c r="U102" s="396"/>
      <c r="V102" s="396"/>
      <c r="W102" s="396"/>
      <c r="X102" s="397"/>
      <c r="Y102" s="252" t="str">
        <f t="shared" si="24"/>
        <v/>
      </c>
      <c r="Z102" s="253"/>
      <c r="AA102" s="254"/>
      <c r="AB102" s="252" t="str">
        <f t="shared" si="26"/>
        <v/>
      </c>
      <c r="AC102" s="253"/>
      <c r="AD102" s="254"/>
      <c r="AE102" s="252" t="str">
        <f t="shared" si="27"/>
        <v/>
      </c>
      <c r="AF102" s="253"/>
      <c r="AG102" s="253"/>
      <c r="AH102" s="253"/>
      <c r="AI102" s="253"/>
      <c r="AJ102" s="253"/>
      <c r="AK102" s="254"/>
      <c r="AL102" s="398" t="str">
        <f t="shared" si="25"/>
        <v/>
      </c>
      <c r="AM102" s="399"/>
      <c r="AN102" s="399"/>
      <c r="AO102" s="399"/>
      <c r="AP102" s="399"/>
      <c r="AQ102" s="399"/>
      <c r="AR102" s="400"/>
      <c r="AS102" s="20"/>
      <c r="BF102" s="384" t="str">
        <f t="shared" si="28"/>
        <v/>
      </c>
      <c r="BG102" s="385"/>
      <c r="BH102" s="385"/>
      <c r="BI102" s="385"/>
      <c r="BJ102" s="385"/>
      <c r="BK102" s="385"/>
      <c r="BL102" s="385"/>
      <c r="BM102" s="385"/>
      <c r="BN102" s="386"/>
      <c r="BO102" s="387" t="str">
        <f t="shared" si="29"/>
        <v/>
      </c>
      <c r="BP102" s="387"/>
      <c r="BQ102" s="387"/>
      <c r="BR102" s="387"/>
      <c r="BS102" s="387"/>
      <c r="BT102" s="387"/>
      <c r="BU102" s="387"/>
      <c r="BV102" s="387"/>
      <c r="BW102" s="387"/>
      <c r="BX102" s="349"/>
      <c r="BY102" s="334"/>
      <c r="BZ102" s="334"/>
      <c r="CA102" s="334"/>
      <c r="CB102" s="334"/>
      <c r="CC102" s="334"/>
      <c r="CD102" s="334"/>
      <c r="CE102" s="334"/>
      <c r="CF102" s="334"/>
      <c r="CG102" s="334"/>
      <c r="CH102" s="334"/>
      <c r="CI102" s="334"/>
      <c r="CJ102" s="334"/>
      <c r="CK102" s="334"/>
      <c r="CL102" s="334"/>
      <c r="CM102" s="334"/>
      <c r="CN102" s="334"/>
      <c r="CO102" s="350"/>
      <c r="CP102" s="349"/>
      <c r="CQ102" s="334"/>
      <c r="CR102" s="334"/>
      <c r="CS102" s="334"/>
      <c r="CT102" s="334"/>
      <c r="CU102" s="334"/>
      <c r="CV102" s="334"/>
      <c r="CW102" s="334"/>
      <c r="CX102" s="334"/>
      <c r="CY102" s="334"/>
      <c r="CZ102" s="334"/>
      <c r="DA102" s="334"/>
      <c r="DB102" s="334"/>
      <c r="DC102" s="334"/>
      <c r="DD102" s="334"/>
      <c r="DE102" s="334"/>
      <c r="DF102" s="334"/>
      <c r="DG102" s="350"/>
      <c r="DH102" s="349"/>
      <c r="DI102" s="334"/>
      <c r="DJ102" s="334"/>
      <c r="DK102" s="334"/>
      <c r="DL102" s="334"/>
      <c r="DM102" s="334"/>
      <c r="DN102" s="334"/>
      <c r="DO102" s="334"/>
      <c r="DP102" s="334"/>
      <c r="DQ102" s="334"/>
      <c r="DR102" s="334"/>
      <c r="DS102" s="334"/>
      <c r="DT102" s="334"/>
      <c r="DU102" s="334"/>
      <c r="DV102" s="334"/>
      <c r="DW102" s="334"/>
      <c r="DX102" s="334"/>
      <c r="DY102" s="350"/>
    </row>
    <row r="103" spans="2:129" ht="13.5" customHeight="1" thickBot="1">
      <c r="B103" s="18"/>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20"/>
      <c r="BX103" s="349"/>
      <c r="BY103" s="334"/>
      <c r="BZ103" s="334"/>
      <c r="CA103" s="334"/>
      <c r="CB103" s="334"/>
      <c r="CC103" s="334"/>
      <c r="CD103" s="334"/>
      <c r="CE103" s="334"/>
      <c r="CF103" s="334"/>
      <c r="CG103" s="334"/>
      <c r="CH103" s="334"/>
      <c r="CI103" s="334"/>
      <c r="CJ103" s="334"/>
      <c r="CK103" s="334"/>
      <c r="CL103" s="334"/>
      <c r="CM103" s="334"/>
      <c r="CN103" s="334"/>
      <c r="CO103" s="350"/>
      <c r="CP103" s="349"/>
      <c r="CQ103" s="334"/>
      <c r="CR103" s="334"/>
      <c r="CS103" s="334"/>
      <c r="CT103" s="334"/>
      <c r="CU103" s="334"/>
      <c r="CV103" s="334"/>
      <c r="CW103" s="334"/>
      <c r="CX103" s="334"/>
      <c r="CY103" s="334"/>
      <c r="CZ103" s="334"/>
      <c r="DA103" s="334"/>
      <c r="DB103" s="334"/>
      <c r="DC103" s="334"/>
      <c r="DD103" s="334"/>
      <c r="DE103" s="334"/>
      <c r="DF103" s="334"/>
      <c r="DG103" s="350"/>
      <c r="DH103" s="349"/>
      <c r="DI103" s="334"/>
      <c r="DJ103" s="334"/>
      <c r="DK103" s="334"/>
      <c r="DL103" s="334"/>
      <c r="DM103" s="334"/>
      <c r="DN103" s="334"/>
      <c r="DO103" s="334"/>
      <c r="DP103" s="334"/>
      <c r="DQ103" s="334"/>
      <c r="DR103" s="334"/>
      <c r="DS103" s="334"/>
      <c r="DT103" s="334"/>
      <c r="DU103" s="334"/>
      <c r="DV103" s="334"/>
      <c r="DW103" s="334"/>
      <c r="DX103" s="334"/>
      <c r="DY103" s="350"/>
    </row>
    <row r="104" spans="2:129" ht="13.5" customHeight="1" thickBot="1">
      <c r="B104" s="18"/>
      <c r="C104" s="388" t="s">
        <v>525</v>
      </c>
      <c r="D104" s="388"/>
      <c r="E104" s="388"/>
      <c r="F104" s="388"/>
      <c r="G104" s="388"/>
      <c r="H104" s="389"/>
      <c r="I104" s="390"/>
      <c r="J104" s="390"/>
      <c r="K104" s="390"/>
      <c r="L104" s="390"/>
      <c r="M104" s="390"/>
      <c r="N104" s="390"/>
      <c r="O104" s="390"/>
      <c r="P104" s="390"/>
      <c r="Q104" s="390"/>
      <c r="R104" s="390"/>
      <c r="S104" s="390"/>
      <c r="T104" s="390"/>
      <c r="U104" s="390"/>
      <c r="V104" s="390"/>
      <c r="W104" s="390"/>
      <c r="X104" s="390"/>
      <c r="Y104" s="390"/>
      <c r="Z104" s="390"/>
      <c r="AA104" s="390"/>
      <c r="AB104" s="390"/>
      <c r="AC104" s="390"/>
      <c r="AD104" s="390"/>
      <c r="AE104" s="390"/>
      <c r="AF104" s="390"/>
      <c r="AG104" s="390"/>
      <c r="AH104" s="390"/>
      <c r="AI104" s="391"/>
      <c r="AJ104" s="19"/>
      <c r="AK104" s="19" t="s">
        <v>526</v>
      </c>
      <c r="AL104" s="19"/>
      <c r="AM104" s="19"/>
      <c r="AN104" s="19"/>
      <c r="AO104" s="252" t="str">
        <f>IF(H92="","",SUM(Y93:AA102))</f>
        <v/>
      </c>
      <c r="AP104" s="253"/>
      <c r="AQ104" s="253"/>
      <c r="AR104" s="254"/>
      <c r="AS104" s="20"/>
      <c r="BX104" s="349"/>
      <c r="BY104" s="334"/>
      <c r="BZ104" s="334"/>
      <c r="CA104" s="334"/>
      <c r="CB104" s="334"/>
      <c r="CC104" s="334"/>
      <c r="CD104" s="334"/>
      <c r="CE104" s="334"/>
      <c r="CF104" s="334"/>
      <c r="CG104" s="334"/>
      <c r="CH104" s="334"/>
      <c r="CI104" s="334"/>
      <c r="CJ104" s="334"/>
      <c r="CK104" s="334"/>
      <c r="CL104" s="334"/>
      <c r="CM104" s="334"/>
      <c r="CN104" s="334"/>
      <c r="CO104" s="350"/>
      <c r="CP104" s="349"/>
      <c r="CQ104" s="334"/>
      <c r="CR104" s="334"/>
      <c r="CS104" s="334"/>
      <c r="CT104" s="334"/>
      <c r="CU104" s="334"/>
      <c r="CV104" s="334"/>
      <c r="CW104" s="334"/>
      <c r="CX104" s="334"/>
      <c r="CY104" s="334"/>
      <c r="CZ104" s="334"/>
      <c r="DA104" s="334"/>
      <c r="DB104" s="334"/>
      <c r="DC104" s="334"/>
      <c r="DD104" s="334"/>
      <c r="DE104" s="334"/>
      <c r="DF104" s="334"/>
      <c r="DG104" s="350"/>
      <c r="DH104" s="349"/>
      <c r="DI104" s="334"/>
      <c r="DJ104" s="334"/>
      <c r="DK104" s="334"/>
      <c r="DL104" s="334"/>
      <c r="DM104" s="334"/>
      <c r="DN104" s="334"/>
      <c r="DO104" s="334"/>
      <c r="DP104" s="334"/>
      <c r="DQ104" s="334"/>
      <c r="DR104" s="334"/>
      <c r="DS104" s="334"/>
      <c r="DT104" s="334"/>
      <c r="DU104" s="334"/>
      <c r="DV104" s="334"/>
      <c r="DW104" s="334"/>
      <c r="DX104" s="334"/>
      <c r="DY104" s="350"/>
    </row>
    <row r="105" spans="2:129" ht="13.5" customHeight="1" thickBot="1">
      <c r="B105" s="18"/>
      <c r="C105" s="388"/>
      <c r="D105" s="388"/>
      <c r="E105" s="388"/>
      <c r="F105" s="388"/>
      <c r="G105" s="388"/>
      <c r="H105" s="392"/>
      <c r="I105" s="393"/>
      <c r="J105" s="393"/>
      <c r="K105" s="393"/>
      <c r="L105" s="393"/>
      <c r="M105" s="393"/>
      <c r="N105" s="393"/>
      <c r="O105" s="393"/>
      <c r="P105" s="393"/>
      <c r="Q105" s="393"/>
      <c r="R105" s="393"/>
      <c r="S105" s="393"/>
      <c r="T105" s="393"/>
      <c r="U105" s="393"/>
      <c r="V105" s="393"/>
      <c r="W105" s="393"/>
      <c r="X105" s="393"/>
      <c r="Y105" s="393"/>
      <c r="Z105" s="393"/>
      <c r="AA105" s="393"/>
      <c r="AB105" s="393"/>
      <c r="AC105" s="393"/>
      <c r="AD105" s="393"/>
      <c r="AE105" s="393"/>
      <c r="AF105" s="393"/>
      <c r="AG105" s="393"/>
      <c r="AH105" s="393"/>
      <c r="AI105" s="394"/>
      <c r="AJ105" s="19"/>
      <c r="AK105" s="19"/>
      <c r="AL105" s="19"/>
      <c r="AM105" s="19"/>
      <c r="AN105" s="19"/>
      <c r="AO105" s="19"/>
      <c r="AP105" s="19"/>
      <c r="AQ105" s="19"/>
      <c r="AR105" s="19"/>
      <c r="AS105" s="20"/>
      <c r="BX105" s="351"/>
      <c r="BY105" s="352"/>
      <c r="BZ105" s="352"/>
      <c r="CA105" s="352"/>
      <c r="CB105" s="352"/>
      <c r="CC105" s="352"/>
      <c r="CD105" s="352"/>
      <c r="CE105" s="352"/>
      <c r="CF105" s="352"/>
      <c r="CG105" s="352"/>
      <c r="CH105" s="352"/>
      <c r="CI105" s="352"/>
      <c r="CJ105" s="352"/>
      <c r="CK105" s="352"/>
      <c r="CL105" s="352"/>
      <c r="CM105" s="352"/>
      <c r="CN105" s="352"/>
      <c r="CO105" s="353"/>
      <c r="CP105" s="351"/>
      <c r="CQ105" s="352"/>
      <c r="CR105" s="352"/>
      <c r="CS105" s="352"/>
      <c r="CT105" s="352"/>
      <c r="CU105" s="352"/>
      <c r="CV105" s="352"/>
      <c r="CW105" s="352"/>
      <c r="CX105" s="352"/>
      <c r="CY105" s="352"/>
      <c r="CZ105" s="352"/>
      <c r="DA105" s="352"/>
      <c r="DB105" s="352"/>
      <c r="DC105" s="352"/>
      <c r="DD105" s="352"/>
      <c r="DE105" s="352"/>
      <c r="DF105" s="352"/>
      <c r="DG105" s="353"/>
      <c r="DH105" s="351"/>
      <c r="DI105" s="352"/>
      <c r="DJ105" s="352"/>
      <c r="DK105" s="352"/>
      <c r="DL105" s="352"/>
      <c r="DM105" s="352"/>
      <c r="DN105" s="352"/>
      <c r="DO105" s="352"/>
      <c r="DP105" s="352"/>
      <c r="DQ105" s="352"/>
      <c r="DR105" s="352"/>
      <c r="DS105" s="352"/>
      <c r="DT105" s="352"/>
      <c r="DU105" s="352"/>
      <c r="DV105" s="352"/>
      <c r="DW105" s="352"/>
      <c r="DX105" s="352"/>
      <c r="DY105" s="353"/>
    </row>
    <row r="106" spans="2:129" ht="13.5" customHeight="1" thickBo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3"/>
    </row>
    <row r="107" spans="2:129" ht="13.5" customHeight="1" thickBot="1"/>
    <row r="108" spans="2:129" ht="13.5" customHeight="1" thickBot="1">
      <c r="B108" s="15"/>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7"/>
      <c r="BF108" s="12" t="s">
        <v>620</v>
      </c>
      <c r="BO108" s="12" t="s">
        <v>621</v>
      </c>
      <c r="CG108" s="44"/>
      <c r="CH108" s="44"/>
      <c r="CI108" s="44"/>
      <c r="CJ108" s="44"/>
      <c r="CK108" s="44"/>
      <c r="CL108" s="44"/>
      <c r="CM108" s="44"/>
      <c r="CN108" s="44"/>
      <c r="CO108" s="44"/>
    </row>
    <row r="109" spans="2:129" ht="13.5" customHeight="1" thickBot="1">
      <c r="B109" s="18"/>
      <c r="C109" s="19" t="s">
        <v>385</v>
      </c>
      <c r="D109" s="19"/>
      <c r="E109" s="19"/>
      <c r="F109" s="19"/>
      <c r="G109" s="19"/>
      <c r="H109" s="249"/>
      <c r="I109" s="250"/>
      <c r="J109" s="250"/>
      <c r="K109" s="250"/>
      <c r="L109" s="250"/>
      <c r="M109" s="250"/>
      <c r="N109" s="250"/>
      <c r="O109" s="250"/>
      <c r="P109" s="250"/>
      <c r="Q109" s="250"/>
      <c r="R109" s="251"/>
      <c r="S109" s="401" t="s">
        <v>505</v>
      </c>
      <c r="T109" s="262"/>
      <c r="U109" s="262"/>
      <c r="V109" s="262"/>
      <c r="W109" s="262"/>
      <c r="X109" s="262"/>
      <c r="Y109" s="269" t="s">
        <v>37</v>
      </c>
      <c r="Z109" s="269"/>
      <c r="AA109" s="269"/>
      <c r="AB109" s="269" t="s">
        <v>36</v>
      </c>
      <c r="AC109" s="269"/>
      <c r="AD109" s="269"/>
      <c r="AE109" s="269" t="s">
        <v>506</v>
      </c>
      <c r="AF109" s="269"/>
      <c r="AG109" s="269"/>
      <c r="AH109" s="269"/>
      <c r="AI109" s="269"/>
      <c r="AJ109" s="269"/>
      <c r="AK109" s="269"/>
      <c r="AL109" s="269" t="s">
        <v>507</v>
      </c>
      <c r="AM109" s="269"/>
      <c r="AN109" s="269"/>
      <c r="AO109" s="269"/>
      <c r="AP109" s="269"/>
      <c r="AQ109" s="269"/>
      <c r="AR109" s="269"/>
      <c r="AS109" s="20"/>
      <c r="BF109" s="384" t="str">
        <f>IF(H109="","",H109&amp;IF(H121="",""," ["&amp;H121&amp;"]"))</f>
        <v/>
      </c>
      <c r="BG109" s="385"/>
      <c r="BH109" s="385"/>
      <c r="BI109" s="385"/>
      <c r="BJ109" s="385"/>
      <c r="BK109" s="385"/>
      <c r="BL109" s="385"/>
      <c r="BM109" s="385"/>
      <c r="BN109" s="386"/>
      <c r="BO109" s="371"/>
      <c r="BP109" s="371"/>
      <c r="BQ109" s="371"/>
      <c r="BR109" s="371"/>
      <c r="BS109" s="371"/>
      <c r="BT109" s="371"/>
      <c r="BU109" s="371"/>
      <c r="BV109" s="371"/>
      <c r="BW109" s="371"/>
      <c r="BX109" s="346" t="str">
        <f>IF(BF109="","",CHAR(10)&amp;CHAR(149)&amp;" "&amp;BF109&amp;CHAR(10)&amp;BO119)</f>
        <v/>
      </c>
      <c r="BY109" s="347"/>
      <c r="BZ109" s="347"/>
      <c r="CA109" s="347"/>
      <c r="CB109" s="347"/>
      <c r="CC109" s="347"/>
      <c r="CD109" s="347"/>
      <c r="CE109" s="347"/>
      <c r="CF109" s="347"/>
      <c r="CG109" s="347"/>
      <c r="CH109" s="347"/>
      <c r="CI109" s="347"/>
      <c r="CJ109" s="347"/>
      <c r="CK109" s="347"/>
      <c r="CL109" s="347"/>
      <c r="CM109" s="347"/>
      <c r="CN109" s="347"/>
      <c r="CO109" s="348"/>
      <c r="CP109" s="346" t="str">
        <f>IF($BF109="","",CHAR(10)&amp;"[b]"&amp;$BF109&amp;": [/b]"&amp;CHAR(10)&amp;$BO119&amp;CHAR(10)&amp;"("&amp;AO121&amp;" points)")</f>
        <v/>
      </c>
      <c r="CQ109" s="347"/>
      <c r="CR109" s="347"/>
      <c r="CS109" s="347"/>
      <c r="CT109" s="347"/>
      <c r="CU109" s="347"/>
      <c r="CV109" s="347"/>
      <c r="CW109" s="347"/>
      <c r="CX109" s="347"/>
      <c r="CY109" s="347"/>
      <c r="CZ109" s="347"/>
      <c r="DA109" s="347"/>
      <c r="DB109" s="347"/>
      <c r="DC109" s="347"/>
      <c r="DD109" s="347"/>
      <c r="DE109" s="347"/>
      <c r="DF109" s="347"/>
      <c r="DG109" s="348"/>
      <c r="DH109" s="346" t="str">
        <f>IF($BF109="","",CHAR(10)&amp;"**"&amp;$BF109&amp;":**"&amp;CHAR(10)&amp;$BO119&amp;CHAR(10)&amp;"("&amp;$AO121&amp;" points)")</f>
        <v/>
      </c>
      <c r="DI109" s="347"/>
      <c r="DJ109" s="347"/>
      <c r="DK109" s="347"/>
      <c r="DL109" s="347"/>
      <c r="DM109" s="347"/>
      <c r="DN109" s="347"/>
      <c r="DO109" s="347"/>
      <c r="DP109" s="347"/>
      <c r="DQ109" s="347"/>
      <c r="DR109" s="347"/>
      <c r="DS109" s="347"/>
      <c r="DT109" s="347"/>
      <c r="DU109" s="347"/>
      <c r="DV109" s="347"/>
      <c r="DW109" s="347"/>
      <c r="DX109" s="347"/>
      <c r="DY109" s="348"/>
    </row>
    <row r="110" spans="2:129" ht="13.5" customHeight="1" thickBot="1">
      <c r="B110" s="18"/>
      <c r="C110" s="19" t="s">
        <v>495</v>
      </c>
      <c r="D110" s="19"/>
      <c r="E110" s="19"/>
      <c r="F110" s="19"/>
      <c r="G110" s="19"/>
      <c r="H110" s="395"/>
      <c r="I110" s="396"/>
      <c r="J110" s="396"/>
      <c r="K110" s="396"/>
      <c r="L110" s="396"/>
      <c r="M110" s="396"/>
      <c r="N110" s="396"/>
      <c r="O110" s="396"/>
      <c r="P110" s="396"/>
      <c r="Q110" s="396"/>
      <c r="R110" s="397"/>
      <c r="S110" s="395"/>
      <c r="T110" s="396"/>
      <c r="U110" s="396"/>
      <c r="V110" s="396"/>
      <c r="W110" s="396"/>
      <c r="X110" s="397"/>
      <c r="Y110" s="252" t="str">
        <f t="shared" ref="Y110:Y119" si="30">IF($H110="","",IF($S110="Normal",VLOOKUP($H110,ComponentMatrix,7,FALSE),IF($S110="Alternate",1,IF($S110="Dynamic",2,IF($S110="None",0,"")))))</f>
        <v/>
      </c>
      <c r="Z110" s="253"/>
      <c r="AA110" s="254"/>
      <c r="AB110" s="252" t="str">
        <f>IF($H110="","",VLOOKUP($H110,ComponentMatrix,5,FALSE))</f>
        <v/>
      </c>
      <c r="AC110" s="253"/>
      <c r="AD110" s="254"/>
      <c r="AE110" s="252" t="str">
        <f>IF($H110="","",VLOOKUP($H110,ComponentMatrix,9,FALSE))</f>
        <v/>
      </c>
      <c r="AF110" s="253"/>
      <c r="AG110" s="253"/>
      <c r="AH110" s="253"/>
      <c r="AI110" s="253"/>
      <c r="AJ110" s="253"/>
      <c r="AK110" s="254"/>
      <c r="AL110" s="398" t="str">
        <f t="shared" ref="AL110:AL119" si="31">IF($H110="","",VLOOKUP($H110,ComponentMatrix,15,FALSE))</f>
        <v/>
      </c>
      <c r="AM110" s="399"/>
      <c r="AN110" s="399"/>
      <c r="AO110" s="399"/>
      <c r="AP110" s="399"/>
      <c r="AQ110" s="399"/>
      <c r="AR110" s="400"/>
      <c r="AS110" s="20"/>
      <c r="BF110" s="384" t="str">
        <f>IF(H110="","",IF(S110="Alternate","Alt: ","")&amp;IF(S110="Dynamic","Dyn: ","")&amp;IF(H110=AE110,AE110&amp;" "&amp;AB110&amp;IF(AL110="",""," ["&amp;AL110&amp;"]"),IF(AE110="Custom",H110&amp;" ("&amp;Y110&amp;" points)"&amp;CHAR(10),H110&amp;": "&amp;AE110&amp;" "&amp;AB110&amp;IF(AL110="",""," ["&amp;AL110&amp;"]"))))</f>
        <v/>
      </c>
      <c r="BG110" s="385"/>
      <c r="BH110" s="385"/>
      <c r="BI110" s="385"/>
      <c r="BJ110" s="385"/>
      <c r="BK110" s="385"/>
      <c r="BL110" s="385"/>
      <c r="BM110" s="385"/>
      <c r="BN110" s="386"/>
      <c r="BO110" s="371" t="str">
        <f>IF(BF110="","","     "&amp;BF110)</f>
        <v/>
      </c>
      <c r="BP110" s="371"/>
      <c r="BQ110" s="371"/>
      <c r="BR110" s="371"/>
      <c r="BS110" s="371"/>
      <c r="BT110" s="371"/>
      <c r="BU110" s="371"/>
      <c r="BV110" s="371"/>
      <c r="BW110" s="371"/>
      <c r="BX110" s="349"/>
      <c r="BY110" s="334"/>
      <c r="BZ110" s="334"/>
      <c r="CA110" s="334"/>
      <c r="CB110" s="334"/>
      <c r="CC110" s="334"/>
      <c r="CD110" s="334"/>
      <c r="CE110" s="334"/>
      <c r="CF110" s="334"/>
      <c r="CG110" s="334"/>
      <c r="CH110" s="334"/>
      <c r="CI110" s="334"/>
      <c r="CJ110" s="334"/>
      <c r="CK110" s="334"/>
      <c r="CL110" s="334"/>
      <c r="CM110" s="334"/>
      <c r="CN110" s="334"/>
      <c r="CO110" s="350"/>
      <c r="CP110" s="349"/>
      <c r="CQ110" s="334"/>
      <c r="CR110" s="334"/>
      <c r="CS110" s="334"/>
      <c r="CT110" s="334"/>
      <c r="CU110" s="334"/>
      <c r="CV110" s="334"/>
      <c r="CW110" s="334"/>
      <c r="CX110" s="334"/>
      <c r="CY110" s="334"/>
      <c r="CZ110" s="334"/>
      <c r="DA110" s="334"/>
      <c r="DB110" s="334"/>
      <c r="DC110" s="334"/>
      <c r="DD110" s="334"/>
      <c r="DE110" s="334"/>
      <c r="DF110" s="334"/>
      <c r="DG110" s="350"/>
      <c r="DH110" s="349"/>
      <c r="DI110" s="334"/>
      <c r="DJ110" s="334"/>
      <c r="DK110" s="334"/>
      <c r="DL110" s="334"/>
      <c r="DM110" s="334"/>
      <c r="DN110" s="334"/>
      <c r="DO110" s="334"/>
      <c r="DP110" s="334"/>
      <c r="DQ110" s="334"/>
      <c r="DR110" s="334"/>
      <c r="DS110" s="334"/>
      <c r="DT110" s="334"/>
      <c r="DU110" s="334"/>
      <c r="DV110" s="334"/>
      <c r="DW110" s="334"/>
      <c r="DX110" s="334"/>
      <c r="DY110" s="350"/>
    </row>
    <row r="111" spans="2:129" ht="13.5" customHeight="1" thickBot="1">
      <c r="B111" s="18"/>
      <c r="C111" s="19" t="s">
        <v>496</v>
      </c>
      <c r="D111" s="19"/>
      <c r="E111" s="19"/>
      <c r="F111" s="19"/>
      <c r="G111" s="19"/>
      <c r="H111" s="395"/>
      <c r="I111" s="396"/>
      <c r="J111" s="396"/>
      <c r="K111" s="396"/>
      <c r="L111" s="396"/>
      <c r="M111" s="396"/>
      <c r="N111" s="396"/>
      <c r="O111" s="396"/>
      <c r="P111" s="396"/>
      <c r="Q111" s="396"/>
      <c r="R111" s="397"/>
      <c r="S111" s="395"/>
      <c r="T111" s="396"/>
      <c r="U111" s="396"/>
      <c r="V111" s="396"/>
      <c r="W111" s="396"/>
      <c r="X111" s="397"/>
      <c r="Y111" s="252" t="str">
        <f t="shared" si="30"/>
        <v/>
      </c>
      <c r="Z111" s="253"/>
      <c r="AA111" s="254"/>
      <c r="AB111" s="252" t="str">
        <f t="shared" ref="AB111:AB119" si="32">IF(H111="","",VLOOKUP(H111,ComponentMatrix,5,FALSE))</f>
        <v/>
      </c>
      <c r="AC111" s="253"/>
      <c r="AD111" s="254"/>
      <c r="AE111" s="252" t="str">
        <f t="shared" ref="AE111:AE119" si="33">IF(H111="","",VLOOKUP(H111,ComponentMatrix,9,FALSE))</f>
        <v/>
      </c>
      <c r="AF111" s="253"/>
      <c r="AG111" s="253"/>
      <c r="AH111" s="253"/>
      <c r="AI111" s="253"/>
      <c r="AJ111" s="253"/>
      <c r="AK111" s="254"/>
      <c r="AL111" s="398" t="str">
        <f t="shared" si="31"/>
        <v/>
      </c>
      <c r="AM111" s="399"/>
      <c r="AN111" s="399"/>
      <c r="AO111" s="399"/>
      <c r="AP111" s="399"/>
      <c r="AQ111" s="399"/>
      <c r="AR111" s="400"/>
      <c r="AS111" s="20"/>
      <c r="BF111" s="384" t="str">
        <f t="shared" ref="BF111:BF119" si="34">IF(H111="","",IF(S111="Alternate","Alt: ","")&amp;IF(S111="Dynamic","Dyn: ","")&amp;IF(H111=AE111,AE111&amp;" "&amp;AB111&amp;IF(AL111="",""," ["&amp;AL111&amp;"]"),IF(AE111="Custom",H111&amp;" ("&amp;Y111&amp;" points)"&amp;CHAR(10),H111&amp;": "&amp;AE111&amp;" "&amp;AB111&amp;IF(AL111="",""," ["&amp;AL111&amp;"]"))))</f>
        <v/>
      </c>
      <c r="BG111" s="385"/>
      <c r="BH111" s="385"/>
      <c r="BI111" s="385"/>
      <c r="BJ111" s="385"/>
      <c r="BK111" s="385"/>
      <c r="BL111" s="385"/>
      <c r="BM111" s="385"/>
      <c r="BN111" s="386"/>
      <c r="BO111" s="387" t="str">
        <f>BO110&amp;IF(AE110="Custom","     "&amp;BF111,IF(S111="None",", "&amp;BF111,"")&amp;IF(OR(S111="Alternate",S111="Dynamic"),CHAR(10)&amp;"     "&amp;BF111,"")&amp;IF(S111="Normal",IF(OR(S110="Alternate",S110="Dynamic",S110="None"),CHAR(10)&amp;"     "&amp;BF111,", "&amp;BF111),""))</f>
        <v/>
      </c>
      <c r="BP111" s="387"/>
      <c r="BQ111" s="387"/>
      <c r="BR111" s="387"/>
      <c r="BS111" s="387"/>
      <c r="BT111" s="387"/>
      <c r="BU111" s="387"/>
      <c r="BV111" s="387"/>
      <c r="BW111" s="387"/>
      <c r="BX111" s="349"/>
      <c r="BY111" s="334"/>
      <c r="BZ111" s="334"/>
      <c r="CA111" s="334"/>
      <c r="CB111" s="334"/>
      <c r="CC111" s="334"/>
      <c r="CD111" s="334"/>
      <c r="CE111" s="334"/>
      <c r="CF111" s="334"/>
      <c r="CG111" s="334"/>
      <c r="CH111" s="334"/>
      <c r="CI111" s="334"/>
      <c r="CJ111" s="334"/>
      <c r="CK111" s="334"/>
      <c r="CL111" s="334"/>
      <c r="CM111" s="334"/>
      <c r="CN111" s="334"/>
      <c r="CO111" s="350"/>
      <c r="CP111" s="349"/>
      <c r="CQ111" s="334"/>
      <c r="CR111" s="334"/>
      <c r="CS111" s="334"/>
      <c r="CT111" s="334"/>
      <c r="CU111" s="334"/>
      <c r="CV111" s="334"/>
      <c r="CW111" s="334"/>
      <c r="CX111" s="334"/>
      <c r="CY111" s="334"/>
      <c r="CZ111" s="334"/>
      <c r="DA111" s="334"/>
      <c r="DB111" s="334"/>
      <c r="DC111" s="334"/>
      <c r="DD111" s="334"/>
      <c r="DE111" s="334"/>
      <c r="DF111" s="334"/>
      <c r="DG111" s="350"/>
      <c r="DH111" s="349"/>
      <c r="DI111" s="334"/>
      <c r="DJ111" s="334"/>
      <c r="DK111" s="334"/>
      <c r="DL111" s="334"/>
      <c r="DM111" s="334"/>
      <c r="DN111" s="334"/>
      <c r="DO111" s="334"/>
      <c r="DP111" s="334"/>
      <c r="DQ111" s="334"/>
      <c r="DR111" s="334"/>
      <c r="DS111" s="334"/>
      <c r="DT111" s="334"/>
      <c r="DU111" s="334"/>
      <c r="DV111" s="334"/>
      <c r="DW111" s="334"/>
      <c r="DX111" s="334"/>
      <c r="DY111" s="350"/>
    </row>
    <row r="112" spans="2:129" ht="13.5" customHeight="1" thickBot="1">
      <c r="B112" s="18"/>
      <c r="C112" s="19" t="s">
        <v>497</v>
      </c>
      <c r="D112" s="19"/>
      <c r="E112" s="19"/>
      <c r="F112" s="19"/>
      <c r="G112" s="19"/>
      <c r="H112" s="395"/>
      <c r="I112" s="396"/>
      <c r="J112" s="396"/>
      <c r="K112" s="396"/>
      <c r="L112" s="396"/>
      <c r="M112" s="396"/>
      <c r="N112" s="396"/>
      <c r="O112" s="396"/>
      <c r="P112" s="396"/>
      <c r="Q112" s="396"/>
      <c r="R112" s="397"/>
      <c r="S112" s="395"/>
      <c r="T112" s="396"/>
      <c r="U112" s="396"/>
      <c r="V112" s="396"/>
      <c r="W112" s="396"/>
      <c r="X112" s="397"/>
      <c r="Y112" s="252" t="str">
        <f t="shared" si="30"/>
        <v/>
      </c>
      <c r="Z112" s="253"/>
      <c r="AA112" s="254"/>
      <c r="AB112" s="252" t="str">
        <f t="shared" si="32"/>
        <v/>
      </c>
      <c r="AC112" s="253"/>
      <c r="AD112" s="254"/>
      <c r="AE112" s="252" t="str">
        <f t="shared" si="33"/>
        <v/>
      </c>
      <c r="AF112" s="253"/>
      <c r="AG112" s="253"/>
      <c r="AH112" s="253"/>
      <c r="AI112" s="253"/>
      <c r="AJ112" s="253"/>
      <c r="AK112" s="254"/>
      <c r="AL112" s="398" t="str">
        <f t="shared" si="31"/>
        <v/>
      </c>
      <c r="AM112" s="399"/>
      <c r="AN112" s="399"/>
      <c r="AO112" s="399"/>
      <c r="AP112" s="399"/>
      <c r="AQ112" s="399"/>
      <c r="AR112" s="400"/>
      <c r="AS112" s="20"/>
      <c r="BF112" s="384" t="str">
        <f t="shared" si="34"/>
        <v/>
      </c>
      <c r="BG112" s="385"/>
      <c r="BH112" s="385"/>
      <c r="BI112" s="385"/>
      <c r="BJ112" s="385"/>
      <c r="BK112" s="385"/>
      <c r="BL112" s="385"/>
      <c r="BM112" s="385"/>
      <c r="BN112" s="386"/>
      <c r="BO112" s="387" t="str">
        <f t="shared" ref="BO112:BO119" si="35">BO111&amp;IF(AE111="Custom","     "&amp;BF112,IF(S112="None",", "&amp;BF112,"")&amp;IF(OR(S112="Alternate",S112="Dynamic"),CHAR(10)&amp;"     "&amp;BF112,"")&amp;IF(S112="Normal",IF(OR(S111="Alternate",S111="Dynamic",S111="None"),CHAR(10)&amp;"     "&amp;BF112,", "&amp;BF112),""))</f>
        <v/>
      </c>
      <c r="BP112" s="387"/>
      <c r="BQ112" s="387"/>
      <c r="BR112" s="387"/>
      <c r="BS112" s="387"/>
      <c r="BT112" s="387"/>
      <c r="BU112" s="387"/>
      <c r="BV112" s="387"/>
      <c r="BW112" s="387"/>
      <c r="BX112" s="349"/>
      <c r="BY112" s="334"/>
      <c r="BZ112" s="334"/>
      <c r="CA112" s="334"/>
      <c r="CB112" s="334"/>
      <c r="CC112" s="334"/>
      <c r="CD112" s="334"/>
      <c r="CE112" s="334"/>
      <c r="CF112" s="334"/>
      <c r="CG112" s="334"/>
      <c r="CH112" s="334"/>
      <c r="CI112" s="334"/>
      <c r="CJ112" s="334"/>
      <c r="CK112" s="334"/>
      <c r="CL112" s="334"/>
      <c r="CM112" s="334"/>
      <c r="CN112" s="334"/>
      <c r="CO112" s="350"/>
      <c r="CP112" s="349"/>
      <c r="CQ112" s="334"/>
      <c r="CR112" s="334"/>
      <c r="CS112" s="334"/>
      <c r="CT112" s="334"/>
      <c r="CU112" s="334"/>
      <c r="CV112" s="334"/>
      <c r="CW112" s="334"/>
      <c r="CX112" s="334"/>
      <c r="CY112" s="334"/>
      <c r="CZ112" s="334"/>
      <c r="DA112" s="334"/>
      <c r="DB112" s="334"/>
      <c r="DC112" s="334"/>
      <c r="DD112" s="334"/>
      <c r="DE112" s="334"/>
      <c r="DF112" s="334"/>
      <c r="DG112" s="350"/>
      <c r="DH112" s="349"/>
      <c r="DI112" s="334"/>
      <c r="DJ112" s="334"/>
      <c r="DK112" s="334"/>
      <c r="DL112" s="334"/>
      <c r="DM112" s="334"/>
      <c r="DN112" s="334"/>
      <c r="DO112" s="334"/>
      <c r="DP112" s="334"/>
      <c r="DQ112" s="334"/>
      <c r="DR112" s="334"/>
      <c r="DS112" s="334"/>
      <c r="DT112" s="334"/>
      <c r="DU112" s="334"/>
      <c r="DV112" s="334"/>
      <c r="DW112" s="334"/>
      <c r="DX112" s="334"/>
      <c r="DY112" s="350"/>
    </row>
    <row r="113" spans="2:129" ht="13.5" customHeight="1" thickBot="1">
      <c r="B113" s="18"/>
      <c r="C113" s="19" t="s">
        <v>498</v>
      </c>
      <c r="D113" s="19"/>
      <c r="E113" s="19"/>
      <c r="F113" s="19"/>
      <c r="G113" s="19"/>
      <c r="H113" s="395"/>
      <c r="I113" s="396"/>
      <c r="J113" s="396"/>
      <c r="K113" s="396"/>
      <c r="L113" s="396"/>
      <c r="M113" s="396"/>
      <c r="N113" s="396"/>
      <c r="O113" s="396"/>
      <c r="P113" s="396"/>
      <c r="Q113" s="396"/>
      <c r="R113" s="397"/>
      <c r="S113" s="395"/>
      <c r="T113" s="396"/>
      <c r="U113" s="396"/>
      <c r="V113" s="396"/>
      <c r="W113" s="396"/>
      <c r="X113" s="397"/>
      <c r="Y113" s="252" t="str">
        <f t="shared" si="30"/>
        <v/>
      </c>
      <c r="Z113" s="253"/>
      <c r="AA113" s="254"/>
      <c r="AB113" s="252" t="str">
        <f t="shared" si="32"/>
        <v/>
      </c>
      <c r="AC113" s="253"/>
      <c r="AD113" s="254"/>
      <c r="AE113" s="252" t="str">
        <f t="shared" si="33"/>
        <v/>
      </c>
      <c r="AF113" s="253"/>
      <c r="AG113" s="253"/>
      <c r="AH113" s="253"/>
      <c r="AI113" s="253"/>
      <c r="AJ113" s="253"/>
      <c r="AK113" s="254"/>
      <c r="AL113" s="398" t="str">
        <f t="shared" si="31"/>
        <v/>
      </c>
      <c r="AM113" s="399"/>
      <c r="AN113" s="399"/>
      <c r="AO113" s="399"/>
      <c r="AP113" s="399"/>
      <c r="AQ113" s="399"/>
      <c r="AR113" s="400"/>
      <c r="AS113" s="20"/>
      <c r="BF113" s="384" t="str">
        <f t="shared" si="34"/>
        <v/>
      </c>
      <c r="BG113" s="385"/>
      <c r="BH113" s="385"/>
      <c r="BI113" s="385"/>
      <c r="BJ113" s="385"/>
      <c r="BK113" s="385"/>
      <c r="BL113" s="385"/>
      <c r="BM113" s="385"/>
      <c r="BN113" s="386"/>
      <c r="BO113" s="387" t="str">
        <f t="shared" si="35"/>
        <v/>
      </c>
      <c r="BP113" s="387"/>
      <c r="BQ113" s="387"/>
      <c r="BR113" s="387"/>
      <c r="BS113" s="387"/>
      <c r="BT113" s="387"/>
      <c r="BU113" s="387"/>
      <c r="BV113" s="387"/>
      <c r="BW113" s="387"/>
      <c r="BX113" s="349"/>
      <c r="BY113" s="334"/>
      <c r="BZ113" s="334"/>
      <c r="CA113" s="334"/>
      <c r="CB113" s="334"/>
      <c r="CC113" s="334"/>
      <c r="CD113" s="334"/>
      <c r="CE113" s="334"/>
      <c r="CF113" s="334"/>
      <c r="CG113" s="334"/>
      <c r="CH113" s="334"/>
      <c r="CI113" s="334"/>
      <c r="CJ113" s="334"/>
      <c r="CK113" s="334"/>
      <c r="CL113" s="334"/>
      <c r="CM113" s="334"/>
      <c r="CN113" s="334"/>
      <c r="CO113" s="350"/>
      <c r="CP113" s="349"/>
      <c r="CQ113" s="334"/>
      <c r="CR113" s="334"/>
      <c r="CS113" s="334"/>
      <c r="CT113" s="334"/>
      <c r="CU113" s="334"/>
      <c r="CV113" s="334"/>
      <c r="CW113" s="334"/>
      <c r="CX113" s="334"/>
      <c r="CY113" s="334"/>
      <c r="CZ113" s="334"/>
      <c r="DA113" s="334"/>
      <c r="DB113" s="334"/>
      <c r="DC113" s="334"/>
      <c r="DD113" s="334"/>
      <c r="DE113" s="334"/>
      <c r="DF113" s="334"/>
      <c r="DG113" s="350"/>
      <c r="DH113" s="349"/>
      <c r="DI113" s="334"/>
      <c r="DJ113" s="334"/>
      <c r="DK113" s="334"/>
      <c r="DL113" s="334"/>
      <c r="DM113" s="334"/>
      <c r="DN113" s="334"/>
      <c r="DO113" s="334"/>
      <c r="DP113" s="334"/>
      <c r="DQ113" s="334"/>
      <c r="DR113" s="334"/>
      <c r="DS113" s="334"/>
      <c r="DT113" s="334"/>
      <c r="DU113" s="334"/>
      <c r="DV113" s="334"/>
      <c r="DW113" s="334"/>
      <c r="DX113" s="334"/>
      <c r="DY113" s="350"/>
    </row>
    <row r="114" spans="2:129" ht="13.5" customHeight="1" thickBot="1">
      <c r="B114" s="18"/>
      <c r="C114" s="19" t="s">
        <v>499</v>
      </c>
      <c r="D114" s="19"/>
      <c r="E114" s="19"/>
      <c r="F114" s="19"/>
      <c r="G114" s="19"/>
      <c r="H114" s="395"/>
      <c r="I114" s="396"/>
      <c r="J114" s="396"/>
      <c r="K114" s="396"/>
      <c r="L114" s="396"/>
      <c r="M114" s="396"/>
      <c r="N114" s="396"/>
      <c r="O114" s="396"/>
      <c r="P114" s="396"/>
      <c r="Q114" s="396"/>
      <c r="R114" s="397"/>
      <c r="S114" s="395"/>
      <c r="T114" s="396"/>
      <c r="U114" s="396"/>
      <c r="V114" s="396"/>
      <c r="W114" s="396"/>
      <c r="X114" s="397"/>
      <c r="Y114" s="252" t="str">
        <f t="shared" si="30"/>
        <v/>
      </c>
      <c r="Z114" s="253"/>
      <c r="AA114" s="254"/>
      <c r="AB114" s="252" t="str">
        <f t="shared" si="32"/>
        <v/>
      </c>
      <c r="AC114" s="253"/>
      <c r="AD114" s="254"/>
      <c r="AE114" s="252" t="str">
        <f t="shared" si="33"/>
        <v/>
      </c>
      <c r="AF114" s="253"/>
      <c r="AG114" s="253"/>
      <c r="AH114" s="253"/>
      <c r="AI114" s="253"/>
      <c r="AJ114" s="253"/>
      <c r="AK114" s="254"/>
      <c r="AL114" s="398" t="str">
        <f t="shared" si="31"/>
        <v/>
      </c>
      <c r="AM114" s="399"/>
      <c r="AN114" s="399"/>
      <c r="AO114" s="399"/>
      <c r="AP114" s="399"/>
      <c r="AQ114" s="399"/>
      <c r="AR114" s="400"/>
      <c r="AS114" s="20"/>
      <c r="BF114" s="384" t="str">
        <f t="shared" si="34"/>
        <v/>
      </c>
      <c r="BG114" s="385"/>
      <c r="BH114" s="385"/>
      <c r="BI114" s="385"/>
      <c r="BJ114" s="385"/>
      <c r="BK114" s="385"/>
      <c r="BL114" s="385"/>
      <c r="BM114" s="385"/>
      <c r="BN114" s="386"/>
      <c r="BO114" s="387" t="str">
        <f t="shared" si="35"/>
        <v/>
      </c>
      <c r="BP114" s="387"/>
      <c r="BQ114" s="387"/>
      <c r="BR114" s="387"/>
      <c r="BS114" s="387"/>
      <c r="BT114" s="387"/>
      <c r="BU114" s="387"/>
      <c r="BV114" s="387"/>
      <c r="BW114" s="387"/>
      <c r="BX114" s="349"/>
      <c r="BY114" s="334"/>
      <c r="BZ114" s="334"/>
      <c r="CA114" s="334"/>
      <c r="CB114" s="334"/>
      <c r="CC114" s="334"/>
      <c r="CD114" s="334"/>
      <c r="CE114" s="334"/>
      <c r="CF114" s="334"/>
      <c r="CG114" s="334"/>
      <c r="CH114" s="334"/>
      <c r="CI114" s="334"/>
      <c r="CJ114" s="334"/>
      <c r="CK114" s="334"/>
      <c r="CL114" s="334"/>
      <c r="CM114" s="334"/>
      <c r="CN114" s="334"/>
      <c r="CO114" s="350"/>
      <c r="CP114" s="349"/>
      <c r="CQ114" s="334"/>
      <c r="CR114" s="334"/>
      <c r="CS114" s="334"/>
      <c r="CT114" s="334"/>
      <c r="CU114" s="334"/>
      <c r="CV114" s="334"/>
      <c r="CW114" s="334"/>
      <c r="CX114" s="334"/>
      <c r="CY114" s="334"/>
      <c r="CZ114" s="334"/>
      <c r="DA114" s="334"/>
      <c r="DB114" s="334"/>
      <c r="DC114" s="334"/>
      <c r="DD114" s="334"/>
      <c r="DE114" s="334"/>
      <c r="DF114" s="334"/>
      <c r="DG114" s="350"/>
      <c r="DH114" s="349"/>
      <c r="DI114" s="334"/>
      <c r="DJ114" s="334"/>
      <c r="DK114" s="334"/>
      <c r="DL114" s="334"/>
      <c r="DM114" s="334"/>
      <c r="DN114" s="334"/>
      <c r="DO114" s="334"/>
      <c r="DP114" s="334"/>
      <c r="DQ114" s="334"/>
      <c r="DR114" s="334"/>
      <c r="DS114" s="334"/>
      <c r="DT114" s="334"/>
      <c r="DU114" s="334"/>
      <c r="DV114" s="334"/>
      <c r="DW114" s="334"/>
      <c r="DX114" s="334"/>
      <c r="DY114" s="350"/>
    </row>
    <row r="115" spans="2:129" ht="13.5" customHeight="1" thickBot="1">
      <c r="B115" s="18"/>
      <c r="C115" s="19" t="s">
        <v>500</v>
      </c>
      <c r="D115" s="19"/>
      <c r="E115" s="19"/>
      <c r="F115" s="19"/>
      <c r="G115" s="19"/>
      <c r="H115" s="395"/>
      <c r="I115" s="396"/>
      <c r="J115" s="396"/>
      <c r="K115" s="396"/>
      <c r="L115" s="396"/>
      <c r="M115" s="396"/>
      <c r="N115" s="396"/>
      <c r="O115" s="396"/>
      <c r="P115" s="396"/>
      <c r="Q115" s="396"/>
      <c r="R115" s="397"/>
      <c r="S115" s="395"/>
      <c r="T115" s="396"/>
      <c r="U115" s="396"/>
      <c r="V115" s="396"/>
      <c r="W115" s="396"/>
      <c r="X115" s="397"/>
      <c r="Y115" s="252" t="str">
        <f t="shared" si="30"/>
        <v/>
      </c>
      <c r="Z115" s="253"/>
      <c r="AA115" s="254"/>
      <c r="AB115" s="252" t="str">
        <f t="shared" si="32"/>
        <v/>
      </c>
      <c r="AC115" s="253"/>
      <c r="AD115" s="254"/>
      <c r="AE115" s="252" t="str">
        <f t="shared" si="33"/>
        <v/>
      </c>
      <c r="AF115" s="253"/>
      <c r="AG115" s="253"/>
      <c r="AH115" s="253"/>
      <c r="AI115" s="253"/>
      <c r="AJ115" s="253"/>
      <c r="AK115" s="254"/>
      <c r="AL115" s="398" t="str">
        <f t="shared" si="31"/>
        <v/>
      </c>
      <c r="AM115" s="399"/>
      <c r="AN115" s="399"/>
      <c r="AO115" s="399"/>
      <c r="AP115" s="399"/>
      <c r="AQ115" s="399"/>
      <c r="AR115" s="400"/>
      <c r="AS115" s="20"/>
      <c r="BF115" s="384" t="str">
        <f t="shared" si="34"/>
        <v/>
      </c>
      <c r="BG115" s="385"/>
      <c r="BH115" s="385"/>
      <c r="BI115" s="385"/>
      <c r="BJ115" s="385"/>
      <c r="BK115" s="385"/>
      <c r="BL115" s="385"/>
      <c r="BM115" s="385"/>
      <c r="BN115" s="386"/>
      <c r="BO115" s="387" t="str">
        <f t="shared" si="35"/>
        <v/>
      </c>
      <c r="BP115" s="387"/>
      <c r="BQ115" s="387"/>
      <c r="BR115" s="387"/>
      <c r="BS115" s="387"/>
      <c r="BT115" s="387"/>
      <c r="BU115" s="387"/>
      <c r="BV115" s="387"/>
      <c r="BW115" s="387"/>
      <c r="BX115" s="349"/>
      <c r="BY115" s="334"/>
      <c r="BZ115" s="334"/>
      <c r="CA115" s="334"/>
      <c r="CB115" s="334"/>
      <c r="CC115" s="334"/>
      <c r="CD115" s="334"/>
      <c r="CE115" s="334"/>
      <c r="CF115" s="334"/>
      <c r="CG115" s="334"/>
      <c r="CH115" s="334"/>
      <c r="CI115" s="334"/>
      <c r="CJ115" s="334"/>
      <c r="CK115" s="334"/>
      <c r="CL115" s="334"/>
      <c r="CM115" s="334"/>
      <c r="CN115" s="334"/>
      <c r="CO115" s="350"/>
      <c r="CP115" s="349"/>
      <c r="CQ115" s="334"/>
      <c r="CR115" s="334"/>
      <c r="CS115" s="334"/>
      <c r="CT115" s="334"/>
      <c r="CU115" s="334"/>
      <c r="CV115" s="334"/>
      <c r="CW115" s="334"/>
      <c r="CX115" s="334"/>
      <c r="CY115" s="334"/>
      <c r="CZ115" s="334"/>
      <c r="DA115" s="334"/>
      <c r="DB115" s="334"/>
      <c r="DC115" s="334"/>
      <c r="DD115" s="334"/>
      <c r="DE115" s="334"/>
      <c r="DF115" s="334"/>
      <c r="DG115" s="350"/>
      <c r="DH115" s="349"/>
      <c r="DI115" s="334"/>
      <c r="DJ115" s="334"/>
      <c r="DK115" s="334"/>
      <c r="DL115" s="334"/>
      <c r="DM115" s="334"/>
      <c r="DN115" s="334"/>
      <c r="DO115" s="334"/>
      <c r="DP115" s="334"/>
      <c r="DQ115" s="334"/>
      <c r="DR115" s="334"/>
      <c r="DS115" s="334"/>
      <c r="DT115" s="334"/>
      <c r="DU115" s="334"/>
      <c r="DV115" s="334"/>
      <c r="DW115" s="334"/>
      <c r="DX115" s="334"/>
      <c r="DY115" s="350"/>
    </row>
    <row r="116" spans="2:129" ht="13.5" customHeight="1" thickBot="1">
      <c r="B116" s="18"/>
      <c r="C116" s="19" t="s">
        <v>501</v>
      </c>
      <c r="D116" s="19"/>
      <c r="E116" s="19"/>
      <c r="F116" s="19"/>
      <c r="G116" s="19"/>
      <c r="H116" s="395"/>
      <c r="I116" s="396"/>
      <c r="J116" s="396"/>
      <c r="K116" s="396"/>
      <c r="L116" s="396"/>
      <c r="M116" s="396"/>
      <c r="N116" s="396"/>
      <c r="O116" s="396"/>
      <c r="P116" s="396"/>
      <c r="Q116" s="396"/>
      <c r="R116" s="397"/>
      <c r="S116" s="395"/>
      <c r="T116" s="396"/>
      <c r="U116" s="396"/>
      <c r="V116" s="396"/>
      <c r="W116" s="396"/>
      <c r="X116" s="397"/>
      <c r="Y116" s="252" t="str">
        <f t="shared" si="30"/>
        <v/>
      </c>
      <c r="Z116" s="253"/>
      <c r="AA116" s="254"/>
      <c r="AB116" s="252" t="str">
        <f t="shared" si="32"/>
        <v/>
      </c>
      <c r="AC116" s="253"/>
      <c r="AD116" s="254"/>
      <c r="AE116" s="252" t="str">
        <f t="shared" si="33"/>
        <v/>
      </c>
      <c r="AF116" s="253"/>
      <c r="AG116" s="253"/>
      <c r="AH116" s="253"/>
      <c r="AI116" s="253"/>
      <c r="AJ116" s="253"/>
      <c r="AK116" s="254"/>
      <c r="AL116" s="398" t="str">
        <f t="shared" si="31"/>
        <v/>
      </c>
      <c r="AM116" s="399"/>
      <c r="AN116" s="399"/>
      <c r="AO116" s="399"/>
      <c r="AP116" s="399"/>
      <c r="AQ116" s="399"/>
      <c r="AR116" s="400"/>
      <c r="AS116" s="20"/>
      <c r="BF116" s="384" t="str">
        <f t="shared" si="34"/>
        <v/>
      </c>
      <c r="BG116" s="385"/>
      <c r="BH116" s="385"/>
      <c r="BI116" s="385"/>
      <c r="BJ116" s="385"/>
      <c r="BK116" s="385"/>
      <c r="BL116" s="385"/>
      <c r="BM116" s="385"/>
      <c r="BN116" s="386"/>
      <c r="BO116" s="387" t="str">
        <f t="shared" si="35"/>
        <v/>
      </c>
      <c r="BP116" s="387"/>
      <c r="BQ116" s="387"/>
      <c r="BR116" s="387"/>
      <c r="BS116" s="387"/>
      <c r="BT116" s="387"/>
      <c r="BU116" s="387"/>
      <c r="BV116" s="387"/>
      <c r="BW116" s="387"/>
      <c r="BX116" s="349"/>
      <c r="BY116" s="334"/>
      <c r="BZ116" s="334"/>
      <c r="CA116" s="334"/>
      <c r="CB116" s="334"/>
      <c r="CC116" s="334"/>
      <c r="CD116" s="334"/>
      <c r="CE116" s="334"/>
      <c r="CF116" s="334"/>
      <c r="CG116" s="334"/>
      <c r="CH116" s="334"/>
      <c r="CI116" s="334"/>
      <c r="CJ116" s="334"/>
      <c r="CK116" s="334"/>
      <c r="CL116" s="334"/>
      <c r="CM116" s="334"/>
      <c r="CN116" s="334"/>
      <c r="CO116" s="350"/>
      <c r="CP116" s="349"/>
      <c r="CQ116" s="334"/>
      <c r="CR116" s="334"/>
      <c r="CS116" s="334"/>
      <c r="CT116" s="334"/>
      <c r="CU116" s="334"/>
      <c r="CV116" s="334"/>
      <c r="CW116" s="334"/>
      <c r="CX116" s="334"/>
      <c r="CY116" s="334"/>
      <c r="CZ116" s="334"/>
      <c r="DA116" s="334"/>
      <c r="DB116" s="334"/>
      <c r="DC116" s="334"/>
      <c r="DD116" s="334"/>
      <c r="DE116" s="334"/>
      <c r="DF116" s="334"/>
      <c r="DG116" s="350"/>
      <c r="DH116" s="349"/>
      <c r="DI116" s="334"/>
      <c r="DJ116" s="334"/>
      <c r="DK116" s="334"/>
      <c r="DL116" s="334"/>
      <c r="DM116" s="334"/>
      <c r="DN116" s="334"/>
      <c r="DO116" s="334"/>
      <c r="DP116" s="334"/>
      <c r="DQ116" s="334"/>
      <c r="DR116" s="334"/>
      <c r="DS116" s="334"/>
      <c r="DT116" s="334"/>
      <c r="DU116" s="334"/>
      <c r="DV116" s="334"/>
      <c r="DW116" s="334"/>
      <c r="DX116" s="334"/>
      <c r="DY116" s="350"/>
    </row>
    <row r="117" spans="2:129" ht="13.5" customHeight="1" thickBot="1">
      <c r="B117" s="18"/>
      <c r="C117" s="19" t="s">
        <v>502</v>
      </c>
      <c r="D117" s="19"/>
      <c r="E117" s="19"/>
      <c r="F117" s="19"/>
      <c r="G117" s="19"/>
      <c r="H117" s="395"/>
      <c r="I117" s="396"/>
      <c r="J117" s="396"/>
      <c r="K117" s="396"/>
      <c r="L117" s="396"/>
      <c r="M117" s="396"/>
      <c r="N117" s="396"/>
      <c r="O117" s="396"/>
      <c r="P117" s="396"/>
      <c r="Q117" s="396"/>
      <c r="R117" s="397"/>
      <c r="S117" s="395"/>
      <c r="T117" s="396"/>
      <c r="U117" s="396"/>
      <c r="V117" s="396"/>
      <c r="W117" s="396"/>
      <c r="X117" s="397"/>
      <c r="Y117" s="252" t="str">
        <f t="shared" si="30"/>
        <v/>
      </c>
      <c r="Z117" s="253"/>
      <c r="AA117" s="254"/>
      <c r="AB117" s="252" t="str">
        <f t="shared" si="32"/>
        <v/>
      </c>
      <c r="AC117" s="253"/>
      <c r="AD117" s="254"/>
      <c r="AE117" s="252" t="str">
        <f t="shared" si="33"/>
        <v/>
      </c>
      <c r="AF117" s="253"/>
      <c r="AG117" s="253"/>
      <c r="AH117" s="253"/>
      <c r="AI117" s="253"/>
      <c r="AJ117" s="253"/>
      <c r="AK117" s="254"/>
      <c r="AL117" s="398" t="str">
        <f t="shared" si="31"/>
        <v/>
      </c>
      <c r="AM117" s="399"/>
      <c r="AN117" s="399"/>
      <c r="AO117" s="399"/>
      <c r="AP117" s="399"/>
      <c r="AQ117" s="399"/>
      <c r="AR117" s="400"/>
      <c r="AS117" s="20"/>
      <c r="BF117" s="384" t="str">
        <f t="shared" si="34"/>
        <v/>
      </c>
      <c r="BG117" s="385"/>
      <c r="BH117" s="385"/>
      <c r="BI117" s="385"/>
      <c r="BJ117" s="385"/>
      <c r="BK117" s="385"/>
      <c r="BL117" s="385"/>
      <c r="BM117" s="385"/>
      <c r="BN117" s="386"/>
      <c r="BO117" s="387" t="str">
        <f t="shared" si="35"/>
        <v/>
      </c>
      <c r="BP117" s="387"/>
      <c r="BQ117" s="387"/>
      <c r="BR117" s="387"/>
      <c r="BS117" s="387"/>
      <c r="BT117" s="387"/>
      <c r="BU117" s="387"/>
      <c r="BV117" s="387"/>
      <c r="BW117" s="387"/>
      <c r="BX117" s="349"/>
      <c r="BY117" s="334"/>
      <c r="BZ117" s="334"/>
      <c r="CA117" s="334"/>
      <c r="CB117" s="334"/>
      <c r="CC117" s="334"/>
      <c r="CD117" s="334"/>
      <c r="CE117" s="334"/>
      <c r="CF117" s="334"/>
      <c r="CG117" s="334"/>
      <c r="CH117" s="334"/>
      <c r="CI117" s="334"/>
      <c r="CJ117" s="334"/>
      <c r="CK117" s="334"/>
      <c r="CL117" s="334"/>
      <c r="CM117" s="334"/>
      <c r="CN117" s="334"/>
      <c r="CO117" s="350"/>
      <c r="CP117" s="349"/>
      <c r="CQ117" s="334"/>
      <c r="CR117" s="334"/>
      <c r="CS117" s="334"/>
      <c r="CT117" s="334"/>
      <c r="CU117" s="334"/>
      <c r="CV117" s="334"/>
      <c r="CW117" s="334"/>
      <c r="CX117" s="334"/>
      <c r="CY117" s="334"/>
      <c r="CZ117" s="334"/>
      <c r="DA117" s="334"/>
      <c r="DB117" s="334"/>
      <c r="DC117" s="334"/>
      <c r="DD117" s="334"/>
      <c r="DE117" s="334"/>
      <c r="DF117" s="334"/>
      <c r="DG117" s="350"/>
      <c r="DH117" s="349"/>
      <c r="DI117" s="334"/>
      <c r="DJ117" s="334"/>
      <c r="DK117" s="334"/>
      <c r="DL117" s="334"/>
      <c r="DM117" s="334"/>
      <c r="DN117" s="334"/>
      <c r="DO117" s="334"/>
      <c r="DP117" s="334"/>
      <c r="DQ117" s="334"/>
      <c r="DR117" s="334"/>
      <c r="DS117" s="334"/>
      <c r="DT117" s="334"/>
      <c r="DU117" s="334"/>
      <c r="DV117" s="334"/>
      <c r="DW117" s="334"/>
      <c r="DX117" s="334"/>
      <c r="DY117" s="350"/>
    </row>
    <row r="118" spans="2:129" ht="13.5" customHeight="1" thickBot="1">
      <c r="B118" s="18"/>
      <c r="C118" s="19" t="s">
        <v>503</v>
      </c>
      <c r="D118" s="19"/>
      <c r="E118" s="19"/>
      <c r="F118" s="19"/>
      <c r="G118" s="19"/>
      <c r="H118" s="395"/>
      <c r="I118" s="396"/>
      <c r="J118" s="396"/>
      <c r="K118" s="396"/>
      <c r="L118" s="396"/>
      <c r="M118" s="396"/>
      <c r="N118" s="396"/>
      <c r="O118" s="396"/>
      <c r="P118" s="396"/>
      <c r="Q118" s="396"/>
      <c r="R118" s="397"/>
      <c r="S118" s="395"/>
      <c r="T118" s="396"/>
      <c r="U118" s="396"/>
      <c r="V118" s="396"/>
      <c r="W118" s="396"/>
      <c r="X118" s="397"/>
      <c r="Y118" s="252" t="str">
        <f t="shared" si="30"/>
        <v/>
      </c>
      <c r="Z118" s="253"/>
      <c r="AA118" s="254"/>
      <c r="AB118" s="252" t="str">
        <f t="shared" si="32"/>
        <v/>
      </c>
      <c r="AC118" s="253"/>
      <c r="AD118" s="254"/>
      <c r="AE118" s="252" t="str">
        <f t="shared" si="33"/>
        <v/>
      </c>
      <c r="AF118" s="253"/>
      <c r="AG118" s="253"/>
      <c r="AH118" s="253"/>
      <c r="AI118" s="253"/>
      <c r="AJ118" s="253"/>
      <c r="AK118" s="254"/>
      <c r="AL118" s="398" t="str">
        <f t="shared" si="31"/>
        <v/>
      </c>
      <c r="AM118" s="399"/>
      <c r="AN118" s="399"/>
      <c r="AO118" s="399"/>
      <c r="AP118" s="399"/>
      <c r="AQ118" s="399"/>
      <c r="AR118" s="400"/>
      <c r="AS118" s="20"/>
      <c r="BF118" s="384" t="str">
        <f t="shared" si="34"/>
        <v/>
      </c>
      <c r="BG118" s="385"/>
      <c r="BH118" s="385"/>
      <c r="BI118" s="385"/>
      <c r="BJ118" s="385"/>
      <c r="BK118" s="385"/>
      <c r="BL118" s="385"/>
      <c r="BM118" s="385"/>
      <c r="BN118" s="386"/>
      <c r="BO118" s="387" t="str">
        <f t="shared" si="35"/>
        <v/>
      </c>
      <c r="BP118" s="387"/>
      <c r="BQ118" s="387"/>
      <c r="BR118" s="387"/>
      <c r="BS118" s="387"/>
      <c r="BT118" s="387"/>
      <c r="BU118" s="387"/>
      <c r="BV118" s="387"/>
      <c r="BW118" s="387"/>
      <c r="BX118" s="349"/>
      <c r="BY118" s="334"/>
      <c r="BZ118" s="334"/>
      <c r="CA118" s="334"/>
      <c r="CB118" s="334"/>
      <c r="CC118" s="334"/>
      <c r="CD118" s="334"/>
      <c r="CE118" s="334"/>
      <c r="CF118" s="334"/>
      <c r="CG118" s="334"/>
      <c r="CH118" s="334"/>
      <c r="CI118" s="334"/>
      <c r="CJ118" s="334"/>
      <c r="CK118" s="334"/>
      <c r="CL118" s="334"/>
      <c r="CM118" s="334"/>
      <c r="CN118" s="334"/>
      <c r="CO118" s="350"/>
      <c r="CP118" s="349"/>
      <c r="CQ118" s="334"/>
      <c r="CR118" s="334"/>
      <c r="CS118" s="334"/>
      <c r="CT118" s="334"/>
      <c r="CU118" s="334"/>
      <c r="CV118" s="334"/>
      <c r="CW118" s="334"/>
      <c r="CX118" s="334"/>
      <c r="CY118" s="334"/>
      <c r="CZ118" s="334"/>
      <c r="DA118" s="334"/>
      <c r="DB118" s="334"/>
      <c r="DC118" s="334"/>
      <c r="DD118" s="334"/>
      <c r="DE118" s="334"/>
      <c r="DF118" s="334"/>
      <c r="DG118" s="350"/>
      <c r="DH118" s="349"/>
      <c r="DI118" s="334"/>
      <c r="DJ118" s="334"/>
      <c r="DK118" s="334"/>
      <c r="DL118" s="334"/>
      <c r="DM118" s="334"/>
      <c r="DN118" s="334"/>
      <c r="DO118" s="334"/>
      <c r="DP118" s="334"/>
      <c r="DQ118" s="334"/>
      <c r="DR118" s="334"/>
      <c r="DS118" s="334"/>
      <c r="DT118" s="334"/>
      <c r="DU118" s="334"/>
      <c r="DV118" s="334"/>
      <c r="DW118" s="334"/>
      <c r="DX118" s="334"/>
      <c r="DY118" s="350"/>
    </row>
    <row r="119" spans="2:129" ht="13.5" customHeight="1" thickBot="1">
      <c r="B119" s="18"/>
      <c r="C119" s="19" t="s">
        <v>504</v>
      </c>
      <c r="D119" s="19"/>
      <c r="E119" s="19"/>
      <c r="F119" s="19"/>
      <c r="G119" s="19"/>
      <c r="H119" s="395"/>
      <c r="I119" s="396"/>
      <c r="J119" s="396"/>
      <c r="K119" s="396"/>
      <c r="L119" s="396"/>
      <c r="M119" s="396"/>
      <c r="N119" s="396"/>
      <c r="O119" s="396"/>
      <c r="P119" s="396"/>
      <c r="Q119" s="396"/>
      <c r="R119" s="397"/>
      <c r="S119" s="395"/>
      <c r="T119" s="396"/>
      <c r="U119" s="396"/>
      <c r="V119" s="396"/>
      <c r="W119" s="396"/>
      <c r="X119" s="397"/>
      <c r="Y119" s="252" t="str">
        <f t="shared" si="30"/>
        <v/>
      </c>
      <c r="Z119" s="253"/>
      <c r="AA119" s="254"/>
      <c r="AB119" s="252" t="str">
        <f t="shared" si="32"/>
        <v/>
      </c>
      <c r="AC119" s="253"/>
      <c r="AD119" s="254"/>
      <c r="AE119" s="252" t="str">
        <f t="shared" si="33"/>
        <v/>
      </c>
      <c r="AF119" s="253"/>
      <c r="AG119" s="253"/>
      <c r="AH119" s="253"/>
      <c r="AI119" s="253"/>
      <c r="AJ119" s="253"/>
      <c r="AK119" s="254"/>
      <c r="AL119" s="398" t="str">
        <f t="shared" si="31"/>
        <v/>
      </c>
      <c r="AM119" s="399"/>
      <c r="AN119" s="399"/>
      <c r="AO119" s="399"/>
      <c r="AP119" s="399"/>
      <c r="AQ119" s="399"/>
      <c r="AR119" s="400"/>
      <c r="AS119" s="20"/>
      <c r="BF119" s="384" t="str">
        <f t="shared" si="34"/>
        <v/>
      </c>
      <c r="BG119" s="385"/>
      <c r="BH119" s="385"/>
      <c r="BI119" s="385"/>
      <c r="BJ119" s="385"/>
      <c r="BK119" s="385"/>
      <c r="BL119" s="385"/>
      <c r="BM119" s="385"/>
      <c r="BN119" s="386"/>
      <c r="BO119" s="387" t="str">
        <f t="shared" si="35"/>
        <v/>
      </c>
      <c r="BP119" s="387"/>
      <c r="BQ119" s="387"/>
      <c r="BR119" s="387"/>
      <c r="BS119" s="387"/>
      <c r="BT119" s="387"/>
      <c r="BU119" s="387"/>
      <c r="BV119" s="387"/>
      <c r="BW119" s="387"/>
      <c r="BX119" s="349"/>
      <c r="BY119" s="334"/>
      <c r="BZ119" s="334"/>
      <c r="CA119" s="334"/>
      <c r="CB119" s="334"/>
      <c r="CC119" s="334"/>
      <c r="CD119" s="334"/>
      <c r="CE119" s="334"/>
      <c r="CF119" s="334"/>
      <c r="CG119" s="334"/>
      <c r="CH119" s="334"/>
      <c r="CI119" s="334"/>
      <c r="CJ119" s="334"/>
      <c r="CK119" s="334"/>
      <c r="CL119" s="334"/>
      <c r="CM119" s="334"/>
      <c r="CN119" s="334"/>
      <c r="CO119" s="350"/>
      <c r="CP119" s="349"/>
      <c r="CQ119" s="334"/>
      <c r="CR119" s="334"/>
      <c r="CS119" s="334"/>
      <c r="CT119" s="334"/>
      <c r="CU119" s="334"/>
      <c r="CV119" s="334"/>
      <c r="CW119" s="334"/>
      <c r="CX119" s="334"/>
      <c r="CY119" s="334"/>
      <c r="CZ119" s="334"/>
      <c r="DA119" s="334"/>
      <c r="DB119" s="334"/>
      <c r="DC119" s="334"/>
      <c r="DD119" s="334"/>
      <c r="DE119" s="334"/>
      <c r="DF119" s="334"/>
      <c r="DG119" s="350"/>
      <c r="DH119" s="349"/>
      <c r="DI119" s="334"/>
      <c r="DJ119" s="334"/>
      <c r="DK119" s="334"/>
      <c r="DL119" s="334"/>
      <c r="DM119" s="334"/>
      <c r="DN119" s="334"/>
      <c r="DO119" s="334"/>
      <c r="DP119" s="334"/>
      <c r="DQ119" s="334"/>
      <c r="DR119" s="334"/>
      <c r="DS119" s="334"/>
      <c r="DT119" s="334"/>
      <c r="DU119" s="334"/>
      <c r="DV119" s="334"/>
      <c r="DW119" s="334"/>
      <c r="DX119" s="334"/>
      <c r="DY119" s="350"/>
    </row>
    <row r="120" spans="2:129" ht="13.5" customHeight="1" thickBot="1">
      <c r="B120" s="18"/>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20"/>
      <c r="BX120" s="349"/>
      <c r="BY120" s="334"/>
      <c r="BZ120" s="334"/>
      <c r="CA120" s="334"/>
      <c r="CB120" s="334"/>
      <c r="CC120" s="334"/>
      <c r="CD120" s="334"/>
      <c r="CE120" s="334"/>
      <c r="CF120" s="334"/>
      <c r="CG120" s="334"/>
      <c r="CH120" s="334"/>
      <c r="CI120" s="334"/>
      <c r="CJ120" s="334"/>
      <c r="CK120" s="334"/>
      <c r="CL120" s="334"/>
      <c r="CM120" s="334"/>
      <c r="CN120" s="334"/>
      <c r="CO120" s="350"/>
      <c r="CP120" s="349"/>
      <c r="CQ120" s="334"/>
      <c r="CR120" s="334"/>
      <c r="CS120" s="334"/>
      <c r="CT120" s="334"/>
      <c r="CU120" s="334"/>
      <c r="CV120" s="334"/>
      <c r="CW120" s="334"/>
      <c r="CX120" s="334"/>
      <c r="CY120" s="334"/>
      <c r="CZ120" s="334"/>
      <c r="DA120" s="334"/>
      <c r="DB120" s="334"/>
      <c r="DC120" s="334"/>
      <c r="DD120" s="334"/>
      <c r="DE120" s="334"/>
      <c r="DF120" s="334"/>
      <c r="DG120" s="350"/>
      <c r="DH120" s="349"/>
      <c r="DI120" s="334"/>
      <c r="DJ120" s="334"/>
      <c r="DK120" s="334"/>
      <c r="DL120" s="334"/>
      <c r="DM120" s="334"/>
      <c r="DN120" s="334"/>
      <c r="DO120" s="334"/>
      <c r="DP120" s="334"/>
      <c r="DQ120" s="334"/>
      <c r="DR120" s="334"/>
      <c r="DS120" s="334"/>
      <c r="DT120" s="334"/>
      <c r="DU120" s="334"/>
      <c r="DV120" s="334"/>
      <c r="DW120" s="334"/>
      <c r="DX120" s="334"/>
      <c r="DY120" s="350"/>
    </row>
    <row r="121" spans="2:129" ht="13.5" customHeight="1" thickBot="1">
      <c r="B121" s="18"/>
      <c r="C121" s="388" t="s">
        <v>525</v>
      </c>
      <c r="D121" s="388"/>
      <c r="E121" s="388"/>
      <c r="F121" s="388"/>
      <c r="G121" s="388"/>
      <c r="H121" s="389"/>
      <c r="I121" s="390"/>
      <c r="J121" s="390"/>
      <c r="K121" s="390"/>
      <c r="L121" s="390"/>
      <c r="M121" s="390"/>
      <c r="N121" s="390"/>
      <c r="O121" s="390"/>
      <c r="P121" s="390"/>
      <c r="Q121" s="390"/>
      <c r="R121" s="390"/>
      <c r="S121" s="390"/>
      <c r="T121" s="390"/>
      <c r="U121" s="390"/>
      <c r="V121" s="390"/>
      <c r="W121" s="390"/>
      <c r="X121" s="390"/>
      <c r="Y121" s="390"/>
      <c r="Z121" s="390"/>
      <c r="AA121" s="390"/>
      <c r="AB121" s="390"/>
      <c r="AC121" s="390"/>
      <c r="AD121" s="390"/>
      <c r="AE121" s="390"/>
      <c r="AF121" s="390"/>
      <c r="AG121" s="390"/>
      <c r="AH121" s="390"/>
      <c r="AI121" s="391"/>
      <c r="AJ121" s="19"/>
      <c r="AK121" s="19" t="s">
        <v>526</v>
      </c>
      <c r="AL121" s="19"/>
      <c r="AM121" s="19"/>
      <c r="AN121" s="19"/>
      <c r="AO121" s="252" t="str">
        <f>IF(H109="","",SUM(Y110:AA119))</f>
        <v/>
      </c>
      <c r="AP121" s="253"/>
      <c r="AQ121" s="253"/>
      <c r="AR121" s="254"/>
      <c r="AS121" s="20"/>
      <c r="BX121" s="349"/>
      <c r="BY121" s="334"/>
      <c r="BZ121" s="334"/>
      <c r="CA121" s="334"/>
      <c r="CB121" s="334"/>
      <c r="CC121" s="334"/>
      <c r="CD121" s="334"/>
      <c r="CE121" s="334"/>
      <c r="CF121" s="334"/>
      <c r="CG121" s="334"/>
      <c r="CH121" s="334"/>
      <c r="CI121" s="334"/>
      <c r="CJ121" s="334"/>
      <c r="CK121" s="334"/>
      <c r="CL121" s="334"/>
      <c r="CM121" s="334"/>
      <c r="CN121" s="334"/>
      <c r="CO121" s="350"/>
      <c r="CP121" s="349"/>
      <c r="CQ121" s="334"/>
      <c r="CR121" s="334"/>
      <c r="CS121" s="334"/>
      <c r="CT121" s="334"/>
      <c r="CU121" s="334"/>
      <c r="CV121" s="334"/>
      <c r="CW121" s="334"/>
      <c r="CX121" s="334"/>
      <c r="CY121" s="334"/>
      <c r="CZ121" s="334"/>
      <c r="DA121" s="334"/>
      <c r="DB121" s="334"/>
      <c r="DC121" s="334"/>
      <c r="DD121" s="334"/>
      <c r="DE121" s="334"/>
      <c r="DF121" s="334"/>
      <c r="DG121" s="350"/>
      <c r="DH121" s="349"/>
      <c r="DI121" s="334"/>
      <c r="DJ121" s="334"/>
      <c r="DK121" s="334"/>
      <c r="DL121" s="334"/>
      <c r="DM121" s="334"/>
      <c r="DN121" s="334"/>
      <c r="DO121" s="334"/>
      <c r="DP121" s="334"/>
      <c r="DQ121" s="334"/>
      <c r="DR121" s="334"/>
      <c r="DS121" s="334"/>
      <c r="DT121" s="334"/>
      <c r="DU121" s="334"/>
      <c r="DV121" s="334"/>
      <c r="DW121" s="334"/>
      <c r="DX121" s="334"/>
      <c r="DY121" s="350"/>
    </row>
    <row r="122" spans="2:129" ht="13.5" customHeight="1" thickBot="1">
      <c r="B122" s="18"/>
      <c r="C122" s="388"/>
      <c r="D122" s="388"/>
      <c r="E122" s="388"/>
      <c r="F122" s="388"/>
      <c r="G122" s="388"/>
      <c r="H122" s="392"/>
      <c r="I122" s="393"/>
      <c r="J122" s="393"/>
      <c r="K122" s="393"/>
      <c r="L122" s="393"/>
      <c r="M122" s="393"/>
      <c r="N122" s="393"/>
      <c r="O122" s="393"/>
      <c r="P122" s="393"/>
      <c r="Q122" s="393"/>
      <c r="R122" s="393"/>
      <c r="S122" s="393"/>
      <c r="T122" s="393"/>
      <c r="U122" s="393"/>
      <c r="V122" s="393"/>
      <c r="W122" s="393"/>
      <c r="X122" s="393"/>
      <c r="Y122" s="393"/>
      <c r="Z122" s="393"/>
      <c r="AA122" s="393"/>
      <c r="AB122" s="393"/>
      <c r="AC122" s="393"/>
      <c r="AD122" s="393"/>
      <c r="AE122" s="393"/>
      <c r="AF122" s="393"/>
      <c r="AG122" s="393"/>
      <c r="AH122" s="393"/>
      <c r="AI122" s="394"/>
      <c r="AJ122" s="19"/>
      <c r="AK122" s="19"/>
      <c r="AL122" s="19"/>
      <c r="AM122" s="19"/>
      <c r="AN122" s="19"/>
      <c r="AO122" s="19"/>
      <c r="AP122" s="19"/>
      <c r="AQ122" s="19"/>
      <c r="AR122" s="19"/>
      <c r="AS122" s="20"/>
      <c r="BX122" s="351"/>
      <c r="BY122" s="352"/>
      <c r="BZ122" s="352"/>
      <c r="CA122" s="352"/>
      <c r="CB122" s="352"/>
      <c r="CC122" s="352"/>
      <c r="CD122" s="352"/>
      <c r="CE122" s="352"/>
      <c r="CF122" s="352"/>
      <c r="CG122" s="352"/>
      <c r="CH122" s="352"/>
      <c r="CI122" s="352"/>
      <c r="CJ122" s="352"/>
      <c r="CK122" s="352"/>
      <c r="CL122" s="352"/>
      <c r="CM122" s="352"/>
      <c r="CN122" s="352"/>
      <c r="CO122" s="353"/>
      <c r="CP122" s="351"/>
      <c r="CQ122" s="352"/>
      <c r="CR122" s="352"/>
      <c r="CS122" s="352"/>
      <c r="CT122" s="352"/>
      <c r="CU122" s="352"/>
      <c r="CV122" s="352"/>
      <c r="CW122" s="352"/>
      <c r="CX122" s="352"/>
      <c r="CY122" s="352"/>
      <c r="CZ122" s="352"/>
      <c r="DA122" s="352"/>
      <c r="DB122" s="352"/>
      <c r="DC122" s="352"/>
      <c r="DD122" s="352"/>
      <c r="DE122" s="352"/>
      <c r="DF122" s="352"/>
      <c r="DG122" s="353"/>
      <c r="DH122" s="351"/>
      <c r="DI122" s="352"/>
      <c r="DJ122" s="352"/>
      <c r="DK122" s="352"/>
      <c r="DL122" s="352"/>
      <c r="DM122" s="352"/>
      <c r="DN122" s="352"/>
      <c r="DO122" s="352"/>
      <c r="DP122" s="352"/>
      <c r="DQ122" s="352"/>
      <c r="DR122" s="352"/>
      <c r="DS122" s="352"/>
      <c r="DT122" s="352"/>
      <c r="DU122" s="352"/>
      <c r="DV122" s="352"/>
      <c r="DW122" s="352"/>
      <c r="DX122" s="352"/>
      <c r="DY122" s="353"/>
    </row>
    <row r="123" spans="2:129" ht="13.5" customHeight="1" thickBo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3"/>
    </row>
    <row r="124" spans="2:129" ht="13.5" customHeight="1" thickBot="1"/>
    <row r="125" spans="2:129" ht="13.5" customHeight="1" thickBot="1">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7"/>
      <c r="BF125" s="12" t="s">
        <v>620</v>
      </c>
      <c r="BO125" s="12" t="s">
        <v>621</v>
      </c>
      <c r="CG125" s="44"/>
      <c r="CH125" s="44"/>
      <c r="CI125" s="44"/>
      <c r="CJ125" s="44"/>
      <c r="CK125" s="44"/>
      <c r="CL125" s="44"/>
      <c r="CM125" s="44"/>
      <c r="CN125" s="44"/>
      <c r="CO125" s="44"/>
    </row>
    <row r="126" spans="2:129" ht="13.5" customHeight="1" thickBot="1">
      <c r="B126" s="18"/>
      <c r="C126" s="19" t="s">
        <v>385</v>
      </c>
      <c r="D126" s="19"/>
      <c r="E126" s="19"/>
      <c r="F126" s="19"/>
      <c r="G126" s="19"/>
      <c r="H126" s="249"/>
      <c r="I126" s="250"/>
      <c r="J126" s="250"/>
      <c r="K126" s="250"/>
      <c r="L126" s="250"/>
      <c r="M126" s="250"/>
      <c r="N126" s="250"/>
      <c r="O126" s="250"/>
      <c r="P126" s="250"/>
      <c r="Q126" s="250"/>
      <c r="R126" s="251"/>
      <c r="S126" s="401" t="s">
        <v>505</v>
      </c>
      <c r="T126" s="262"/>
      <c r="U126" s="262"/>
      <c r="V126" s="262"/>
      <c r="W126" s="262"/>
      <c r="X126" s="262"/>
      <c r="Y126" s="269" t="s">
        <v>37</v>
      </c>
      <c r="Z126" s="269"/>
      <c r="AA126" s="269"/>
      <c r="AB126" s="269" t="s">
        <v>36</v>
      </c>
      <c r="AC126" s="269"/>
      <c r="AD126" s="269"/>
      <c r="AE126" s="269" t="s">
        <v>506</v>
      </c>
      <c r="AF126" s="269"/>
      <c r="AG126" s="269"/>
      <c r="AH126" s="269"/>
      <c r="AI126" s="269"/>
      <c r="AJ126" s="269"/>
      <c r="AK126" s="269"/>
      <c r="AL126" s="269" t="s">
        <v>507</v>
      </c>
      <c r="AM126" s="269"/>
      <c r="AN126" s="269"/>
      <c r="AO126" s="269"/>
      <c r="AP126" s="269"/>
      <c r="AQ126" s="269"/>
      <c r="AR126" s="269"/>
      <c r="AS126" s="20"/>
      <c r="BF126" s="384" t="str">
        <f>IF(H126="","",H126&amp;IF(H138="",""," ["&amp;H138&amp;"]"))</f>
        <v/>
      </c>
      <c r="BG126" s="385"/>
      <c r="BH126" s="385"/>
      <c r="BI126" s="385"/>
      <c r="BJ126" s="385"/>
      <c r="BK126" s="385"/>
      <c r="BL126" s="385"/>
      <c r="BM126" s="385"/>
      <c r="BN126" s="386"/>
      <c r="BO126" s="371"/>
      <c r="BP126" s="371"/>
      <c r="BQ126" s="371"/>
      <c r="BR126" s="371"/>
      <c r="BS126" s="371"/>
      <c r="BT126" s="371"/>
      <c r="BU126" s="371"/>
      <c r="BV126" s="371"/>
      <c r="BW126" s="371"/>
      <c r="BX126" s="346" t="str">
        <f>IF(BF126="","",CHAR(10)&amp;CHAR(149)&amp;" "&amp;BF126&amp;CHAR(10)&amp;BO136)</f>
        <v/>
      </c>
      <c r="BY126" s="347"/>
      <c r="BZ126" s="347"/>
      <c r="CA126" s="347"/>
      <c r="CB126" s="347"/>
      <c r="CC126" s="347"/>
      <c r="CD126" s="347"/>
      <c r="CE126" s="347"/>
      <c r="CF126" s="347"/>
      <c r="CG126" s="347"/>
      <c r="CH126" s="347"/>
      <c r="CI126" s="347"/>
      <c r="CJ126" s="347"/>
      <c r="CK126" s="347"/>
      <c r="CL126" s="347"/>
      <c r="CM126" s="347"/>
      <c r="CN126" s="347"/>
      <c r="CO126" s="348"/>
      <c r="CP126" s="346" t="str">
        <f>IF($BF126="","",CHAR(10)&amp;"[b]"&amp;$BF126&amp;": [/b]"&amp;CHAR(10)&amp;$BO136&amp;CHAR(10)&amp;"("&amp;AO138&amp;" points)")</f>
        <v/>
      </c>
      <c r="CQ126" s="347"/>
      <c r="CR126" s="347"/>
      <c r="CS126" s="347"/>
      <c r="CT126" s="347"/>
      <c r="CU126" s="347"/>
      <c r="CV126" s="347"/>
      <c r="CW126" s="347"/>
      <c r="CX126" s="347"/>
      <c r="CY126" s="347"/>
      <c r="CZ126" s="347"/>
      <c r="DA126" s="347"/>
      <c r="DB126" s="347"/>
      <c r="DC126" s="347"/>
      <c r="DD126" s="347"/>
      <c r="DE126" s="347"/>
      <c r="DF126" s="347"/>
      <c r="DG126" s="348"/>
      <c r="DH126" s="346" t="str">
        <f>IF($BF126="","",CHAR(10)&amp;"**"&amp;$BF126&amp;":**"&amp;CHAR(10)&amp;$BO136&amp;CHAR(10)&amp;"("&amp;$AO138&amp;" points)")</f>
        <v/>
      </c>
      <c r="DI126" s="347"/>
      <c r="DJ126" s="347"/>
      <c r="DK126" s="347"/>
      <c r="DL126" s="347"/>
      <c r="DM126" s="347"/>
      <c r="DN126" s="347"/>
      <c r="DO126" s="347"/>
      <c r="DP126" s="347"/>
      <c r="DQ126" s="347"/>
      <c r="DR126" s="347"/>
      <c r="DS126" s="347"/>
      <c r="DT126" s="347"/>
      <c r="DU126" s="347"/>
      <c r="DV126" s="347"/>
      <c r="DW126" s="347"/>
      <c r="DX126" s="347"/>
      <c r="DY126" s="348"/>
    </row>
    <row r="127" spans="2:129" ht="13.5" customHeight="1" thickBot="1">
      <c r="B127" s="18"/>
      <c r="C127" s="19" t="s">
        <v>495</v>
      </c>
      <c r="D127" s="19"/>
      <c r="E127" s="19"/>
      <c r="F127" s="19"/>
      <c r="G127" s="19"/>
      <c r="H127" s="395"/>
      <c r="I127" s="396"/>
      <c r="J127" s="396"/>
      <c r="K127" s="396"/>
      <c r="L127" s="396"/>
      <c r="M127" s="396"/>
      <c r="N127" s="396"/>
      <c r="O127" s="396"/>
      <c r="P127" s="396"/>
      <c r="Q127" s="396"/>
      <c r="R127" s="397"/>
      <c r="S127" s="395"/>
      <c r="T127" s="396"/>
      <c r="U127" s="396"/>
      <c r="V127" s="396"/>
      <c r="W127" s="396"/>
      <c r="X127" s="397"/>
      <c r="Y127" s="252" t="str">
        <f t="shared" ref="Y127:Y136" si="36">IF($H127="","",IF($S127="Normal",VLOOKUP($H127,ComponentMatrix,7,FALSE),IF($S127="Alternate",1,IF($S127="Dynamic",2,IF($S127="None",0,"")))))</f>
        <v/>
      </c>
      <c r="Z127" s="253"/>
      <c r="AA127" s="254"/>
      <c r="AB127" s="252" t="str">
        <f>IF($H127="","",VLOOKUP($H127,ComponentMatrix,5,FALSE))</f>
        <v/>
      </c>
      <c r="AC127" s="253"/>
      <c r="AD127" s="254"/>
      <c r="AE127" s="252" t="str">
        <f>IF($H127="","",VLOOKUP($H127,ComponentMatrix,9,FALSE))</f>
        <v/>
      </c>
      <c r="AF127" s="253"/>
      <c r="AG127" s="253"/>
      <c r="AH127" s="253"/>
      <c r="AI127" s="253"/>
      <c r="AJ127" s="253"/>
      <c r="AK127" s="254"/>
      <c r="AL127" s="398" t="str">
        <f t="shared" ref="AL127:AL136" si="37">IF($H127="","",VLOOKUP($H127,ComponentMatrix,15,FALSE))</f>
        <v/>
      </c>
      <c r="AM127" s="399"/>
      <c r="AN127" s="399"/>
      <c r="AO127" s="399"/>
      <c r="AP127" s="399"/>
      <c r="AQ127" s="399"/>
      <c r="AR127" s="400"/>
      <c r="AS127" s="20"/>
      <c r="BF127" s="384" t="str">
        <f>IF(H127="","",IF(S127="Alternate","Alt: ","")&amp;IF(S127="Dynamic","Dyn: ","")&amp;IF(H127=AE127,AE127&amp;" "&amp;AB127&amp;IF(AL127="",""," ["&amp;AL127&amp;"]"),IF(AE127="Custom",H127&amp;" ("&amp;Y127&amp;" points)"&amp;CHAR(10),H127&amp;": "&amp;AE127&amp;" "&amp;AB127&amp;IF(AL127="",""," ["&amp;AL127&amp;"]"))))</f>
        <v/>
      </c>
      <c r="BG127" s="385"/>
      <c r="BH127" s="385"/>
      <c r="BI127" s="385"/>
      <c r="BJ127" s="385"/>
      <c r="BK127" s="385"/>
      <c r="BL127" s="385"/>
      <c r="BM127" s="385"/>
      <c r="BN127" s="386"/>
      <c r="BO127" s="371" t="str">
        <f>IF(BF127="","","     "&amp;BF127)</f>
        <v/>
      </c>
      <c r="BP127" s="371"/>
      <c r="BQ127" s="371"/>
      <c r="BR127" s="371"/>
      <c r="BS127" s="371"/>
      <c r="BT127" s="371"/>
      <c r="BU127" s="371"/>
      <c r="BV127" s="371"/>
      <c r="BW127" s="371"/>
      <c r="BX127" s="349"/>
      <c r="BY127" s="334"/>
      <c r="BZ127" s="334"/>
      <c r="CA127" s="334"/>
      <c r="CB127" s="334"/>
      <c r="CC127" s="334"/>
      <c r="CD127" s="334"/>
      <c r="CE127" s="334"/>
      <c r="CF127" s="334"/>
      <c r="CG127" s="334"/>
      <c r="CH127" s="334"/>
      <c r="CI127" s="334"/>
      <c r="CJ127" s="334"/>
      <c r="CK127" s="334"/>
      <c r="CL127" s="334"/>
      <c r="CM127" s="334"/>
      <c r="CN127" s="334"/>
      <c r="CO127" s="350"/>
      <c r="CP127" s="349"/>
      <c r="CQ127" s="334"/>
      <c r="CR127" s="334"/>
      <c r="CS127" s="334"/>
      <c r="CT127" s="334"/>
      <c r="CU127" s="334"/>
      <c r="CV127" s="334"/>
      <c r="CW127" s="334"/>
      <c r="CX127" s="334"/>
      <c r="CY127" s="334"/>
      <c r="CZ127" s="334"/>
      <c r="DA127" s="334"/>
      <c r="DB127" s="334"/>
      <c r="DC127" s="334"/>
      <c r="DD127" s="334"/>
      <c r="DE127" s="334"/>
      <c r="DF127" s="334"/>
      <c r="DG127" s="350"/>
      <c r="DH127" s="349"/>
      <c r="DI127" s="334"/>
      <c r="DJ127" s="334"/>
      <c r="DK127" s="334"/>
      <c r="DL127" s="334"/>
      <c r="DM127" s="334"/>
      <c r="DN127" s="334"/>
      <c r="DO127" s="334"/>
      <c r="DP127" s="334"/>
      <c r="DQ127" s="334"/>
      <c r="DR127" s="334"/>
      <c r="DS127" s="334"/>
      <c r="DT127" s="334"/>
      <c r="DU127" s="334"/>
      <c r="DV127" s="334"/>
      <c r="DW127" s="334"/>
      <c r="DX127" s="334"/>
      <c r="DY127" s="350"/>
    </row>
    <row r="128" spans="2:129" ht="13.5" customHeight="1" thickBot="1">
      <c r="B128" s="18"/>
      <c r="C128" s="19" t="s">
        <v>496</v>
      </c>
      <c r="D128" s="19"/>
      <c r="E128" s="19"/>
      <c r="F128" s="19"/>
      <c r="G128" s="19"/>
      <c r="H128" s="395"/>
      <c r="I128" s="396"/>
      <c r="J128" s="396"/>
      <c r="K128" s="396"/>
      <c r="L128" s="396"/>
      <c r="M128" s="396"/>
      <c r="N128" s="396"/>
      <c r="O128" s="396"/>
      <c r="P128" s="396"/>
      <c r="Q128" s="396"/>
      <c r="R128" s="397"/>
      <c r="S128" s="395"/>
      <c r="T128" s="396"/>
      <c r="U128" s="396"/>
      <c r="V128" s="396"/>
      <c r="W128" s="396"/>
      <c r="X128" s="397"/>
      <c r="Y128" s="252" t="str">
        <f t="shared" si="36"/>
        <v/>
      </c>
      <c r="Z128" s="253"/>
      <c r="AA128" s="254"/>
      <c r="AB128" s="252" t="str">
        <f t="shared" ref="AB128:AB136" si="38">IF(H128="","",VLOOKUP(H128,ComponentMatrix,5,FALSE))</f>
        <v/>
      </c>
      <c r="AC128" s="253"/>
      <c r="AD128" s="254"/>
      <c r="AE128" s="252" t="str">
        <f t="shared" ref="AE128:AE136" si="39">IF(H128="","",VLOOKUP(H128,ComponentMatrix,9,FALSE))</f>
        <v/>
      </c>
      <c r="AF128" s="253"/>
      <c r="AG128" s="253"/>
      <c r="AH128" s="253"/>
      <c r="AI128" s="253"/>
      <c r="AJ128" s="253"/>
      <c r="AK128" s="254"/>
      <c r="AL128" s="398" t="str">
        <f t="shared" si="37"/>
        <v/>
      </c>
      <c r="AM128" s="399"/>
      <c r="AN128" s="399"/>
      <c r="AO128" s="399"/>
      <c r="AP128" s="399"/>
      <c r="AQ128" s="399"/>
      <c r="AR128" s="400"/>
      <c r="AS128" s="20"/>
      <c r="BF128" s="384" t="str">
        <f t="shared" ref="BF128:BF136" si="40">IF(H128="","",IF(S128="Alternate","Alt: ","")&amp;IF(S128="Dynamic","Dyn: ","")&amp;IF(H128=AE128,AE128&amp;" "&amp;AB128&amp;IF(AL128="",""," ["&amp;AL128&amp;"]"),IF(AE128="Custom",H128&amp;" ("&amp;Y128&amp;" points)"&amp;CHAR(10),H128&amp;": "&amp;AE128&amp;" "&amp;AB128&amp;IF(AL128="",""," ["&amp;AL128&amp;"]"))))</f>
        <v/>
      </c>
      <c r="BG128" s="385"/>
      <c r="BH128" s="385"/>
      <c r="BI128" s="385"/>
      <c r="BJ128" s="385"/>
      <c r="BK128" s="385"/>
      <c r="BL128" s="385"/>
      <c r="BM128" s="385"/>
      <c r="BN128" s="386"/>
      <c r="BO128" s="387" t="str">
        <f>BO127&amp;IF(AE127="Custom","     "&amp;BF128,IF(S128="None",", "&amp;BF128,"")&amp;IF(OR(S128="Alternate",S128="Dynamic"),CHAR(10)&amp;"     "&amp;BF128,"")&amp;IF(S128="Normal",IF(OR(S127="Alternate",S127="Dynamic",S127="None"),CHAR(10)&amp;"     "&amp;BF128,", "&amp;BF128),""))</f>
        <v/>
      </c>
      <c r="BP128" s="387"/>
      <c r="BQ128" s="387"/>
      <c r="BR128" s="387"/>
      <c r="BS128" s="387"/>
      <c r="BT128" s="387"/>
      <c r="BU128" s="387"/>
      <c r="BV128" s="387"/>
      <c r="BW128" s="387"/>
      <c r="BX128" s="349"/>
      <c r="BY128" s="334"/>
      <c r="BZ128" s="334"/>
      <c r="CA128" s="334"/>
      <c r="CB128" s="334"/>
      <c r="CC128" s="334"/>
      <c r="CD128" s="334"/>
      <c r="CE128" s="334"/>
      <c r="CF128" s="334"/>
      <c r="CG128" s="334"/>
      <c r="CH128" s="334"/>
      <c r="CI128" s="334"/>
      <c r="CJ128" s="334"/>
      <c r="CK128" s="334"/>
      <c r="CL128" s="334"/>
      <c r="CM128" s="334"/>
      <c r="CN128" s="334"/>
      <c r="CO128" s="350"/>
      <c r="CP128" s="349"/>
      <c r="CQ128" s="334"/>
      <c r="CR128" s="334"/>
      <c r="CS128" s="334"/>
      <c r="CT128" s="334"/>
      <c r="CU128" s="334"/>
      <c r="CV128" s="334"/>
      <c r="CW128" s="334"/>
      <c r="CX128" s="334"/>
      <c r="CY128" s="334"/>
      <c r="CZ128" s="334"/>
      <c r="DA128" s="334"/>
      <c r="DB128" s="334"/>
      <c r="DC128" s="334"/>
      <c r="DD128" s="334"/>
      <c r="DE128" s="334"/>
      <c r="DF128" s="334"/>
      <c r="DG128" s="350"/>
      <c r="DH128" s="349"/>
      <c r="DI128" s="334"/>
      <c r="DJ128" s="334"/>
      <c r="DK128" s="334"/>
      <c r="DL128" s="334"/>
      <c r="DM128" s="334"/>
      <c r="DN128" s="334"/>
      <c r="DO128" s="334"/>
      <c r="DP128" s="334"/>
      <c r="DQ128" s="334"/>
      <c r="DR128" s="334"/>
      <c r="DS128" s="334"/>
      <c r="DT128" s="334"/>
      <c r="DU128" s="334"/>
      <c r="DV128" s="334"/>
      <c r="DW128" s="334"/>
      <c r="DX128" s="334"/>
      <c r="DY128" s="350"/>
    </row>
    <row r="129" spans="2:129" ht="13.5" customHeight="1" thickBot="1">
      <c r="B129" s="18"/>
      <c r="C129" s="19" t="s">
        <v>497</v>
      </c>
      <c r="D129" s="19"/>
      <c r="E129" s="19"/>
      <c r="F129" s="19"/>
      <c r="G129" s="19"/>
      <c r="H129" s="395"/>
      <c r="I129" s="396"/>
      <c r="J129" s="396"/>
      <c r="K129" s="396"/>
      <c r="L129" s="396"/>
      <c r="M129" s="396"/>
      <c r="N129" s="396"/>
      <c r="O129" s="396"/>
      <c r="P129" s="396"/>
      <c r="Q129" s="396"/>
      <c r="R129" s="397"/>
      <c r="S129" s="395"/>
      <c r="T129" s="396"/>
      <c r="U129" s="396"/>
      <c r="V129" s="396"/>
      <c r="W129" s="396"/>
      <c r="X129" s="397"/>
      <c r="Y129" s="252" t="str">
        <f t="shared" si="36"/>
        <v/>
      </c>
      <c r="Z129" s="253"/>
      <c r="AA129" s="254"/>
      <c r="AB129" s="252" t="str">
        <f t="shared" si="38"/>
        <v/>
      </c>
      <c r="AC129" s="253"/>
      <c r="AD129" s="254"/>
      <c r="AE129" s="252" t="str">
        <f t="shared" si="39"/>
        <v/>
      </c>
      <c r="AF129" s="253"/>
      <c r="AG129" s="253"/>
      <c r="AH129" s="253"/>
      <c r="AI129" s="253"/>
      <c r="AJ129" s="253"/>
      <c r="AK129" s="254"/>
      <c r="AL129" s="398" t="str">
        <f t="shared" si="37"/>
        <v/>
      </c>
      <c r="AM129" s="399"/>
      <c r="AN129" s="399"/>
      <c r="AO129" s="399"/>
      <c r="AP129" s="399"/>
      <c r="AQ129" s="399"/>
      <c r="AR129" s="400"/>
      <c r="AS129" s="20"/>
      <c r="BF129" s="384" t="str">
        <f t="shared" si="40"/>
        <v/>
      </c>
      <c r="BG129" s="385"/>
      <c r="BH129" s="385"/>
      <c r="BI129" s="385"/>
      <c r="BJ129" s="385"/>
      <c r="BK129" s="385"/>
      <c r="BL129" s="385"/>
      <c r="BM129" s="385"/>
      <c r="BN129" s="386"/>
      <c r="BO129" s="387" t="str">
        <f t="shared" ref="BO129:BO136" si="41">BO128&amp;IF(AE128="Custom","     "&amp;BF129,IF(S129="None",", "&amp;BF129,"")&amp;IF(OR(S129="Alternate",S129="Dynamic"),CHAR(10)&amp;"     "&amp;BF129,"")&amp;IF(S129="Normal",IF(OR(S128="Alternate",S128="Dynamic",S128="None"),CHAR(10)&amp;"     "&amp;BF129,", "&amp;BF129),""))</f>
        <v/>
      </c>
      <c r="BP129" s="387"/>
      <c r="BQ129" s="387"/>
      <c r="BR129" s="387"/>
      <c r="BS129" s="387"/>
      <c r="BT129" s="387"/>
      <c r="BU129" s="387"/>
      <c r="BV129" s="387"/>
      <c r="BW129" s="387"/>
      <c r="BX129" s="349"/>
      <c r="BY129" s="334"/>
      <c r="BZ129" s="334"/>
      <c r="CA129" s="334"/>
      <c r="CB129" s="334"/>
      <c r="CC129" s="334"/>
      <c r="CD129" s="334"/>
      <c r="CE129" s="334"/>
      <c r="CF129" s="334"/>
      <c r="CG129" s="334"/>
      <c r="CH129" s="334"/>
      <c r="CI129" s="334"/>
      <c r="CJ129" s="334"/>
      <c r="CK129" s="334"/>
      <c r="CL129" s="334"/>
      <c r="CM129" s="334"/>
      <c r="CN129" s="334"/>
      <c r="CO129" s="350"/>
      <c r="CP129" s="349"/>
      <c r="CQ129" s="334"/>
      <c r="CR129" s="334"/>
      <c r="CS129" s="334"/>
      <c r="CT129" s="334"/>
      <c r="CU129" s="334"/>
      <c r="CV129" s="334"/>
      <c r="CW129" s="334"/>
      <c r="CX129" s="334"/>
      <c r="CY129" s="334"/>
      <c r="CZ129" s="334"/>
      <c r="DA129" s="334"/>
      <c r="DB129" s="334"/>
      <c r="DC129" s="334"/>
      <c r="DD129" s="334"/>
      <c r="DE129" s="334"/>
      <c r="DF129" s="334"/>
      <c r="DG129" s="350"/>
      <c r="DH129" s="349"/>
      <c r="DI129" s="334"/>
      <c r="DJ129" s="334"/>
      <c r="DK129" s="334"/>
      <c r="DL129" s="334"/>
      <c r="DM129" s="334"/>
      <c r="DN129" s="334"/>
      <c r="DO129" s="334"/>
      <c r="DP129" s="334"/>
      <c r="DQ129" s="334"/>
      <c r="DR129" s="334"/>
      <c r="DS129" s="334"/>
      <c r="DT129" s="334"/>
      <c r="DU129" s="334"/>
      <c r="DV129" s="334"/>
      <c r="DW129" s="334"/>
      <c r="DX129" s="334"/>
      <c r="DY129" s="350"/>
    </row>
    <row r="130" spans="2:129" ht="13.5" customHeight="1" thickBot="1">
      <c r="B130" s="18"/>
      <c r="C130" s="19" t="s">
        <v>498</v>
      </c>
      <c r="D130" s="19"/>
      <c r="E130" s="19"/>
      <c r="F130" s="19"/>
      <c r="G130" s="19"/>
      <c r="H130" s="395"/>
      <c r="I130" s="396"/>
      <c r="J130" s="396"/>
      <c r="K130" s="396"/>
      <c r="L130" s="396"/>
      <c r="M130" s="396"/>
      <c r="N130" s="396"/>
      <c r="O130" s="396"/>
      <c r="P130" s="396"/>
      <c r="Q130" s="396"/>
      <c r="R130" s="397"/>
      <c r="S130" s="395"/>
      <c r="T130" s="396"/>
      <c r="U130" s="396"/>
      <c r="V130" s="396"/>
      <c r="W130" s="396"/>
      <c r="X130" s="397"/>
      <c r="Y130" s="252" t="str">
        <f t="shared" si="36"/>
        <v/>
      </c>
      <c r="Z130" s="253"/>
      <c r="AA130" s="254"/>
      <c r="AB130" s="252" t="str">
        <f t="shared" si="38"/>
        <v/>
      </c>
      <c r="AC130" s="253"/>
      <c r="AD130" s="254"/>
      <c r="AE130" s="252" t="str">
        <f t="shared" si="39"/>
        <v/>
      </c>
      <c r="AF130" s="253"/>
      <c r="AG130" s="253"/>
      <c r="AH130" s="253"/>
      <c r="AI130" s="253"/>
      <c r="AJ130" s="253"/>
      <c r="AK130" s="254"/>
      <c r="AL130" s="398" t="str">
        <f t="shared" si="37"/>
        <v/>
      </c>
      <c r="AM130" s="399"/>
      <c r="AN130" s="399"/>
      <c r="AO130" s="399"/>
      <c r="AP130" s="399"/>
      <c r="AQ130" s="399"/>
      <c r="AR130" s="400"/>
      <c r="AS130" s="20"/>
      <c r="BF130" s="384" t="str">
        <f t="shared" si="40"/>
        <v/>
      </c>
      <c r="BG130" s="385"/>
      <c r="BH130" s="385"/>
      <c r="BI130" s="385"/>
      <c r="BJ130" s="385"/>
      <c r="BK130" s="385"/>
      <c r="BL130" s="385"/>
      <c r="BM130" s="385"/>
      <c r="BN130" s="386"/>
      <c r="BO130" s="387" t="str">
        <f t="shared" si="41"/>
        <v/>
      </c>
      <c r="BP130" s="387"/>
      <c r="BQ130" s="387"/>
      <c r="BR130" s="387"/>
      <c r="BS130" s="387"/>
      <c r="BT130" s="387"/>
      <c r="BU130" s="387"/>
      <c r="BV130" s="387"/>
      <c r="BW130" s="387"/>
      <c r="BX130" s="349"/>
      <c r="BY130" s="334"/>
      <c r="BZ130" s="334"/>
      <c r="CA130" s="334"/>
      <c r="CB130" s="334"/>
      <c r="CC130" s="334"/>
      <c r="CD130" s="334"/>
      <c r="CE130" s="334"/>
      <c r="CF130" s="334"/>
      <c r="CG130" s="334"/>
      <c r="CH130" s="334"/>
      <c r="CI130" s="334"/>
      <c r="CJ130" s="334"/>
      <c r="CK130" s="334"/>
      <c r="CL130" s="334"/>
      <c r="CM130" s="334"/>
      <c r="CN130" s="334"/>
      <c r="CO130" s="350"/>
      <c r="CP130" s="349"/>
      <c r="CQ130" s="334"/>
      <c r="CR130" s="334"/>
      <c r="CS130" s="334"/>
      <c r="CT130" s="334"/>
      <c r="CU130" s="334"/>
      <c r="CV130" s="334"/>
      <c r="CW130" s="334"/>
      <c r="CX130" s="334"/>
      <c r="CY130" s="334"/>
      <c r="CZ130" s="334"/>
      <c r="DA130" s="334"/>
      <c r="DB130" s="334"/>
      <c r="DC130" s="334"/>
      <c r="DD130" s="334"/>
      <c r="DE130" s="334"/>
      <c r="DF130" s="334"/>
      <c r="DG130" s="350"/>
      <c r="DH130" s="349"/>
      <c r="DI130" s="334"/>
      <c r="DJ130" s="334"/>
      <c r="DK130" s="334"/>
      <c r="DL130" s="334"/>
      <c r="DM130" s="334"/>
      <c r="DN130" s="334"/>
      <c r="DO130" s="334"/>
      <c r="DP130" s="334"/>
      <c r="DQ130" s="334"/>
      <c r="DR130" s="334"/>
      <c r="DS130" s="334"/>
      <c r="DT130" s="334"/>
      <c r="DU130" s="334"/>
      <c r="DV130" s="334"/>
      <c r="DW130" s="334"/>
      <c r="DX130" s="334"/>
      <c r="DY130" s="350"/>
    </row>
    <row r="131" spans="2:129" ht="13.5" customHeight="1" thickBot="1">
      <c r="B131" s="18"/>
      <c r="C131" s="19" t="s">
        <v>499</v>
      </c>
      <c r="D131" s="19"/>
      <c r="E131" s="19"/>
      <c r="F131" s="19"/>
      <c r="G131" s="19"/>
      <c r="H131" s="395"/>
      <c r="I131" s="396"/>
      <c r="J131" s="396"/>
      <c r="K131" s="396"/>
      <c r="L131" s="396"/>
      <c r="M131" s="396"/>
      <c r="N131" s="396"/>
      <c r="O131" s="396"/>
      <c r="P131" s="396"/>
      <c r="Q131" s="396"/>
      <c r="R131" s="397"/>
      <c r="S131" s="395"/>
      <c r="T131" s="396"/>
      <c r="U131" s="396"/>
      <c r="V131" s="396"/>
      <c r="W131" s="396"/>
      <c r="X131" s="397"/>
      <c r="Y131" s="252" t="str">
        <f t="shared" si="36"/>
        <v/>
      </c>
      <c r="Z131" s="253"/>
      <c r="AA131" s="254"/>
      <c r="AB131" s="252" t="str">
        <f t="shared" si="38"/>
        <v/>
      </c>
      <c r="AC131" s="253"/>
      <c r="AD131" s="254"/>
      <c r="AE131" s="252" t="str">
        <f t="shared" si="39"/>
        <v/>
      </c>
      <c r="AF131" s="253"/>
      <c r="AG131" s="253"/>
      <c r="AH131" s="253"/>
      <c r="AI131" s="253"/>
      <c r="AJ131" s="253"/>
      <c r="AK131" s="254"/>
      <c r="AL131" s="398" t="str">
        <f t="shared" si="37"/>
        <v/>
      </c>
      <c r="AM131" s="399"/>
      <c r="AN131" s="399"/>
      <c r="AO131" s="399"/>
      <c r="AP131" s="399"/>
      <c r="AQ131" s="399"/>
      <c r="AR131" s="400"/>
      <c r="AS131" s="20"/>
      <c r="BF131" s="384" t="str">
        <f t="shared" si="40"/>
        <v/>
      </c>
      <c r="BG131" s="385"/>
      <c r="BH131" s="385"/>
      <c r="BI131" s="385"/>
      <c r="BJ131" s="385"/>
      <c r="BK131" s="385"/>
      <c r="BL131" s="385"/>
      <c r="BM131" s="385"/>
      <c r="BN131" s="386"/>
      <c r="BO131" s="387" t="str">
        <f t="shared" si="41"/>
        <v/>
      </c>
      <c r="BP131" s="387"/>
      <c r="BQ131" s="387"/>
      <c r="BR131" s="387"/>
      <c r="BS131" s="387"/>
      <c r="BT131" s="387"/>
      <c r="BU131" s="387"/>
      <c r="BV131" s="387"/>
      <c r="BW131" s="387"/>
      <c r="BX131" s="349"/>
      <c r="BY131" s="334"/>
      <c r="BZ131" s="334"/>
      <c r="CA131" s="334"/>
      <c r="CB131" s="334"/>
      <c r="CC131" s="334"/>
      <c r="CD131" s="334"/>
      <c r="CE131" s="334"/>
      <c r="CF131" s="334"/>
      <c r="CG131" s="334"/>
      <c r="CH131" s="334"/>
      <c r="CI131" s="334"/>
      <c r="CJ131" s="334"/>
      <c r="CK131" s="334"/>
      <c r="CL131" s="334"/>
      <c r="CM131" s="334"/>
      <c r="CN131" s="334"/>
      <c r="CO131" s="350"/>
      <c r="CP131" s="349"/>
      <c r="CQ131" s="334"/>
      <c r="CR131" s="334"/>
      <c r="CS131" s="334"/>
      <c r="CT131" s="334"/>
      <c r="CU131" s="334"/>
      <c r="CV131" s="334"/>
      <c r="CW131" s="334"/>
      <c r="CX131" s="334"/>
      <c r="CY131" s="334"/>
      <c r="CZ131" s="334"/>
      <c r="DA131" s="334"/>
      <c r="DB131" s="334"/>
      <c r="DC131" s="334"/>
      <c r="DD131" s="334"/>
      <c r="DE131" s="334"/>
      <c r="DF131" s="334"/>
      <c r="DG131" s="350"/>
      <c r="DH131" s="349"/>
      <c r="DI131" s="334"/>
      <c r="DJ131" s="334"/>
      <c r="DK131" s="334"/>
      <c r="DL131" s="334"/>
      <c r="DM131" s="334"/>
      <c r="DN131" s="334"/>
      <c r="DO131" s="334"/>
      <c r="DP131" s="334"/>
      <c r="DQ131" s="334"/>
      <c r="DR131" s="334"/>
      <c r="DS131" s="334"/>
      <c r="DT131" s="334"/>
      <c r="DU131" s="334"/>
      <c r="DV131" s="334"/>
      <c r="DW131" s="334"/>
      <c r="DX131" s="334"/>
      <c r="DY131" s="350"/>
    </row>
    <row r="132" spans="2:129" ht="13.5" customHeight="1" thickBot="1">
      <c r="B132" s="18"/>
      <c r="C132" s="19" t="s">
        <v>500</v>
      </c>
      <c r="D132" s="19"/>
      <c r="E132" s="19"/>
      <c r="F132" s="19"/>
      <c r="G132" s="19"/>
      <c r="H132" s="395"/>
      <c r="I132" s="396"/>
      <c r="J132" s="396"/>
      <c r="K132" s="396"/>
      <c r="L132" s="396"/>
      <c r="M132" s="396"/>
      <c r="N132" s="396"/>
      <c r="O132" s="396"/>
      <c r="P132" s="396"/>
      <c r="Q132" s="396"/>
      <c r="R132" s="397"/>
      <c r="S132" s="395"/>
      <c r="T132" s="396"/>
      <c r="U132" s="396"/>
      <c r="V132" s="396"/>
      <c r="W132" s="396"/>
      <c r="X132" s="397"/>
      <c r="Y132" s="252" t="str">
        <f t="shared" si="36"/>
        <v/>
      </c>
      <c r="Z132" s="253"/>
      <c r="AA132" s="254"/>
      <c r="AB132" s="252" t="str">
        <f t="shared" si="38"/>
        <v/>
      </c>
      <c r="AC132" s="253"/>
      <c r="AD132" s="254"/>
      <c r="AE132" s="252" t="str">
        <f t="shared" si="39"/>
        <v/>
      </c>
      <c r="AF132" s="253"/>
      <c r="AG132" s="253"/>
      <c r="AH132" s="253"/>
      <c r="AI132" s="253"/>
      <c r="AJ132" s="253"/>
      <c r="AK132" s="254"/>
      <c r="AL132" s="398" t="str">
        <f t="shared" si="37"/>
        <v/>
      </c>
      <c r="AM132" s="399"/>
      <c r="AN132" s="399"/>
      <c r="AO132" s="399"/>
      <c r="AP132" s="399"/>
      <c r="AQ132" s="399"/>
      <c r="AR132" s="400"/>
      <c r="AS132" s="20"/>
      <c r="BF132" s="384" t="str">
        <f t="shared" si="40"/>
        <v/>
      </c>
      <c r="BG132" s="385"/>
      <c r="BH132" s="385"/>
      <c r="BI132" s="385"/>
      <c r="BJ132" s="385"/>
      <c r="BK132" s="385"/>
      <c r="BL132" s="385"/>
      <c r="BM132" s="385"/>
      <c r="BN132" s="386"/>
      <c r="BO132" s="387" t="str">
        <f t="shared" si="41"/>
        <v/>
      </c>
      <c r="BP132" s="387"/>
      <c r="BQ132" s="387"/>
      <c r="BR132" s="387"/>
      <c r="BS132" s="387"/>
      <c r="BT132" s="387"/>
      <c r="BU132" s="387"/>
      <c r="BV132" s="387"/>
      <c r="BW132" s="387"/>
      <c r="BX132" s="349"/>
      <c r="BY132" s="334"/>
      <c r="BZ132" s="334"/>
      <c r="CA132" s="334"/>
      <c r="CB132" s="334"/>
      <c r="CC132" s="334"/>
      <c r="CD132" s="334"/>
      <c r="CE132" s="334"/>
      <c r="CF132" s="334"/>
      <c r="CG132" s="334"/>
      <c r="CH132" s="334"/>
      <c r="CI132" s="334"/>
      <c r="CJ132" s="334"/>
      <c r="CK132" s="334"/>
      <c r="CL132" s="334"/>
      <c r="CM132" s="334"/>
      <c r="CN132" s="334"/>
      <c r="CO132" s="350"/>
      <c r="CP132" s="349"/>
      <c r="CQ132" s="334"/>
      <c r="CR132" s="334"/>
      <c r="CS132" s="334"/>
      <c r="CT132" s="334"/>
      <c r="CU132" s="334"/>
      <c r="CV132" s="334"/>
      <c r="CW132" s="334"/>
      <c r="CX132" s="334"/>
      <c r="CY132" s="334"/>
      <c r="CZ132" s="334"/>
      <c r="DA132" s="334"/>
      <c r="DB132" s="334"/>
      <c r="DC132" s="334"/>
      <c r="DD132" s="334"/>
      <c r="DE132" s="334"/>
      <c r="DF132" s="334"/>
      <c r="DG132" s="350"/>
      <c r="DH132" s="349"/>
      <c r="DI132" s="334"/>
      <c r="DJ132" s="334"/>
      <c r="DK132" s="334"/>
      <c r="DL132" s="334"/>
      <c r="DM132" s="334"/>
      <c r="DN132" s="334"/>
      <c r="DO132" s="334"/>
      <c r="DP132" s="334"/>
      <c r="DQ132" s="334"/>
      <c r="DR132" s="334"/>
      <c r="DS132" s="334"/>
      <c r="DT132" s="334"/>
      <c r="DU132" s="334"/>
      <c r="DV132" s="334"/>
      <c r="DW132" s="334"/>
      <c r="DX132" s="334"/>
      <c r="DY132" s="350"/>
    </row>
    <row r="133" spans="2:129" ht="13.5" customHeight="1" thickBot="1">
      <c r="B133" s="18"/>
      <c r="C133" s="19" t="s">
        <v>501</v>
      </c>
      <c r="D133" s="19"/>
      <c r="E133" s="19"/>
      <c r="F133" s="19"/>
      <c r="G133" s="19"/>
      <c r="H133" s="395"/>
      <c r="I133" s="396"/>
      <c r="J133" s="396"/>
      <c r="K133" s="396"/>
      <c r="L133" s="396"/>
      <c r="M133" s="396"/>
      <c r="N133" s="396"/>
      <c r="O133" s="396"/>
      <c r="P133" s="396"/>
      <c r="Q133" s="396"/>
      <c r="R133" s="397"/>
      <c r="S133" s="395"/>
      <c r="T133" s="396"/>
      <c r="U133" s="396"/>
      <c r="V133" s="396"/>
      <c r="W133" s="396"/>
      <c r="X133" s="397"/>
      <c r="Y133" s="252" t="str">
        <f t="shared" si="36"/>
        <v/>
      </c>
      <c r="Z133" s="253"/>
      <c r="AA133" s="254"/>
      <c r="AB133" s="252" t="str">
        <f t="shared" si="38"/>
        <v/>
      </c>
      <c r="AC133" s="253"/>
      <c r="AD133" s="254"/>
      <c r="AE133" s="252" t="str">
        <f t="shared" si="39"/>
        <v/>
      </c>
      <c r="AF133" s="253"/>
      <c r="AG133" s="253"/>
      <c r="AH133" s="253"/>
      <c r="AI133" s="253"/>
      <c r="AJ133" s="253"/>
      <c r="AK133" s="254"/>
      <c r="AL133" s="398" t="str">
        <f t="shared" si="37"/>
        <v/>
      </c>
      <c r="AM133" s="399"/>
      <c r="AN133" s="399"/>
      <c r="AO133" s="399"/>
      <c r="AP133" s="399"/>
      <c r="AQ133" s="399"/>
      <c r="AR133" s="400"/>
      <c r="AS133" s="20"/>
      <c r="BF133" s="384" t="str">
        <f t="shared" si="40"/>
        <v/>
      </c>
      <c r="BG133" s="385"/>
      <c r="BH133" s="385"/>
      <c r="BI133" s="385"/>
      <c r="BJ133" s="385"/>
      <c r="BK133" s="385"/>
      <c r="BL133" s="385"/>
      <c r="BM133" s="385"/>
      <c r="BN133" s="386"/>
      <c r="BO133" s="387" t="str">
        <f t="shared" si="41"/>
        <v/>
      </c>
      <c r="BP133" s="387"/>
      <c r="BQ133" s="387"/>
      <c r="BR133" s="387"/>
      <c r="BS133" s="387"/>
      <c r="BT133" s="387"/>
      <c r="BU133" s="387"/>
      <c r="BV133" s="387"/>
      <c r="BW133" s="387"/>
      <c r="BX133" s="349"/>
      <c r="BY133" s="334"/>
      <c r="BZ133" s="334"/>
      <c r="CA133" s="334"/>
      <c r="CB133" s="334"/>
      <c r="CC133" s="334"/>
      <c r="CD133" s="334"/>
      <c r="CE133" s="334"/>
      <c r="CF133" s="334"/>
      <c r="CG133" s="334"/>
      <c r="CH133" s="334"/>
      <c r="CI133" s="334"/>
      <c r="CJ133" s="334"/>
      <c r="CK133" s="334"/>
      <c r="CL133" s="334"/>
      <c r="CM133" s="334"/>
      <c r="CN133" s="334"/>
      <c r="CO133" s="350"/>
      <c r="CP133" s="349"/>
      <c r="CQ133" s="334"/>
      <c r="CR133" s="334"/>
      <c r="CS133" s="334"/>
      <c r="CT133" s="334"/>
      <c r="CU133" s="334"/>
      <c r="CV133" s="334"/>
      <c r="CW133" s="334"/>
      <c r="CX133" s="334"/>
      <c r="CY133" s="334"/>
      <c r="CZ133" s="334"/>
      <c r="DA133" s="334"/>
      <c r="DB133" s="334"/>
      <c r="DC133" s="334"/>
      <c r="DD133" s="334"/>
      <c r="DE133" s="334"/>
      <c r="DF133" s="334"/>
      <c r="DG133" s="350"/>
      <c r="DH133" s="349"/>
      <c r="DI133" s="334"/>
      <c r="DJ133" s="334"/>
      <c r="DK133" s="334"/>
      <c r="DL133" s="334"/>
      <c r="DM133" s="334"/>
      <c r="DN133" s="334"/>
      <c r="DO133" s="334"/>
      <c r="DP133" s="334"/>
      <c r="DQ133" s="334"/>
      <c r="DR133" s="334"/>
      <c r="DS133" s="334"/>
      <c r="DT133" s="334"/>
      <c r="DU133" s="334"/>
      <c r="DV133" s="334"/>
      <c r="DW133" s="334"/>
      <c r="DX133" s="334"/>
      <c r="DY133" s="350"/>
    </row>
    <row r="134" spans="2:129" ht="13.5" customHeight="1" thickBot="1">
      <c r="B134" s="18"/>
      <c r="C134" s="19" t="s">
        <v>502</v>
      </c>
      <c r="D134" s="19"/>
      <c r="E134" s="19"/>
      <c r="F134" s="19"/>
      <c r="G134" s="19"/>
      <c r="H134" s="395"/>
      <c r="I134" s="396"/>
      <c r="J134" s="396"/>
      <c r="K134" s="396"/>
      <c r="L134" s="396"/>
      <c r="M134" s="396"/>
      <c r="N134" s="396"/>
      <c r="O134" s="396"/>
      <c r="P134" s="396"/>
      <c r="Q134" s="396"/>
      <c r="R134" s="397"/>
      <c r="S134" s="395"/>
      <c r="T134" s="396"/>
      <c r="U134" s="396"/>
      <c r="V134" s="396"/>
      <c r="W134" s="396"/>
      <c r="X134" s="397"/>
      <c r="Y134" s="252" t="str">
        <f t="shared" si="36"/>
        <v/>
      </c>
      <c r="Z134" s="253"/>
      <c r="AA134" s="254"/>
      <c r="AB134" s="252" t="str">
        <f t="shared" si="38"/>
        <v/>
      </c>
      <c r="AC134" s="253"/>
      <c r="AD134" s="254"/>
      <c r="AE134" s="252" t="str">
        <f t="shared" si="39"/>
        <v/>
      </c>
      <c r="AF134" s="253"/>
      <c r="AG134" s="253"/>
      <c r="AH134" s="253"/>
      <c r="AI134" s="253"/>
      <c r="AJ134" s="253"/>
      <c r="AK134" s="254"/>
      <c r="AL134" s="398" t="str">
        <f t="shared" si="37"/>
        <v/>
      </c>
      <c r="AM134" s="399"/>
      <c r="AN134" s="399"/>
      <c r="AO134" s="399"/>
      <c r="AP134" s="399"/>
      <c r="AQ134" s="399"/>
      <c r="AR134" s="400"/>
      <c r="AS134" s="20"/>
      <c r="BF134" s="384" t="str">
        <f t="shared" si="40"/>
        <v/>
      </c>
      <c r="BG134" s="385"/>
      <c r="BH134" s="385"/>
      <c r="BI134" s="385"/>
      <c r="BJ134" s="385"/>
      <c r="BK134" s="385"/>
      <c r="BL134" s="385"/>
      <c r="BM134" s="385"/>
      <c r="BN134" s="386"/>
      <c r="BO134" s="387" t="str">
        <f t="shared" si="41"/>
        <v/>
      </c>
      <c r="BP134" s="387"/>
      <c r="BQ134" s="387"/>
      <c r="BR134" s="387"/>
      <c r="BS134" s="387"/>
      <c r="BT134" s="387"/>
      <c r="BU134" s="387"/>
      <c r="BV134" s="387"/>
      <c r="BW134" s="387"/>
      <c r="BX134" s="349"/>
      <c r="BY134" s="334"/>
      <c r="BZ134" s="334"/>
      <c r="CA134" s="334"/>
      <c r="CB134" s="334"/>
      <c r="CC134" s="334"/>
      <c r="CD134" s="334"/>
      <c r="CE134" s="334"/>
      <c r="CF134" s="334"/>
      <c r="CG134" s="334"/>
      <c r="CH134" s="334"/>
      <c r="CI134" s="334"/>
      <c r="CJ134" s="334"/>
      <c r="CK134" s="334"/>
      <c r="CL134" s="334"/>
      <c r="CM134" s="334"/>
      <c r="CN134" s="334"/>
      <c r="CO134" s="350"/>
      <c r="CP134" s="349"/>
      <c r="CQ134" s="334"/>
      <c r="CR134" s="334"/>
      <c r="CS134" s="334"/>
      <c r="CT134" s="334"/>
      <c r="CU134" s="334"/>
      <c r="CV134" s="334"/>
      <c r="CW134" s="334"/>
      <c r="CX134" s="334"/>
      <c r="CY134" s="334"/>
      <c r="CZ134" s="334"/>
      <c r="DA134" s="334"/>
      <c r="DB134" s="334"/>
      <c r="DC134" s="334"/>
      <c r="DD134" s="334"/>
      <c r="DE134" s="334"/>
      <c r="DF134" s="334"/>
      <c r="DG134" s="350"/>
      <c r="DH134" s="349"/>
      <c r="DI134" s="334"/>
      <c r="DJ134" s="334"/>
      <c r="DK134" s="334"/>
      <c r="DL134" s="334"/>
      <c r="DM134" s="334"/>
      <c r="DN134" s="334"/>
      <c r="DO134" s="334"/>
      <c r="DP134" s="334"/>
      <c r="DQ134" s="334"/>
      <c r="DR134" s="334"/>
      <c r="DS134" s="334"/>
      <c r="DT134" s="334"/>
      <c r="DU134" s="334"/>
      <c r="DV134" s="334"/>
      <c r="DW134" s="334"/>
      <c r="DX134" s="334"/>
      <c r="DY134" s="350"/>
    </row>
    <row r="135" spans="2:129" ht="13.5" customHeight="1" thickBot="1">
      <c r="B135" s="18"/>
      <c r="C135" s="19" t="s">
        <v>503</v>
      </c>
      <c r="D135" s="19"/>
      <c r="E135" s="19"/>
      <c r="F135" s="19"/>
      <c r="G135" s="19"/>
      <c r="H135" s="395"/>
      <c r="I135" s="396"/>
      <c r="J135" s="396"/>
      <c r="K135" s="396"/>
      <c r="L135" s="396"/>
      <c r="M135" s="396"/>
      <c r="N135" s="396"/>
      <c r="O135" s="396"/>
      <c r="P135" s="396"/>
      <c r="Q135" s="396"/>
      <c r="R135" s="397"/>
      <c r="S135" s="395"/>
      <c r="T135" s="396"/>
      <c r="U135" s="396"/>
      <c r="V135" s="396"/>
      <c r="W135" s="396"/>
      <c r="X135" s="397"/>
      <c r="Y135" s="252" t="str">
        <f t="shared" si="36"/>
        <v/>
      </c>
      <c r="Z135" s="253"/>
      <c r="AA135" s="254"/>
      <c r="AB135" s="252" t="str">
        <f t="shared" si="38"/>
        <v/>
      </c>
      <c r="AC135" s="253"/>
      <c r="AD135" s="254"/>
      <c r="AE135" s="252" t="str">
        <f t="shared" si="39"/>
        <v/>
      </c>
      <c r="AF135" s="253"/>
      <c r="AG135" s="253"/>
      <c r="AH135" s="253"/>
      <c r="AI135" s="253"/>
      <c r="AJ135" s="253"/>
      <c r="AK135" s="254"/>
      <c r="AL135" s="398" t="str">
        <f t="shared" si="37"/>
        <v/>
      </c>
      <c r="AM135" s="399"/>
      <c r="AN135" s="399"/>
      <c r="AO135" s="399"/>
      <c r="AP135" s="399"/>
      <c r="AQ135" s="399"/>
      <c r="AR135" s="400"/>
      <c r="AS135" s="20"/>
      <c r="BF135" s="384" t="str">
        <f t="shared" si="40"/>
        <v/>
      </c>
      <c r="BG135" s="385"/>
      <c r="BH135" s="385"/>
      <c r="BI135" s="385"/>
      <c r="BJ135" s="385"/>
      <c r="BK135" s="385"/>
      <c r="BL135" s="385"/>
      <c r="BM135" s="385"/>
      <c r="BN135" s="386"/>
      <c r="BO135" s="387" t="str">
        <f t="shared" si="41"/>
        <v/>
      </c>
      <c r="BP135" s="387"/>
      <c r="BQ135" s="387"/>
      <c r="BR135" s="387"/>
      <c r="BS135" s="387"/>
      <c r="BT135" s="387"/>
      <c r="BU135" s="387"/>
      <c r="BV135" s="387"/>
      <c r="BW135" s="387"/>
      <c r="BX135" s="349"/>
      <c r="BY135" s="334"/>
      <c r="BZ135" s="334"/>
      <c r="CA135" s="334"/>
      <c r="CB135" s="334"/>
      <c r="CC135" s="334"/>
      <c r="CD135" s="334"/>
      <c r="CE135" s="334"/>
      <c r="CF135" s="334"/>
      <c r="CG135" s="334"/>
      <c r="CH135" s="334"/>
      <c r="CI135" s="334"/>
      <c r="CJ135" s="334"/>
      <c r="CK135" s="334"/>
      <c r="CL135" s="334"/>
      <c r="CM135" s="334"/>
      <c r="CN135" s="334"/>
      <c r="CO135" s="350"/>
      <c r="CP135" s="349"/>
      <c r="CQ135" s="334"/>
      <c r="CR135" s="334"/>
      <c r="CS135" s="334"/>
      <c r="CT135" s="334"/>
      <c r="CU135" s="334"/>
      <c r="CV135" s="334"/>
      <c r="CW135" s="334"/>
      <c r="CX135" s="334"/>
      <c r="CY135" s="334"/>
      <c r="CZ135" s="334"/>
      <c r="DA135" s="334"/>
      <c r="DB135" s="334"/>
      <c r="DC135" s="334"/>
      <c r="DD135" s="334"/>
      <c r="DE135" s="334"/>
      <c r="DF135" s="334"/>
      <c r="DG135" s="350"/>
      <c r="DH135" s="349"/>
      <c r="DI135" s="334"/>
      <c r="DJ135" s="334"/>
      <c r="DK135" s="334"/>
      <c r="DL135" s="334"/>
      <c r="DM135" s="334"/>
      <c r="DN135" s="334"/>
      <c r="DO135" s="334"/>
      <c r="DP135" s="334"/>
      <c r="DQ135" s="334"/>
      <c r="DR135" s="334"/>
      <c r="DS135" s="334"/>
      <c r="DT135" s="334"/>
      <c r="DU135" s="334"/>
      <c r="DV135" s="334"/>
      <c r="DW135" s="334"/>
      <c r="DX135" s="334"/>
      <c r="DY135" s="350"/>
    </row>
    <row r="136" spans="2:129" ht="13.5" customHeight="1" thickBot="1">
      <c r="B136" s="18"/>
      <c r="C136" s="19" t="s">
        <v>504</v>
      </c>
      <c r="D136" s="19"/>
      <c r="E136" s="19"/>
      <c r="F136" s="19"/>
      <c r="G136" s="19"/>
      <c r="H136" s="395"/>
      <c r="I136" s="396"/>
      <c r="J136" s="396"/>
      <c r="K136" s="396"/>
      <c r="L136" s="396"/>
      <c r="M136" s="396"/>
      <c r="N136" s="396"/>
      <c r="O136" s="396"/>
      <c r="P136" s="396"/>
      <c r="Q136" s="396"/>
      <c r="R136" s="397"/>
      <c r="S136" s="395"/>
      <c r="T136" s="396"/>
      <c r="U136" s="396"/>
      <c r="V136" s="396"/>
      <c r="W136" s="396"/>
      <c r="X136" s="397"/>
      <c r="Y136" s="252" t="str">
        <f t="shared" si="36"/>
        <v/>
      </c>
      <c r="Z136" s="253"/>
      <c r="AA136" s="254"/>
      <c r="AB136" s="252" t="str">
        <f t="shared" si="38"/>
        <v/>
      </c>
      <c r="AC136" s="253"/>
      <c r="AD136" s="254"/>
      <c r="AE136" s="252" t="str">
        <f t="shared" si="39"/>
        <v/>
      </c>
      <c r="AF136" s="253"/>
      <c r="AG136" s="253"/>
      <c r="AH136" s="253"/>
      <c r="AI136" s="253"/>
      <c r="AJ136" s="253"/>
      <c r="AK136" s="254"/>
      <c r="AL136" s="398" t="str">
        <f t="shared" si="37"/>
        <v/>
      </c>
      <c r="AM136" s="399"/>
      <c r="AN136" s="399"/>
      <c r="AO136" s="399"/>
      <c r="AP136" s="399"/>
      <c r="AQ136" s="399"/>
      <c r="AR136" s="400"/>
      <c r="AS136" s="20"/>
      <c r="BF136" s="384" t="str">
        <f t="shared" si="40"/>
        <v/>
      </c>
      <c r="BG136" s="385"/>
      <c r="BH136" s="385"/>
      <c r="BI136" s="385"/>
      <c r="BJ136" s="385"/>
      <c r="BK136" s="385"/>
      <c r="BL136" s="385"/>
      <c r="BM136" s="385"/>
      <c r="BN136" s="386"/>
      <c r="BO136" s="387" t="str">
        <f t="shared" si="41"/>
        <v/>
      </c>
      <c r="BP136" s="387"/>
      <c r="BQ136" s="387"/>
      <c r="BR136" s="387"/>
      <c r="BS136" s="387"/>
      <c r="BT136" s="387"/>
      <c r="BU136" s="387"/>
      <c r="BV136" s="387"/>
      <c r="BW136" s="387"/>
      <c r="BX136" s="349"/>
      <c r="BY136" s="334"/>
      <c r="BZ136" s="334"/>
      <c r="CA136" s="334"/>
      <c r="CB136" s="334"/>
      <c r="CC136" s="334"/>
      <c r="CD136" s="334"/>
      <c r="CE136" s="334"/>
      <c r="CF136" s="334"/>
      <c r="CG136" s="334"/>
      <c r="CH136" s="334"/>
      <c r="CI136" s="334"/>
      <c r="CJ136" s="334"/>
      <c r="CK136" s="334"/>
      <c r="CL136" s="334"/>
      <c r="CM136" s="334"/>
      <c r="CN136" s="334"/>
      <c r="CO136" s="350"/>
      <c r="CP136" s="349"/>
      <c r="CQ136" s="334"/>
      <c r="CR136" s="334"/>
      <c r="CS136" s="334"/>
      <c r="CT136" s="334"/>
      <c r="CU136" s="334"/>
      <c r="CV136" s="334"/>
      <c r="CW136" s="334"/>
      <c r="CX136" s="334"/>
      <c r="CY136" s="334"/>
      <c r="CZ136" s="334"/>
      <c r="DA136" s="334"/>
      <c r="DB136" s="334"/>
      <c r="DC136" s="334"/>
      <c r="DD136" s="334"/>
      <c r="DE136" s="334"/>
      <c r="DF136" s="334"/>
      <c r="DG136" s="350"/>
      <c r="DH136" s="349"/>
      <c r="DI136" s="334"/>
      <c r="DJ136" s="334"/>
      <c r="DK136" s="334"/>
      <c r="DL136" s="334"/>
      <c r="DM136" s="334"/>
      <c r="DN136" s="334"/>
      <c r="DO136" s="334"/>
      <c r="DP136" s="334"/>
      <c r="DQ136" s="334"/>
      <c r="DR136" s="334"/>
      <c r="DS136" s="334"/>
      <c r="DT136" s="334"/>
      <c r="DU136" s="334"/>
      <c r="DV136" s="334"/>
      <c r="DW136" s="334"/>
      <c r="DX136" s="334"/>
      <c r="DY136" s="350"/>
    </row>
    <row r="137" spans="2:129" ht="13.5" customHeight="1" thickBot="1">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20"/>
      <c r="BX137" s="349"/>
      <c r="BY137" s="334"/>
      <c r="BZ137" s="334"/>
      <c r="CA137" s="334"/>
      <c r="CB137" s="334"/>
      <c r="CC137" s="334"/>
      <c r="CD137" s="334"/>
      <c r="CE137" s="334"/>
      <c r="CF137" s="334"/>
      <c r="CG137" s="334"/>
      <c r="CH137" s="334"/>
      <c r="CI137" s="334"/>
      <c r="CJ137" s="334"/>
      <c r="CK137" s="334"/>
      <c r="CL137" s="334"/>
      <c r="CM137" s="334"/>
      <c r="CN137" s="334"/>
      <c r="CO137" s="350"/>
      <c r="CP137" s="349"/>
      <c r="CQ137" s="334"/>
      <c r="CR137" s="334"/>
      <c r="CS137" s="334"/>
      <c r="CT137" s="334"/>
      <c r="CU137" s="334"/>
      <c r="CV137" s="334"/>
      <c r="CW137" s="334"/>
      <c r="CX137" s="334"/>
      <c r="CY137" s="334"/>
      <c r="CZ137" s="334"/>
      <c r="DA137" s="334"/>
      <c r="DB137" s="334"/>
      <c r="DC137" s="334"/>
      <c r="DD137" s="334"/>
      <c r="DE137" s="334"/>
      <c r="DF137" s="334"/>
      <c r="DG137" s="350"/>
      <c r="DH137" s="349"/>
      <c r="DI137" s="334"/>
      <c r="DJ137" s="334"/>
      <c r="DK137" s="334"/>
      <c r="DL137" s="334"/>
      <c r="DM137" s="334"/>
      <c r="DN137" s="334"/>
      <c r="DO137" s="334"/>
      <c r="DP137" s="334"/>
      <c r="DQ137" s="334"/>
      <c r="DR137" s="334"/>
      <c r="DS137" s="334"/>
      <c r="DT137" s="334"/>
      <c r="DU137" s="334"/>
      <c r="DV137" s="334"/>
      <c r="DW137" s="334"/>
      <c r="DX137" s="334"/>
      <c r="DY137" s="350"/>
    </row>
    <row r="138" spans="2:129" ht="13.5" customHeight="1" thickBot="1">
      <c r="B138" s="18"/>
      <c r="C138" s="388" t="s">
        <v>525</v>
      </c>
      <c r="D138" s="388"/>
      <c r="E138" s="388"/>
      <c r="F138" s="388"/>
      <c r="G138" s="388"/>
      <c r="H138" s="389"/>
      <c r="I138" s="390"/>
      <c r="J138" s="390"/>
      <c r="K138" s="390"/>
      <c r="L138" s="390"/>
      <c r="M138" s="390"/>
      <c r="N138" s="390"/>
      <c r="O138" s="390"/>
      <c r="P138" s="390"/>
      <c r="Q138" s="390"/>
      <c r="R138" s="390"/>
      <c r="S138" s="390"/>
      <c r="T138" s="390"/>
      <c r="U138" s="390"/>
      <c r="V138" s="390"/>
      <c r="W138" s="390"/>
      <c r="X138" s="390"/>
      <c r="Y138" s="390"/>
      <c r="Z138" s="390"/>
      <c r="AA138" s="390"/>
      <c r="AB138" s="390"/>
      <c r="AC138" s="390"/>
      <c r="AD138" s="390"/>
      <c r="AE138" s="390"/>
      <c r="AF138" s="390"/>
      <c r="AG138" s="390"/>
      <c r="AH138" s="390"/>
      <c r="AI138" s="391"/>
      <c r="AJ138" s="19"/>
      <c r="AK138" s="19" t="s">
        <v>526</v>
      </c>
      <c r="AL138" s="19"/>
      <c r="AM138" s="19"/>
      <c r="AN138" s="19"/>
      <c r="AO138" s="252" t="str">
        <f>IF(H126="","",SUM(Y127:AA136))</f>
        <v/>
      </c>
      <c r="AP138" s="253"/>
      <c r="AQ138" s="253"/>
      <c r="AR138" s="254"/>
      <c r="AS138" s="20"/>
      <c r="BX138" s="349"/>
      <c r="BY138" s="334"/>
      <c r="BZ138" s="334"/>
      <c r="CA138" s="334"/>
      <c r="CB138" s="334"/>
      <c r="CC138" s="334"/>
      <c r="CD138" s="334"/>
      <c r="CE138" s="334"/>
      <c r="CF138" s="334"/>
      <c r="CG138" s="334"/>
      <c r="CH138" s="334"/>
      <c r="CI138" s="334"/>
      <c r="CJ138" s="334"/>
      <c r="CK138" s="334"/>
      <c r="CL138" s="334"/>
      <c r="CM138" s="334"/>
      <c r="CN138" s="334"/>
      <c r="CO138" s="350"/>
      <c r="CP138" s="349"/>
      <c r="CQ138" s="334"/>
      <c r="CR138" s="334"/>
      <c r="CS138" s="334"/>
      <c r="CT138" s="334"/>
      <c r="CU138" s="334"/>
      <c r="CV138" s="334"/>
      <c r="CW138" s="334"/>
      <c r="CX138" s="334"/>
      <c r="CY138" s="334"/>
      <c r="CZ138" s="334"/>
      <c r="DA138" s="334"/>
      <c r="DB138" s="334"/>
      <c r="DC138" s="334"/>
      <c r="DD138" s="334"/>
      <c r="DE138" s="334"/>
      <c r="DF138" s="334"/>
      <c r="DG138" s="350"/>
      <c r="DH138" s="349"/>
      <c r="DI138" s="334"/>
      <c r="DJ138" s="334"/>
      <c r="DK138" s="334"/>
      <c r="DL138" s="334"/>
      <c r="DM138" s="334"/>
      <c r="DN138" s="334"/>
      <c r="DO138" s="334"/>
      <c r="DP138" s="334"/>
      <c r="DQ138" s="334"/>
      <c r="DR138" s="334"/>
      <c r="DS138" s="334"/>
      <c r="DT138" s="334"/>
      <c r="DU138" s="334"/>
      <c r="DV138" s="334"/>
      <c r="DW138" s="334"/>
      <c r="DX138" s="334"/>
      <c r="DY138" s="350"/>
    </row>
    <row r="139" spans="2:129" ht="13.5" customHeight="1" thickBot="1">
      <c r="B139" s="18"/>
      <c r="C139" s="388"/>
      <c r="D139" s="388"/>
      <c r="E139" s="388"/>
      <c r="F139" s="388"/>
      <c r="G139" s="388"/>
      <c r="H139" s="392"/>
      <c r="I139" s="393"/>
      <c r="J139" s="393"/>
      <c r="K139" s="393"/>
      <c r="L139" s="393"/>
      <c r="M139" s="393"/>
      <c r="N139" s="393"/>
      <c r="O139" s="393"/>
      <c r="P139" s="393"/>
      <c r="Q139" s="393"/>
      <c r="R139" s="393"/>
      <c r="S139" s="393"/>
      <c r="T139" s="393"/>
      <c r="U139" s="393"/>
      <c r="V139" s="393"/>
      <c r="W139" s="393"/>
      <c r="X139" s="393"/>
      <c r="Y139" s="393"/>
      <c r="Z139" s="393"/>
      <c r="AA139" s="393"/>
      <c r="AB139" s="393"/>
      <c r="AC139" s="393"/>
      <c r="AD139" s="393"/>
      <c r="AE139" s="393"/>
      <c r="AF139" s="393"/>
      <c r="AG139" s="393"/>
      <c r="AH139" s="393"/>
      <c r="AI139" s="394"/>
      <c r="AJ139" s="19"/>
      <c r="AK139" s="19"/>
      <c r="AL139" s="19"/>
      <c r="AM139" s="19"/>
      <c r="AN139" s="19"/>
      <c r="AO139" s="19"/>
      <c r="AP139" s="19"/>
      <c r="AQ139" s="19"/>
      <c r="AR139" s="19"/>
      <c r="AS139" s="20"/>
      <c r="BX139" s="351"/>
      <c r="BY139" s="352"/>
      <c r="BZ139" s="352"/>
      <c r="CA139" s="352"/>
      <c r="CB139" s="352"/>
      <c r="CC139" s="352"/>
      <c r="CD139" s="352"/>
      <c r="CE139" s="352"/>
      <c r="CF139" s="352"/>
      <c r="CG139" s="352"/>
      <c r="CH139" s="352"/>
      <c r="CI139" s="352"/>
      <c r="CJ139" s="352"/>
      <c r="CK139" s="352"/>
      <c r="CL139" s="352"/>
      <c r="CM139" s="352"/>
      <c r="CN139" s="352"/>
      <c r="CO139" s="353"/>
      <c r="CP139" s="351"/>
      <c r="CQ139" s="352"/>
      <c r="CR139" s="352"/>
      <c r="CS139" s="352"/>
      <c r="CT139" s="352"/>
      <c r="CU139" s="352"/>
      <c r="CV139" s="352"/>
      <c r="CW139" s="352"/>
      <c r="CX139" s="352"/>
      <c r="CY139" s="352"/>
      <c r="CZ139" s="352"/>
      <c r="DA139" s="352"/>
      <c r="DB139" s="352"/>
      <c r="DC139" s="352"/>
      <c r="DD139" s="352"/>
      <c r="DE139" s="352"/>
      <c r="DF139" s="352"/>
      <c r="DG139" s="353"/>
      <c r="DH139" s="351"/>
      <c r="DI139" s="352"/>
      <c r="DJ139" s="352"/>
      <c r="DK139" s="352"/>
      <c r="DL139" s="352"/>
      <c r="DM139" s="352"/>
      <c r="DN139" s="352"/>
      <c r="DO139" s="352"/>
      <c r="DP139" s="352"/>
      <c r="DQ139" s="352"/>
      <c r="DR139" s="352"/>
      <c r="DS139" s="352"/>
      <c r="DT139" s="352"/>
      <c r="DU139" s="352"/>
      <c r="DV139" s="352"/>
      <c r="DW139" s="352"/>
      <c r="DX139" s="352"/>
      <c r="DY139" s="353"/>
    </row>
    <row r="140" spans="2:129" ht="13.5" customHeight="1" thickBo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3"/>
    </row>
    <row r="141" spans="2:129" ht="13.5" customHeight="1" thickBot="1"/>
    <row r="142" spans="2:129" ht="13.5" customHeight="1" thickBot="1">
      <c r="B142" s="15"/>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3"/>
      <c r="AM142" s="16"/>
      <c r="AN142" s="16"/>
      <c r="AO142" s="16"/>
      <c r="AP142" s="16"/>
      <c r="AQ142" s="16"/>
      <c r="AR142" s="16"/>
      <c r="AS142" s="17"/>
      <c r="BF142" s="12" t="s">
        <v>620</v>
      </c>
      <c r="BO142" s="12" t="s">
        <v>621</v>
      </c>
      <c r="CG142" s="44"/>
      <c r="CH142" s="44"/>
      <c r="CI142" s="44"/>
      <c r="CJ142" s="44"/>
      <c r="CK142" s="44"/>
      <c r="CL142" s="44"/>
      <c r="CM142" s="44"/>
      <c r="CN142" s="44"/>
      <c r="CO142" s="44"/>
    </row>
    <row r="143" spans="2:129" ht="13.5" customHeight="1" thickBot="1">
      <c r="B143" s="18"/>
      <c r="C143" s="19" t="s">
        <v>385</v>
      </c>
      <c r="D143" s="19"/>
      <c r="E143" s="19"/>
      <c r="F143" s="19"/>
      <c r="G143" s="19"/>
      <c r="H143" s="249"/>
      <c r="I143" s="250"/>
      <c r="J143" s="250"/>
      <c r="K143" s="250"/>
      <c r="L143" s="250"/>
      <c r="M143" s="250"/>
      <c r="N143" s="250"/>
      <c r="O143" s="250"/>
      <c r="P143" s="250"/>
      <c r="Q143" s="250"/>
      <c r="R143" s="251"/>
      <c r="S143" s="401" t="s">
        <v>505</v>
      </c>
      <c r="T143" s="262"/>
      <c r="U143" s="262"/>
      <c r="V143" s="262"/>
      <c r="W143" s="262"/>
      <c r="X143" s="262"/>
      <c r="Y143" s="269" t="s">
        <v>37</v>
      </c>
      <c r="Z143" s="269"/>
      <c r="AA143" s="269"/>
      <c r="AB143" s="269" t="s">
        <v>36</v>
      </c>
      <c r="AC143" s="269"/>
      <c r="AD143" s="269"/>
      <c r="AE143" s="269" t="s">
        <v>506</v>
      </c>
      <c r="AF143" s="269"/>
      <c r="AG143" s="269"/>
      <c r="AH143" s="269"/>
      <c r="AI143" s="269"/>
      <c r="AJ143" s="269"/>
      <c r="AK143" s="269"/>
      <c r="AL143" s="269" t="s">
        <v>507</v>
      </c>
      <c r="AM143" s="269"/>
      <c r="AN143" s="269"/>
      <c r="AO143" s="269"/>
      <c r="AP143" s="269"/>
      <c r="AQ143" s="269"/>
      <c r="AR143" s="269"/>
      <c r="AS143" s="20"/>
      <c r="BF143" s="384" t="str">
        <f>IF(H143="","",H143&amp;IF(H155="",""," ["&amp;H155&amp;"]"))</f>
        <v/>
      </c>
      <c r="BG143" s="385"/>
      <c r="BH143" s="385"/>
      <c r="BI143" s="385"/>
      <c r="BJ143" s="385"/>
      <c r="BK143" s="385"/>
      <c r="BL143" s="385"/>
      <c r="BM143" s="385"/>
      <c r="BN143" s="386"/>
      <c r="BO143" s="371"/>
      <c r="BP143" s="371"/>
      <c r="BQ143" s="371"/>
      <c r="BR143" s="371"/>
      <c r="BS143" s="371"/>
      <c r="BT143" s="371"/>
      <c r="BU143" s="371"/>
      <c r="BV143" s="371"/>
      <c r="BW143" s="371"/>
      <c r="BX143" s="346" t="str">
        <f>IF(BF143="","",CHAR(10)&amp;CHAR(149)&amp;" "&amp;BF143&amp;CHAR(10)&amp;BO153)</f>
        <v/>
      </c>
      <c r="BY143" s="347"/>
      <c r="BZ143" s="347"/>
      <c r="CA143" s="347"/>
      <c r="CB143" s="347"/>
      <c r="CC143" s="347"/>
      <c r="CD143" s="347"/>
      <c r="CE143" s="347"/>
      <c r="CF143" s="347"/>
      <c r="CG143" s="347"/>
      <c r="CH143" s="347"/>
      <c r="CI143" s="347"/>
      <c r="CJ143" s="347"/>
      <c r="CK143" s="347"/>
      <c r="CL143" s="347"/>
      <c r="CM143" s="347"/>
      <c r="CN143" s="347"/>
      <c r="CO143" s="348"/>
      <c r="CP143" s="346" t="str">
        <f>IF($BF143="","",CHAR(10)&amp;"[b]"&amp;$BF143&amp;": [/b]"&amp;CHAR(10)&amp;$BO153&amp;CHAR(10)&amp;"("&amp;AO155&amp;" points)")</f>
        <v/>
      </c>
      <c r="CQ143" s="347"/>
      <c r="CR143" s="347"/>
      <c r="CS143" s="347"/>
      <c r="CT143" s="347"/>
      <c r="CU143" s="347"/>
      <c r="CV143" s="347"/>
      <c r="CW143" s="347"/>
      <c r="CX143" s="347"/>
      <c r="CY143" s="347"/>
      <c r="CZ143" s="347"/>
      <c r="DA143" s="347"/>
      <c r="DB143" s="347"/>
      <c r="DC143" s="347"/>
      <c r="DD143" s="347"/>
      <c r="DE143" s="347"/>
      <c r="DF143" s="347"/>
      <c r="DG143" s="348"/>
      <c r="DH143" s="346" t="str">
        <f>IF($BF143="","",CHAR(10)&amp;"**"&amp;$BF143&amp;":**"&amp;CHAR(10)&amp;$BO153&amp;CHAR(10)&amp;"("&amp;$AO155&amp;" points)")</f>
        <v/>
      </c>
      <c r="DI143" s="347"/>
      <c r="DJ143" s="347"/>
      <c r="DK143" s="347"/>
      <c r="DL143" s="347"/>
      <c r="DM143" s="347"/>
      <c r="DN143" s="347"/>
      <c r="DO143" s="347"/>
      <c r="DP143" s="347"/>
      <c r="DQ143" s="347"/>
      <c r="DR143" s="347"/>
      <c r="DS143" s="347"/>
      <c r="DT143" s="347"/>
      <c r="DU143" s="347"/>
      <c r="DV143" s="347"/>
      <c r="DW143" s="347"/>
      <c r="DX143" s="347"/>
      <c r="DY143" s="348"/>
    </row>
    <row r="144" spans="2:129" ht="13.5" customHeight="1" thickBot="1">
      <c r="B144" s="18"/>
      <c r="C144" s="19" t="s">
        <v>495</v>
      </c>
      <c r="D144" s="19"/>
      <c r="E144" s="19"/>
      <c r="F144" s="19"/>
      <c r="G144" s="19"/>
      <c r="H144" s="395"/>
      <c r="I144" s="396"/>
      <c r="J144" s="396"/>
      <c r="K144" s="396"/>
      <c r="L144" s="396"/>
      <c r="M144" s="396"/>
      <c r="N144" s="396"/>
      <c r="O144" s="396"/>
      <c r="P144" s="396"/>
      <c r="Q144" s="396"/>
      <c r="R144" s="397"/>
      <c r="S144" s="395"/>
      <c r="T144" s="396"/>
      <c r="U144" s="396"/>
      <c r="V144" s="396"/>
      <c r="W144" s="396"/>
      <c r="X144" s="397"/>
      <c r="Y144" s="252" t="str">
        <f t="shared" ref="Y144:Y153" si="42">IF($H144="","",IF($S144="Normal",VLOOKUP($H144,ComponentMatrix,7,FALSE),IF($S144="Alternate",1,IF($S144="Dynamic",2,IF($S144="None",0,"")))))</f>
        <v/>
      </c>
      <c r="Z144" s="253"/>
      <c r="AA144" s="254"/>
      <c r="AB144" s="252" t="str">
        <f>IF($H144="","",VLOOKUP($H144,ComponentMatrix,5,FALSE))</f>
        <v/>
      </c>
      <c r="AC144" s="253"/>
      <c r="AD144" s="254"/>
      <c r="AE144" s="252" t="str">
        <f>IF($H144="","",VLOOKUP($H144,ComponentMatrix,9,FALSE))</f>
        <v/>
      </c>
      <c r="AF144" s="253"/>
      <c r="AG144" s="253"/>
      <c r="AH144" s="253"/>
      <c r="AI144" s="253"/>
      <c r="AJ144" s="253"/>
      <c r="AK144" s="254"/>
      <c r="AL144" s="398" t="str">
        <f t="shared" ref="AL144:AL153" si="43">IF($H144="","",VLOOKUP($H144,ComponentMatrix,15,FALSE))</f>
        <v/>
      </c>
      <c r="AM144" s="399"/>
      <c r="AN144" s="399"/>
      <c r="AO144" s="399"/>
      <c r="AP144" s="399"/>
      <c r="AQ144" s="399"/>
      <c r="AR144" s="400"/>
      <c r="AS144" s="20"/>
      <c r="BF144" s="384" t="str">
        <f>IF(H144="","",IF(S144="Alternate","Alt: ","")&amp;IF(S144="Dynamic","Dyn: ","")&amp;IF(H144=AE144,AE144&amp;" "&amp;AB144&amp;IF(AL144="",""," ["&amp;AL144&amp;"]"),IF(AE144="Custom",H144&amp;" ("&amp;Y144&amp;" points)"&amp;CHAR(10),H144&amp;": "&amp;AE144&amp;" "&amp;AB144&amp;IF(AL144="",""," ["&amp;AL144&amp;"]"))))</f>
        <v/>
      </c>
      <c r="BG144" s="385"/>
      <c r="BH144" s="385"/>
      <c r="BI144" s="385"/>
      <c r="BJ144" s="385"/>
      <c r="BK144" s="385"/>
      <c r="BL144" s="385"/>
      <c r="BM144" s="385"/>
      <c r="BN144" s="386"/>
      <c r="BO144" s="371" t="str">
        <f>IF(BF144="","","     "&amp;BF144)</f>
        <v/>
      </c>
      <c r="BP144" s="371"/>
      <c r="BQ144" s="371"/>
      <c r="BR144" s="371"/>
      <c r="BS144" s="371"/>
      <c r="BT144" s="371"/>
      <c r="BU144" s="371"/>
      <c r="BV144" s="371"/>
      <c r="BW144" s="371"/>
      <c r="BX144" s="349"/>
      <c r="BY144" s="334"/>
      <c r="BZ144" s="334"/>
      <c r="CA144" s="334"/>
      <c r="CB144" s="334"/>
      <c r="CC144" s="334"/>
      <c r="CD144" s="334"/>
      <c r="CE144" s="334"/>
      <c r="CF144" s="334"/>
      <c r="CG144" s="334"/>
      <c r="CH144" s="334"/>
      <c r="CI144" s="334"/>
      <c r="CJ144" s="334"/>
      <c r="CK144" s="334"/>
      <c r="CL144" s="334"/>
      <c r="CM144" s="334"/>
      <c r="CN144" s="334"/>
      <c r="CO144" s="350"/>
      <c r="CP144" s="349"/>
      <c r="CQ144" s="334"/>
      <c r="CR144" s="334"/>
      <c r="CS144" s="334"/>
      <c r="CT144" s="334"/>
      <c r="CU144" s="334"/>
      <c r="CV144" s="334"/>
      <c r="CW144" s="334"/>
      <c r="CX144" s="334"/>
      <c r="CY144" s="334"/>
      <c r="CZ144" s="334"/>
      <c r="DA144" s="334"/>
      <c r="DB144" s="334"/>
      <c r="DC144" s="334"/>
      <c r="DD144" s="334"/>
      <c r="DE144" s="334"/>
      <c r="DF144" s="334"/>
      <c r="DG144" s="350"/>
      <c r="DH144" s="349"/>
      <c r="DI144" s="334"/>
      <c r="DJ144" s="334"/>
      <c r="DK144" s="334"/>
      <c r="DL144" s="334"/>
      <c r="DM144" s="334"/>
      <c r="DN144" s="334"/>
      <c r="DO144" s="334"/>
      <c r="DP144" s="334"/>
      <c r="DQ144" s="334"/>
      <c r="DR144" s="334"/>
      <c r="DS144" s="334"/>
      <c r="DT144" s="334"/>
      <c r="DU144" s="334"/>
      <c r="DV144" s="334"/>
      <c r="DW144" s="334"/>
      <c r="DX144" s="334"/>
      <c r="DY144" s="350"/>
    </row>
    <row r="145" spans="2:129" ht="13.5" customHeight="1" thickBot="1">
      <c r="B145" s="18"/>
      <c r="C145" s="19" t="s">
        <v>496</v>
      </c>
      <c r="D145" s="19"/>
      <c r="E145" s="19"/>
      <c r="F145" s="19"/>
      <c r="G145" s="19"/>
      <c r="H145" s="395"/>
      <c r="I145" s="396"/>
      <c r="J145" s="396"/>
      <c r="K145" s="396"/>
      <c r="L145" s="396"/>
      <c r="M145" s="396"/>
      <c r="N145" s="396"/>
      <c r="O145" s="396"/>
      <c r="P145" s="396"/>
      <c r="Q145" s="396"/>
      <c r="R145" s="397"/>
      <c r="S145" s="395"/>
      <c r="T145" s="396"/>
      <c r="U145" s="396"/>
      <c r="V145" s="396"/>
      <c r="W145" s="396"/>
      <c r="X145" s="397"/>
      <c r="Y145" s="252" t="str">
        <f t="shared" si="42"/>
        <v/>
      </c>
      <c r="Z145" s="253"/>
      <c r="AA145" s="254"/>
      <c r="AB145" s="252" t="str">
        <f t="shared" ref="AB145:AB153" si="44">IF(H145="","",VLOOKUP(H145,ComponentMatrix,5,FALSE))</f>
        <v/>
      </c>
      <c r="AC145" s="253"/>
      <c r="AD145" s="254"/>
      <c r="AE145" s="252" t="str">
        <f t="shared" ref="AE145:AE153" si="45">IF(H145="","",VLOOKUP(H145,ComponentMatrix,9,FALSE))</f>
        <v/>
      </c>
      <c r="AF145" s="253"/>
      <c r="AG145" s="253"/>
      <c r="AH145" s="253"/>
      <c r="AI145" s="253"/>
      <c r="AJ145" s="253"/>
      <c r="AK145" s="254"/>
      <c r="AL145" s="398" t="str">
        <f t="shared" si="43"/>
        <v/>
      </c>
      <c r="AM145" s="399"/>
      <c r="AN145" s="399"/>
      <c r="AO145" s="399"/>
      <c r="AP145" s="399"/>
      <c r="AQ145" s="399"/>
      <c r="AR145" s="400"/>
      <c r="AS145" s="20"/>
      <c r="BF145" s="384" t="str">
        <f t="shared" ref="BF145:BF153" si="46">IF(H145="","",IF(S145="Alternate","Alt: ","")&amp;IF(S145="Dynamic","Dyn: ","")&amp;IF(H145=AE145,AE145&amp;" "&amp;AB145&amp;IF(AL145="",""," ["&amp;AL145&amp;"]"),IF(AE145="Custom",H145&amp;" ("&amp;Y145&amp;" points)"&amp;CHAR(10),H145&amp;": "&amp;AE145&amp;" "&amp;AB145&amp;IF(AL145="",""," ["&amp;AL145&amp;"]"))))</f>
        <v/>
      </c>
      <c r="BG145" s="385"/>
      <c r="BH145" s="385"/>
      <c r="BI145" s="385"/>
      <c r="BJ145" s="385"/>
      <c r="BK145" s="385"/>
      <c r="BL145" s="385"/>
      <c r="BM145" s="385"/>
      <c r="BN145" s="386"/>
      <c r="BO145" s="387" t="str">
        <f>BO144&amp;IF(AE144="Custom","     "&amp;BF145,IF(S145="None",", "&amp;BF145,"")&amp;IF(OR(S145="Alternate",S145="Dynamic"),CHAR(10)&amp;"     "&amp;BF145,"")&amp;IF(S145="Normal",IF(OR(S144="Alternate",S144="Dynamic",S144="None"),CHAR(10)&amp;"     "&amp;BF145,", "&amp;BF145),""))</f>
        <v/>
      </c>
      <c r="BP145" s="387"/>
      <c r="BQ145" s="387"/>
      <c r="BR145" s="387"/>
      <c r="BS145" s="387"/>
      <c r="BT145" s="387"/>
      <c r="BU145" s="387"/>
      <c r="BV145" s="387"/>
      <c r="BW145" s="387"/>
      <c r="BX145" s="349"/>
      <c r="BY145" s="334"/>
      <c r="BZ145" s="334"/>
      <c r="CA145" s="334"/>
      <c r="CB145" s="334"/>
      <c r="CC145" s="334"/>
      <c r="CD145" s="334"/>
      <c r="CE145" s="334"/>
      <c r="CF145" s="334"/>
      <c r="CG145" s="334"/>
      <c r="CH145" s="334"/>
      <c r="CI145" s="334"/>
      <c r="CJ145" s="334"/>
      <c r="CK145" s="334"/>
      <c r="CL145" s="334"/>
      <c r="CM145" s="334"/>
      <c r="CN145" s="334"/>
      <c r="CO145" s="350"/>
      <c r="CP145" s="349"/>
      <c r="CQ145" s="334"/>
      <c r="CR145" s="334"/>
      <c r="CS145" s="334"/>
      <c r="CT145" s="334"/>
      <c r="CU145" s="334"/>
      <c r="CV145" s="334"/>
      <c r="CW145" s="334"/>
      <c r="CX145" s="334"/>
      <c r="CY145" s="334"/>
      <c r="CZ145" s="334"/>
      <c r="DA145" s="334"/>
      <c r="DB145" s="334"/>
      <c r="DC145" s="334"/>
      <c r="DD145" s="334"/>
      <c r="DE145" s="334"/>
      <c r="DF145" s="334"/>
      <c r="DG145" s="350"/>
      <c r="DH145" s="349"/>
      <c r="DI145" s="334"/>
      <c r="DJ145" s="334"/>
      <c r="DK145" s="334"/>
      <c r="DL145" s="334"/>
      <c r="DM145" s="334"/>
      <c r="DN145" s="334"/>
      <c r="DO145" s="334"/>
      <c r="DP145" s="334"/>
      <c r="DQ145" s="334"/>
      <c r="DR145" s="334"/>
      <c r="DS145" s="334"/>
      <c r="DT145" s="334"/>
      <c r="DU145" s="334"/>
      <c r="DV145" s="334"/>
      <c r="DW145" s="334"/>
      <c r="DX145" s="334"/>
      <c r="DY145" s="350"/>
    </row>
    <row r="146" spans="2:129" ht="13.5" customHeight="1" thickBot="1">
      <c r="B146" s="18"/>
      <c r="C146" s="19" t="s">
        <v>497</v>
      </c>
      <c r="D146" s="19"/>
      <c r="E146" s="19"/>
      <c r="F146" s="19"/>
      <c r="G146" s="19"/>
      <c r="H146" s="395"/>
      <c r="I146" s="396"/>
      <c r="J146" s="396"/>
      <c r="K146" s="396"/>
      <c r="L146" s="396"/>
      <c r="M146" s="396"/>
      <c r="N146" s="396"/>
      <c r="O146" s="396"/>
      <c r="P146" s="396"/>
      <c r="Q146" s="396"/>
      <c r="R146" s="397"/>
      <c r="S146" s="395"/>
      <c r="T146" s="396"/>
      <c r="U146" s="396"/>
      <c r="V146" s="396"/>
      <c r="W146" s="396"/>
      <c r="X146" s="397"/>
      <c r="Y146" s="252" t="str">
        <f t="shared" si="42"/>
        <v/>
      </c>
      <c r="Z146" s="253"/>
      <c r="AA146" s="254"/>
      <c r="AB146" s="252" t="str">
        <f t="shared" si="44"/>
        <v/>
      </c>
      <c r="AC146" s="253"/>
      <c r="AD146" s="254"/>
      <c r="AE146" s="252" t="str">
        <f t="shared" si="45"/>
        <v/>
      </c>
      <c r="AF146" s="253"/>
      <c r="AG146" s="253"/>
      <c r="AH146" s="253"/>
      <c r="AI146" s="253"/>
      <c r="AJ146" s="253"/>
      <c r="AK146" s="254"/>
      <c r="AL146" s="398" t="str">
        <f t="shared" si="43"/>
        <v/>
      </c>
      <c r="AM146" s="399"/>
      <c r="AN146" s="399"/>
      <c r="AO146" s="399"/>
      <c r="AP146" s="399"/>
      <c r="AQ146" s="399"/>
      <c r="AR146" s="400"/>
      <c r="AS146" s="20"/>
      <c r="BF146" s="384" t="str">
        <f t="shared" si="46"/>
        <v/>
      </c>
      <c r="BG146" s="385"/>
      <c r="BH146" s="385"/>
      <c r="BI146" s="385"/>
      <c r="BJ146" s="385"/>
      <c r="BK146" s="385"/>
      <c r="BL146" s="385"/>
      <c r="BM146" s="385"/>
      <c r="BN146" s="386"/>
      <c r="BO146" s="387" t="str">
        <f t="shared" ref="BO146:BO153" si="47">BO145&amp;IF(AE145="Custom","     "&amp;BF146,IF(S146="None",", "&amp;BF146,"")&amp;IF(OR(S146="Alternate",S146="Dynamic"),CHAR(10)&amp;"     "&amp;BF146,"")&amp;IF(S146="Normal",IF(OR(S145="Alternate",S145="Dynamic",S145="None"),CHAR(10)&amp;"     "&amp;BF146,", "&amp;BF146),""))</f>
        <v/>
      </c>
      <c r="BP146" s="387"/>
      <c r="BQ146" s="387"/>
      <c r="BR146" s="387"/>
      <c r="BS146" s="387"/>
      <c r="BT146" s="387"/>
      <c r="BU146" s="387"/>
      <c r="BV146" s="387"/>
      <c r="BW146" s="387"/>
      <c r="BX146" s="349"/>
      <c r="BY146" s="334"/>
      <c r="BZ146" s="334"/>
      <c r="CA146" s="334"/>
      <c r="CB146" s="334"/>
      <c r="CC146" s="334"/>
      <c r="CD146" s="334"/>
      <c r="CE146" s="334"/>
      <c r="CF146" s="334"/>
      <c r="CG146" s="334"/>
      <c r="CH146" s="334"/>
      <c r="CI146" s="334"/>
      <c r="CJ146" s="334"/>
      <c r="CK146" s="334"/>
      <c r="CL146" s="334"/>
      <c r="CM146" s="334"/>
      <c r="CN146" s="334"/>
      <c r="CO146" s="350"/>
      <c r="CP146" s="349"/>
      <c r="CQ146" s="334"/>
      <c r="CR146" s="334"/>
      <c r="CS146" s="334"/>
      <c r="CT146" s="334"/>
      <c r="CU146" s="334"/>
      <c r="CV146" s="334"/>
      <c r="CW146" s="334"/>
      <c r="CX146" s="334"/>
      <c r="CY146" s="334"/>
      <c r="CZ146" s="334"/>
      <c r="DA146" s="334"/>
      <c r="DB146" s="334"/>
      <c r="DC146" s="334"/>
      <c r="DD146" s="334"/>
      <c r="DE146" s="334"/>
      <c r="DF146" s="334"/>
      <c r="DG146" s="350"/>
      <c r="DH146" s="349"/>
      <c r="DI146" s="334"/>
      <c r="DJ146" s="334"/>
      <c r="DK146" s="334"/>
      <c r="DL146" s="334"/>
      <c r="DM146" s="334"/>
      <c r="DN146" s="334"/>
      <c r="DO146" s="334"/>
      <c r="DP146" s="334"/>
      <c r="DQ146" s="334"/>
      <c r="DR146" s="334"/>
      <c r="DS146" s="334"/>
      <c r="DT146" s="334"/>
      <c r="DU146" s="334"/>
      <c r="DV146" s="334"/>
      <c r="DW146" s="334"/>
      <c r="DX146" s="334"/>
      <c r="DY146" s="350"/>
    </row>
    <row r="147" spans="2:129" ht="13.5" customHeight="1" thickBot="1">
      <c r="B147" s="18"/>
      <c r="C147" s="19" t="s">
        <v>498</v>
      </c>
      <c r="D147" s="19"/>
      <c r="E147" s="19"/>
      <c r="F147" s="19"/>
      <c r="G147" s="19"/>
      <c r="H147" s="395"/>
      <c r="I147" s="396"/>
      <c r="J147" s="396"/>
      <c r="K147" s="396"/>
      <c r="L147" s="396"/>
      <c r="M147" s="396"/>
      <c r="N147" s="396"/>
      <c r="O147" s="396"/>
      <c r="P147" s="396"/>
      <c r="Q147" s="396"/>
      <c r="R147" s="397"/>
      <c r="S147" s="395"/>
      <c r="T147" s="396"/>
      <c r="U147" s="396"/>
      <c r="V147" s="396"/>
      <c r="W147" s="396"/>
      <c r="X147" s="397"/>
      <c r="Y147" s="252" t="str">
        <f t="shared" si="42"/>
        <v/>
      </c>
      <c r="Z147" s="253"/>
      <c r="AA147" s="254"/>
      <c r="AB147" s="252" t="str">
        <f t="shared" si="44"/>
        <v/>
      </c>
      <c r="AC147" s="253"/>
      <c r="AD147" s="254"/>
      <c r="AE147" s="252" t="str">
        <f t="shared" si="45"/>
        <v/>
      </c>
      <c r="AF147" s="253"/>
      <c r="AG147" s="253"/>
      <c r="AH147" s="253"/>
      <c r="AI147" s="253"/>
      <c r="AJ147" s="253"/>
      <c r="AK147" s="254"/>
      <c r="AL147" s="398" t="str">
        <f t="shared" si="43"/>
        <v/>
      </c>
      <c r="AM147" s="399"/>
      <c r="AN147" s="399"/>
      <c r="AO147" s="399"/>
      <c r="AP147" s="399"/>
      <c r="AQ147" s="399"/>
      <c r="AR147" s="400"/>
      <c r="AS147" s="20"/>
      <c r="BF147" s="384" t="str">
        <f t="shared" si="46"/>
        <v/>
      </c>
      <c r="BG147" s="385"/>
      <c r="BH147" s="385"/>
      <c r="BI147" s="385"/>
      <c r="BJ147" s="385"/>
      <c r="BK147" s="385"/>
      <c r="BL147" s="385"/>
      <c r="BM147" s="385"/>
      <c r="BN147" s="386"/>
      <c r="BO147" s="387" t="str">
        <f t="shared" si="47"/>
        <v/>
      </c>
      <c r="BP147" s="387"/>
      <c r="BQ147" s="387"/>
      <c r="BR147" s="387"/>
      <c r="BS147" s="387"/>
      <c r="BT147" s="387"/>
      <c r="BU147" s="387"/>
      <c r="BV147" s="387"/>
      <c r="BW147" s="387"/>
      <c r="BX147" s="349"/>
      <c r="BY147" s="334"/>
      <c r="BZ147" s="334"/>
      <c r="CA147" s="334"/>
      <c r="CB147" s="334"/>
      <c r="CC147" s="334"/>
      <c r="CD147" s="334"/>
      <c r="CE147" s="334"/>
      <c r="CF147" s="334"/>
      <c r="CG147" s="334"/>
      <c r="CH147" s="334"/>
      <c r="CI147" s="334"/>
      <c r="CJ147" s="334"/>
      <c r="CK147" s="334"/>
      <c r="CL147" s="334"/>
      <c r="CM147" s="334"/>
      <c r="CN147" s="334"/>
      <c r="CO147" s="350"/>
      <c r="CP147" s="349"/>
      <c r="CQ147" s="334"/>
      <c r="CR147" s="334"/>
      <c r="CS147" s="334"/>
      <c r="CT147" s="334"/>
      <c r="CU147" s="334"/>
      <c r="CV147" s="334"/>
      <c r="CW147" s="334"/>
      <c r="CX147" s="334"/>
      <c r="CY147" s="334"/>
      <c r="CZ147" s="334"/>
      <c r="DA147" s="334"/>
      <c r="DB147" s="334"/>
      <c r="DC147" s="334"/>
      <c r="DD147" s="334"/>
      <c r="DE147" s="334"/>
      <c r="DF147" s="334"/>
      <c r="DG147" s="350"/>
      <c r="DH147" s="349"/>
      <c r="DI147" s="334"/>
      <c r="DJ147" s="334"/>
      <c r="DK147" s="334"/>
      <c r="DL147" s="334"/>
      <c r="DM147" s="334"/>
      <c r="DN147" s="334"/>
      <c r="DO147" s="334"/>
      <c r="DP147" s="334"/>
      <c r="DQ147" s="334"/>
      <c r="DR147" s="334"/>
      <c r="DS147" s="334"/>
      <c r="DT147" s="334"/>
      <c r="DU147" s="334"/>
      <c r="DV147" s="334"/>
      <c r="DW147" s="334"/>
      <c r="DX147" s="334"/>
      <c r="DY147" s="350"/>
    </row>
    <row r="148" spans="2:129" ht="13.5" customHeight="1" thickBot="1">
      <c r="B148" s="18"/>
      <c r="C148" s="19" t="s">
        <v>499</v>
      </c>
      <c r="D148" s="19"/>
      <c r="E148" s="19"/>
      <c r="F148" s="19"/>
      <c r="G148" s="19"/>
      <c r="H148" s="395"/>
      <c r="I148" s="396"/>
      <c r="J148" s="396"/>
      <c r="K148" s="396"/>
      <c r="L148" s="396"/>
      <c r="M148" s="396"/>
      <c r="N148" s="396"/>
      <c r="O148" s="396"/>
      <c r="P148" s="396"/>
      <c r="Q148" s="396"/>
      <c r="R148" s="397"/>
      <c r="S148" s="395"/>
      <c r="T148" s="396"/>
      <c r="U148" s="396"/>
      <c r="V148" s="396"/>
      <c r="W148" s="396"/>
      <c r="X148" s="397"/>
      <c r="Y148" s="252" t="str">
        <f t="shared" si="42"/>
        <v/>
      </c>
      <c r="Z148" s="253"/>
      <c r="AA148" s="254"/>
      <c r="AB148" s="252" t="str">
        <f t="shared" si="44"/>
        <v/>
      </c>
      <c r="AC148" s="253"/>
      <c r="AD148" s="254"/>
      <c r="AE148" s="252" t="str">
        <f t="shared" si="45"/>
        <v/>
      </c>
      <c r="AF148" s="253"/>
      <c r="AG148" s="253"/>
      <c r="AH148" s="253"/>
      <c r="AI148" s="253"/>
      <c r="AJ148" s="253"/>
      <c r="AK148" s="254"/>
      <c r="AL148" s="398" t="str">
        <f t="shared" si="43"/>
        <v/>
      </c>
      <c r="AM148" s="399"/>
      <c r="AN148" s="399"/>
      <c r="AO148" s="399"/>
      <c r="AP148" s="399"/>
      <c r="AQ148" s="399"/>
      <c r="AR148" s="400"/>
      <c r="AS148" s="20"/>
      <c r="BF148" s="384" t="str">
        <f t="shared" si="46"/>
        <v/>
      </c>
      <c r="BG148" s="385"/>
      <c r="BH148" s="385"/>
      <c r="BI148" s="385"/>
      <c r="BJ148" s="385"/>
      <c r="BK148" s="385"/>
      <c r="BL148" s="385"/>
      <c r="BM148" s="385"/>
      <c r="BN148" s="386"/>
      <c r="BO148" s="387" t="str">
        <f t="shared" si="47"/>
        <v/>
      </c>
      <c r="BP148" s="387"/>
      <c r="BQ148" s="387"/>
      <c r="BR148" s="387"/>
      <c r="BS148" s="387"/>
      <c r="BT148" s="387"/>
      <c r="BU148" s="387"/>
      <c r="BV148" s="387"/>
      <c r="BW148" s="387"/>
      <c r="BX148" s="349"/>
      <c r="BY148" s="334"/>
      <c r="BZ148" s="334"/>
      <c r="CA148" s="334"/>
      <c r="CB148" s="334"/>
      <c r="CC148" s="334"/>
      <c r="CD148" s="334"/>
      <c r="CE148" s="334"/>
      <c r="CF148" s="334"/>
      <c r="CG148" s="334"/>
      <c r="CH148" s="334"/>
      <c r="CI148" s="334"/>
      <c r="CJ148" s="334"/>
      <c r="CK148" s="334"/>
      <c r="CL148" s="334"/>
      <c r="CM148" s="334"/>
      <c r="CN148" s="334"/>
      <c r="CO148" s="350"/>
      <c r="CP148" s="349"/>
      <c r="CQ148" s="334"/>
      <c r="CR148" s="334"/>
      <c r="CS148" s="334"/>
      <c r="CT148" s="334"/>
      <c r="CU148" s="334"/>
      <c r="CV148" s="334"/>
      <c r="CW148" s="334"/>
      <c r="CX148" s="334"/>
      <c r="CY148" s="334"/>
      <c r="CZ148" s="334"/>
      <c r="DA148" s="334"/>
      <c r="DB148" s="334"/>
      <c r="DC148" s="334"/>
      <c r="DD148" s="334"/>
      <c r="DE148" s="334"/>
      <c r="DF148" s="334"/>
      <c r="DG148" s="350"/>
      <c r="DH148" s="349"/>
      <c r="DI148" s="334"/>
      <c r="DJ148" s="334"/>
      <c r="DK148" s="334"/>
      <c r="DL148" s="334"/>
      <c r="DM148" s="334"/>
      <c r="DN148" s="334"/>
      <c r="DO148" s="334"/>
      <c r="DP148" s="334"/>
      <c r="DQ148" s="334"/>
      <c r="DR148" s="334"/>
      <c r="DS148" s="334"/>
      <c r="DT148" s="334"/>
      <c r="DU148" s="334"/>
      <c r="DV148" s="334"/>
      <c r="DW148" s="334"/>
      <c r="DX148" s="334"/>
      <c r="DY148" s="350"/>
    </row>
    <row r="149" spans="2:129" ht="13.5" customHeight="1" thickBot="1">
      <c r="B149" s="18"/>
      <c r="C149" s="19" t="s">
        <v>500</v>
      </c>
      <c r="D149" s="19"/>
      <c r="E149" s="19"/>
      <c r="F149" s="19"/>
      <c r="G149" s="19"/>
      <c r="H149" s="395"/>
      <c r="I149" s="396"/>
      <c r="J149" s="396"/>
      <c r="K149" s="396"/>
      <c r="L149" s="396"/>
      <c r="M149" s="396"/>
      <c r="N149" s="396"/>
      <c r="O149" s="396"/>
      <c r="P149" s="396"/>
      <c r="Q149" s="396"/>
      <c r="R149" s="397"/>
      <c r="S149" s="395"/>
      <c r="T149" s="396"/>
      <c r="U149" s="396"/>
      <c r="V149" s="396"/>
      <c r="W149" s="396"/>
      <c r="X149" s="397"/>
      <c r="Y149" s="252" t="str">
        <f t="shared" si="42"/>
        <v/>
      </c>
      <c r="Z149" s="253"/>
      <c r="AA149" s="254"/>
      <c r="AB149" s="252" t="str">
        <f t="shared" si="44"/>
        <v/>
      </c>
      <c r="AC149" s="253"/>
      <c r="AD149" s="254"/>
      <c r="AE149" s="252" t="str">
        <f t="shared" si="45"/>
        <v/>
      </c>
      <c r="AF149" s="253"/>
      <c r="AG149" s="253"/>
      <c r="AH149" s="253"/>
      <c r="AI149" s="253"/>
      <c r="AJ149" s="253"/>
      <c r="AK149" s="254"/>
      <c r="AL149" s="398" t="str">
        <f t="shared" si="43"/>
        <v/>
      </c>
      <c r="AM149" s="399"/>
      <c r="AN149" s="399"/>
      <c r="AO149" s="399"/>
      <c r="AP149" s="399"/>
      <c r="AQ149" s="399"/>
      <c r="AR149" s="400"/>
      <c r="AS149" s="20"/>
      <c r="BF149" s="384" t="str">
        <f t="shared" si="46"/>
        <v/>
      </c>
      <c r="BG149" s="385"/>
      <c r="BH149" s="385"/>
      <c r="BI149" s="385"/>
      <c r="BJ149" s="385"/>
      <c r="BK149" s="385"/>
      <c r="BL149" s="385"/>
      <c r="BM149" s="385"/>
      <c r="BN149" s="386"/>
      <c r="BO149" s="387" t="str">
        <f t="shared" si="47"/>
        <v/>
      </c>
      <c r="BP149" s="387"/>
      <c r="BQ149" s="387"/>
      <c r="BR149" s="387"/>
      <c r="BS149" s="387"/>
      <c r="BT149" s="387"/>
      <c r="BU149" s="387"/>
      <c r="BV149" s="387"/>
      <c r="BW149" s="387"/>
      <c r="BX149" s="349"/>
      <c r="BY149" s="334"/>
      <c r="BZ149" s="334"/>
      <c r="CA149" s="334"/>
      <c r="CB149" s="334"/>
      <c r="CC149" s="334"/>
      <c r="CD149" s="334"/>
      <c r="CE149" s="334"/>
      <c r="CF149" s="334"/>
      <c r="CG149" s="334"/>
      <c r="CH149" s="334"/>
      <c r="CI149" s="334"/>
      <c r="CJ149" s="334"/>
      <c r="CK149" s="334"/>
      <c r="CL149" s="334"/>
      <c r="CM149" s="334"/>
      <c r="CN149" s="334"/>
      <c r="CO149" s="350"/>
      <c r="CP149" s="349"/>
      <c r="CQ149" s="334"/>
      <c r="CR149" s="334"/>
      <c r="CS149" s="334"/>
      <c r="CT149" s="334"/>
      <c r="CU149" s="334"/>
      <c r="CV149" s="334"/>
      <c r="CW149" s="334"/>
      <c r="CX149" s="334"/>
      <c r="CY149" s="334"/>
      <c r="CZ149" s="334"/>
      <c r="DA149" s="334"/>
      <c r="DB149" s="334"/>
      <c r="DC149" s="334"/>
      <c r="DD149" s="334"/>
      <c r="DE149" s="334"/>
      <c r="DF149" s="334"/>
      <c r="DG149" s="350"/>
      <c r="DH149" s="349"/>
      <c r="DI149" s="334"/>
      <c r="DJ149" s="334"/>
      <c r="DK149" s="334"/>
      <c r="DL149" s="334"/>
      <c r="DM149" s="334"/>
      <c r="DN149" s="334"/>
      <c r="DO149" s="334"/>
      <c r="DP149" s="334"/>
      <c r="DQ149" s="334"/>
      <c r="DR149" s="334"/>
      <c r="DS149" s="334"/>
      <c r="DT149" s="334"/>
      <c r="DU149" s="334"/>
      <c r="DV149" s="334"/>
      <c r="DW149" s="334"/>
      <c r="DX149" s="334"/>
      <c r="DY149" s="350"/>
    </row>
    <row r="150" spans="2:129" ht="13.5" customHeight="1" thickBot="1">
      <c r="B150" s="18"/>
      <c r="C150" s="19" t="s">
        <v>501</v>
      </c>
      <c r="D150" s="19"/>
      <c r="E150" s="19"/>
      <c r="F150" s="19"/>
      <c r="G150" s="19"/>
      <c r="H150" s="395"/>
      <c r="I150" s="396"/>
      <c r="J150" s="396"/>
      <c r="K150" s="396"/>
      <c r="L150" s="396"/>
      <c r="M150" s="396"/>
      <c r="N150" s="396"/>
      <c r="O150" s="396"/>
      <c r="P150" s="396"/>
      <c r="Q150" s="396"/>
      <c r="R150" s="397"/>
      <c r="S150" s="395"/>
      <c r="T150" s="396"/>
      <c r="U150" s="396"/>
      <c r="V150" s="396"/>
      <c r="W150" s="396"/>
      <c r="X150" s="397"/>
      <c r="Y150" s="252" t="str">
        <f t="shared" si="42"/>
        <v/>
      </c>
      <c r="Z150" s="253"/>
      <c r="AA150" s="254"/>
      <c r="AB150" s="252" t="str">
        <f t="shared" si="44"/>
        <v/>
      </c>
      <c r="AC150" s="253"/>
      <c r="AD150" s="254"/>
      <c r="AE150" s="252" t="str">
        <f t="shared" si="45"/>
        <v/>
      </c>
      <c r="AF150" s="253"/>
      <c r="AG150" s="253"/>
      <c r="AH150" s="253"/>
      <c r="AI150" s="253"/>
      <c r="AJ150" s="253"/>
      <c r="AK150" s="254"/>
      <c r="AL150" s="398" t="str">
        <f t="shared" si="43"/>
        <v/>
      </c>
      <c r="AM150" s="399"/>
      <c r="AN150" s="399"/>
      <c r="AO150" s="399"/>
      <c r="AP150" s="399"/>
      <c r="AQ150" s="399"/>
      <c r="AR150" s="400"/>
      <c r="AS150" s="20"/>
      <c r="BF150" s="384" t="str">
        <f t="shared" si="46"/>
        <v/>
      </c>
      <c r="BG150" s="385"/>
      <c r="BH150" s="385"/>
      <c r="BI150" s="385"/>
      <c r="BJ150" s="385"/>
      <c r="BK150" s="385"/>
      <c r="BL150" s="385"/>
      <c r="BM150" s="385"/>
      <c r="BN150" s="386"/>
      <c r="BO150" s="387" t="str">
        <f t="shared" si="47"/>
        <v/>
      </c>
      <c r="BP150" s="387"/>
      <c r="BQ150" s="387"/>
      <c r="BR150" s="387"/>
      <c r="BS150" s="387"/>
      <c r="BT150" s="387"/>
      <c r="BU150" s="387"/>
      <c r="BV150" s="387"/>
      <c r="BW150" s="387"/>
      <c r="BX150" s="349"/>
      <c r="BY150" s="334"/>
      <c r="BZ150" s="334"/>
      <c r="CA150" s="334"/>
      <c r="CB150" s="334"/>
      <c r="CC150" s="334"/>
      <c r="CD150" s="334"/>
      <c r="CE150" s="334"/>
      <c r="CF150" s="334"/>
      <c r="CG150" s="334"/>
      <c r="CH150" s="334"/>
      <c r="CI150" s="334"/>
      <c r="CJ150" s="334"/>
      <c r="CK150" s="334"/>
      <c r="CL150" s="334"/>
      <c r="CM150" s="334"/>
      <c r="CN150" s="334"/>
      <c r="CO150" s="350"/>
      <c r="CP150" s="349"/>
      <c r="CQ150" s="334"/>
      <c r="CR150" s="334"/>
      <c r="CS150" s="334"/>
      <c r="CT150" s="334"/>
      <c r="CU150" s="334"/>
      <c r="CV150" s="334"/>
      <c r="CW150" s="334"/>
      <c r="CX150" s="334"/>
      <c r="CY150" s="334"/>
      <c r="CZ150" s="334"/>
      <c r="DA150" s="334"/>
      <c r="DB150" s="334"/>
      <c r="DC150" s="334"/>
      <c r="DD150" s="334"/>
      <c r="DE150" s="334"/>
      <c r="DF150" s="334"/>
      <c r="DG150" s="350"/>
      <c r="DH150" s="349"/>
      <c r="DI150" s="334"/>
      <c r="DJ150" s="334"/>
      <c r="DK150" s="334"/>
      <c r="DL150" s="334"/>
      <c r="DM150" s="334"/>
      <c r="DN150" s="334"/>
      <c r="DO150" s="334"/>
      <c r="DP150" s="334"/>
      <c r="DQ150" s="334"/>
      <c r="DR150" s="334"/>
      <c r="DS150" s="334"/>
      <c r="DT150" s="334"/>
      <c r="DU150" s="334"/>
      <c r="DV150" s="334"/>
      <c r="DW150" s="334"/>
      <c r="DX150" s="334"/>
      <c r="DY150" s="350"/>
    </row>
    <row r="151" spans="2:129" ht="13.5" customHeight="1" thickBot="1">
      <c r="B151" s="18"/>
      <c r="C151" s="19" t="s">
        <v>502</v>
      </c>
      <c r="D151" s="19"/>
      <c r="E151" s="19"/>
      <c r="F151" s="19"/>
      <c r="G151" s="19"/>
      <c r="H151" s="395"/>
      <c r="I151" s="396"/>
      <c r="J151" s="396"/>
      <c r="K151" s="396"/>
      <c r="L151" s="396"/>
      <c r="M151" s="396"/>
      <c r="N151" s="396"/>
      <c r="O151" s="396"/>
      <c r="P151" s="396"/>
      <c r="Q151" s="396"/>
      <c r="R151" s="397"/>
      <c r="S151" s="395"/>
      <c r="T151" s="396"/>
      <c r="U151" s="396"/>
      <c r="V151" s="396"/>
      <c r="W151" s="396"/>
      <c r="X151" s="397"/>
      <c r="Y151" s="252" t="str">
        <f t="shared" si="42"/>
        <v/>
      </c>
      <c r="Z151" s="253"/>
      <c r="AA151" s="254"/>
      <c r="AB151" s="252" t="str">
        <f t="shared" si="44"/>
        <v/>
      </c>
      <c r="AC151" s="253"/>
      <c r="AD151" s="254"/>
      <c r="AE151" s="252" t="str">
        <f t="shared" si="45"/>
        <v/>
      </c>
      <c r="AF151" s="253"/>
      <c r="AG151" s="253"/>
      <c r="AH151" s="253"/>
      <c r="AI151" s="253"/>
      <c r="AJ151" s="253"/>
      <c r="AK151" s="254"/>
      <c r="AL151" s="398" t="str">
        <f t="shared" si="43"/>
        <v/>
      </c>
      <c r="AM151" s="399"/>
      <c r="AN151" s="399"/>
      <c r="AO151" s="399"/>
      <c r="AP151" s="399"/>
      <c r="AQ151" s="399"/>
      <c r="AR151" s="400"/>
      <c r="AS151" s="20"/>
      <c r="BF151" s="384" t="str">
        <f t="shared" si="46"/>
        <v/>
      </c>
      <c r="BG151" s="385"/>
      <c r="BH151" s="385"/>
      <c r="BI151" s="385"/>
      <c r="BJ151" s="385"/>
      <c r="BK151" s="385"/>
      <c r="BL151" s="385"/>
      <c r="BM151" s="385"/>
      <c r="BN151" s="386"/>
      <c r="BO151" s="387" t="str">
        <f t="shared" si="47"/>
        <v/>
      </c>
      <c r="BP151" s="387"/>
      <c r="BQ151" s="387"/>
      <c r="BR151" s="387"/>
      <c r="BS151" s="387"/>
      <c r="BT151" s="387"/>
      <c r="BU151" s="387"/>
      <c r="BV151" s="387"/>
      <c r="BW151" s="387"/>
      <c r="BX151" s="349"/>
      <c r="BY151" s="334"/>
      <c r="BZ151" s="334"/>
      <c r="CA151" s="334"/>
      <c r="CB151" s="334"/>
      <c r="CC151" s="334"/>
      <c r="CD151" s="334"/>
      <c r="CE151" s="334"/>
      <c r="CF151" s="334"/>
      <c r="CG151" s="334"/>
      <c r="CH151" s="334"/>
      <c r="CI151" s="334"/>
      <c r="CJ151" s="334"/>
      <c r="CK151" s="334"/>
      <c r="CL151" s="334"/>
      <c r="CM151" s="334"/>
      <c r="CN151" s="334"/>
      <c r="CO151" s="350"/>
      <c r="CP151" s="349"/>
      <c r="CQ151" s="334"/>
      <c r="CR151" s="334"/>
      <c r="CS151" s="334"/>
      <c r="CT151" s="334"/>
      <c r="CU151" s="334"/>
      <c r="CV151" s="334"/>
      <c r="CW151" s="334"/>
      <c r="CX151" s="334"/>
      <c r="CY151" s="334"/>
      <c r="CZ151" s="334"/>
      <c r="DA151" s="334"/>
      <c r="DB151" s="334"/>
      <c r="DC151" s="334"/>
      <c r="DD151" s="334"/>
      <c r="DE151" s="334"/>
      <c r="DF151" s="334"/>
      <c r="DG151" s="350"/>
      <c r="DH151" s="349"/>
      <c r="DI151" s="334"/>
      <c r="DJ151" s="334"/>
      <c r="DK151" s="334"/>
      <c r="DL151" s="334"/>
      <c r="DM151" s="334"/>
      <c r="DN151" s="334"/>
      <c r="DO151" s="334"/>
      <c r="DP151" s="334"/>
      <c r="DQ151" s="334"/>
      <c r="DR151" s="334"/>
      <c r="DS151" s="334"/>
      <c r="DT151" s="334"/>
      <c r="DU151" s="334"/>
      <c r="DV151" s="334"/>
      <c r="DW151" s="334"/>
      <c r="DX151" s="334"/>
      <c r="DY151" s="350"/>
    </row>
    <row r="152" spans="2:129" ht="13.5" customHeight="1" thickBot="1">
      <c r="B152" s="18"/>
      <c r="C152" s="19" t="s">
        <v>503</v>
      </c>
      <c r="D152" s="19"/>
      <c r="E152" s="19"/>
      <c r="F152" s="19"/>
      <c r="G152" s="19"/>
      <c r="H152" s="395"/>
      <c r="I152" s="396"/>
      <c r="J152" s="396"/>
      <c r="K152" s="396"/>
      <c r="L152" s="396"/>
      <c r="M152" s="396"/>
      <c r="N152" s="396"/>
      <c r="O152" s="396"/>
      <c r="P152" s="396"/>
      <c r="Q152" s="396"/>
      <c r="R152" s="397"/>
      <c r="S152" s="395"/>
      <c r="T152" s="396"/>
      <c r="U152" s="396"/>
      <c r="V152" s="396"/>
      <c r="W152" s="396"/>
      <c r="X152" s="397"/>
      <c r="Y152" s="252" t="str">
        <f t="shared" si="42"/>
        <v/>
      </c>
      <c r="Z152" s="253"/>
      <c r="AA152" s="254"/>
      <c r="AB152" s="252" t="str">
        <f t="shared" si="44"/>
        <v/>
      </c>
      <c r="AC152" s="253"/>
      <c r="AD152" s="254"/>
      <c r="AE152" s="252" t="str">
        <f t="shared" si="45"/>
        <v/>
      </c>
      <c r="AF152" s="253"/>
      <c r="AG152" s="253"/>
      <c r="AH152" s="253"/>
      <c r="AI152" s="253"/>
      <c r="AJ152" s="253"/>
      <c r="AK152" s="254"/>
      <c r="AL152" s="398" t="str">
        <f t="shared" si="43"/>
        <v/>
      </c>
      <c r="AM152" s="399"/>
      <c r="AN152" s="399"/>
      <c r="AO152" s="399"/>
      <c r="AP152" s="399"/>
      <c r="AQ152" s="399"/>
      <c r="AR152" s="400"/>
      <c r="AS152" s="20"/>
      <c r="BF152" s="384" t="str">
        <f t="shared" si="46"/>
        <v/>
      </c>
      <c r="BG152" s="385"/>
      <c r="BH152" s="385"/>
      <c r="BI152" s="385"/>
      <c r="BJ152" s="385"/>
      <c r="BK152" s="385"/>
      <c r="BL152" s="385"/>
      <c r="BM152" s="385"/>
      <c r="BN152" s="386"/>
      <c r="BO152" s="387" t="str">
        <f t="shared" si="47"/>
        <v/>
      </c>
      <c r="BP152" s="387"/>
      <c r="BQ152" s="387"/>
      <c r="BR152" s="387"/>
      <c r="BS152" s="387"/>
      <c r="BT152" s="387"/>
      <c r="BU152" s="387"/>
      <c r="BV152" s="387"/>
      <c r="BW152" s="387"/>
      <c r="BX152" s="349"/>
      <c r="BY152" s="334"/>
      <c r="BZ152" s="334"/>
      <c r="CA152" s="334"/>
      <c r="CB152" s="334"/>
      <c r="CC152" s="334"/>
      <c r="CD152" s="334"/>
      <c r="CE152" s="334"/>
      <c r="CF152" s="334"/>
      <c r="CG152" s="334"/>
      <c r="CH152" s="334"/>
      <c r="CI152" s="334"/>
      <c r="CJ152" s="334"/>
      <c r="CK152" s="334"/>
      <c r="CL152" s="334"/>
      <c r="CM152" s="334"/>
      <c r="CN152" s="334"/>
      <c r="CO152" s="350"/>
      <c r="CP152" s="349"/>
      <c r="CQ152" s="334"/>
      <c r="CR152" s="334"/>
      <c r="CS152" s="334"/>
      <c r="CT152" s="334"/>
      <c r="CU152" s="334"/>
      <c r="CV152" s="334"/>
      <c r="CW152" s="334"/>
      <c r="CX152" s="334"/>
      <c r="CY152" s="334"/>
      <c r="CZ152" s="334"/>
      <c r="DA152" s="334"/>
      <c r="DB152" s="334"/>
      <c r="DC152" s="334"/>
      <c r="DD152" s="334"/>
      <c r="DE152" s="334"/>
      <c r="DF152" s="334"/>
      <c r="DG152" s="350"/>
      <c r="DH152" s="349"/>
      <c r="DI152" s="334"/>
      <c r="DJ152" s="334"/>
      <c r="DK152" s="334"/>
      <c r="DL152" s="334"/>
      <c r="DM152" s="334"/>
      <c r="DN152" s="334"/>
      <c r="DO152" s="334"/>
      <c r="DP152" s="334"/>
      <c r="DQ152" s="334"/>
      <c r="DR152" s="334"/>
      <c r="DS152" s="334"/>
      <c r="DT152" s="334"/>
      <c r="DU152" s="334"/>
      <c r="DV152" s="334"/>
      <c r="DW152" s="334"/>
      <c r="DX152" s="334"/>
      <c r="DY152" s="350"/>
    </row>
    <row r="153" spans="2:129" ht="13.5" customHeight="1" thickBot="1">
      <c r="B153" s="18"/>
      <c r="C153" s="19" t="s">
        <v>504</v>
      </c>
      <c r="D153" s="19"/>
      <c r="E153" s="19"/>
      <c r="F153" s="19"/>
      <c r="G153" s="19"/>
      <c r="H153" s="395"/>
      <c r="I153" s="396"/>
      <c r="J153" s="396"/>
      <c r="K153" s="396"/>
      <c r="L153" s="396"/>
      <c r="M153" s="396"/>
      <c r="N153" s="396"/>
      <c r="O153" s="396"/>
      <c r="P153" s="396"/>
      <c r="Q153" s="396"/>
      <c r="R153" s="397"/>
      <c r="S153" s="395"/>
      <c r="T153" s="396"/>
      <c r="U153" s="396"/>
      <c r="V153" s="396"/>
      <c r="W153" s="396"/>
      <c r="X153" s="397"/>
      <c r="Y153" s="252" t="str">
        <f t="shared" si="42"/>
        <v/>
      </c>
      <c r="Z153" s="253"/>
      <c r="AA153" s="254"/>
      <c r="AB153" s="252" t="str">
        <f t="shared" si="44"/>
        <v/>
      </c>
      <c r="AC153" s="253"/>
      <c r="AD153" s="254"/>
      <c r="AE153" s="252" t="str">
        <f t="shared" si="45"/>
        <v/>
      </c>
      <c r="AF153" s="253"/>
      <c r="AG153" s="253"/>
      <c r="AH153" s="253"/>
      <c r="AI153" s="253"/>
      <c r="AJ153" s="253"/>
      <c r="AK153" s="254"/>
      <c r="AL153" s="398" t="str">
        <f t="shared" si="43"/>
        <v/>
      </c>
      <c r="AM153" s="399"/>
      <c r="AN153" s="399"/>
      <c r="AO153" s="399"/>
      <c r="AP153" s="399"/>
      <c r="AQ153" s="399"/>
      <c r="AR153" s="400"/>
      <c r="AS153" s="20"/>
      <c r="BF153" s="384" t="str">
        <f t="shared" si="46"/>
        <v/>
      </c>
      <c r="BG153" s="385"/>
      <c r="BH153" s="385"/>
      <c r="BI153" s="385"/>
      <c r="BJ153" s="385"/>
      <c r="BK153" s="385"/>
      <c r="BL153" s="385"/>
      <c r="BM153" s="385"/>
      <c r="BN153" s="386"/>
      <c r="BO153" s="387" t="str">
        <f t="shared" si="47"/>
        <v/>
      </c>
      <c r="BP153" s="387"/>
      <c r="BQ153" s="387"/>
      <c r="BR153" s="387"/>
      <c r="BS153" s="387"/>
      <c r="BT153" s="387"/>
      <c r="BU153" s="387"/>
      <c r="BV153" s="387"/>
      <c r="BW153" s="387"/>
      <c r="BX153" s="349"/>
      <c r="BY153" s="334"/>
      <c r="BZ153" s="334"/>
      <c r="CA153" s="334"/>
      <c r="CB153" s="334"/>
      <c r="CC153" s="334"/>
      <c r="CD153" s="334"/>
      <c r="CE153" s="334"/>
      <c r="CF153" s="334"/>
      <c r="CG153" s="334"/>
      <c r="CH153" s="334"/>
      <c r="CI153" s="334"/>
      <c r="CJ153" s="334"/>
      <c r="CK153" s="334"/>
      <c r="CL153" s="334"/>
      <c r="CM153" s="334"/>
      <c r="CN153" s="334"/>
      <c r="CO153" s="350"/>
      <c r="CP153" s="349"/>
      <c r="CQ153" s="334"/>
      <c r="CR153" s="334"/>
      <c r="CS153" s="334"/>
      <c r="CT153" s="334"/>
      <c r="CU153" s="334"/>
      <c r="CV153" s="334"/>
      <c r="CW153" s="334"/>
      <c r="CX153" s="334"/>
      <c r="CY153" s="334"/>
      <c r="CZ153" s="334"/>
      <c r="DA153" s="334"/>
      <c r="DB153" s="334"/>
      <c r="DC153" s="334"/>
      <c r="DD153" s="334"/>
      <c r="DE153" s="334"/>
      <c r="DF153" s="334"/>
      <c r="DG153" s="350"/>
      <c r="DH153" s="349"/>
      <c r="DI153" s="334"/>
      <c r="DJ153" s="334"/>
      <c r="DK153" s="334"/>
      <c r="DL153" s="334"/>
      <c r="DM153" s="334"/>
      <c r="DN153" s="334"/>
      <c r="DO153" s="334"/>
      <c r="DP153" s="334"/>
      <c r="DQ153" s="334"/>
      <c r="DR153" s="334"/>
      <c r="DS153" s="334"/>
      <c r="DT153" s="334"/>
      <c r="DU153" s="334"/>
      <c r="DV153" s="334"/>
      <c r="DW153" s="334"/>
      <c r="DX153" s="334"/>
      <c r="DY153" s="350"/>
    </row>
    <row r="154" spans="2:129" ht="13.5" customHeight="1" thickBot="1">
      <c r="B154" s="18"/>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20"/>
      <c r="BX154" s="349"/>
      <c r="BY154" s="334"/>
      <c r="BZ154" s="334"/>
      <c r="CA154" s="334"/>
      <c r="CB154" s="334"/>
      <c r="CC154" s="334"/>
      <c r="CD154" s="334"/>
      <c r="CE154" s="334"/>
      <c r="CF154" s="334"/>
      <c r="CG154" s="334"/>
      <c r="CH154" s="334"/>
      <c r="CI154" s="334"/>
      <c r="CJ154" s="334"/>
      <c r="CK154" s="334"/>
      <c r="CL154" s="334"/>
      <c r="CM154" s="334"/>
      <c r="CN154" s="334"/>
      <c r="CO154" s="350"/>
      <c r="CP154" s="349"/>
      <c r="CQ154" s="334"/>
      <c r="CR154" s="334"/>
      <c r="CS154" s="334"/>
      <c r="CT154" s="334"/>
      <c r="CU154" s="334"/>
      <c r="CV154" s="334"/>
      <c r="CW154" s="334"/>
      <c r="CX154" s="334"/>
      <c r="CY154" s="334"/>
      <c r="CZ154" s="334"/>
      <c r="DA154" s="334"/>
      <c r="DB154" s="334"/>
      <c r="DC154" s="334"/>
      <c r="DD154" s="334"/>
      <c r="DE154" s="334"/>
      <c r="DF154" s="334"/>
      <c r="DG154" s="350"/>
      <c r="DH154" s="349"/>
      <c r="DI154" s="334"/>
      <c r="DJ154" s="334"/>
      <c r="DK154" s="334"/>
      <c r="DL154" s="334"/>
      <c r="DM154" s="334"/>
      <c r="DN154" s="334"/>
      <c r="DO154" s="334"/>
      <c r="DP154" s="334"/>
      <c r="DQ154" s="334"/>
      <c r="DR154" s="334"/>
      <c r="DS154" s="334"/>
      <c r="DT154" s="334"/>
      <c r="DU154" s="334"/>
      <c r="DV154" s="334"/>
      <c r="DW154" s="334"/>
      <c r="DX154" s="334"/>
      <c r="DY154" s="350"/>
    </row>
    <row r="155" spans="2:129" ht="13.5" customHeight="1" thickBot="1">
      <c r="B155" s="18"/>
      <c r="C155" s="388" t="s">
        <v>525</v>
      </c>
      <c r="D155" s="388"/>
      <c r="E155" s="388"/>
      <c r="F155" s="388"/>
      <c r="G155" s="388"/>
      <c r="H155" s="389"/>
      <c r="I155" s="390"/>
      <c r="J155" s="390"/>
      <c r="K155" s="390"/>
      <c r="L155" s="390"/>
      <c r="M155" s="390"/>
      <c r="N155" s="390"/>
      <c r="O155" s="390"/>
      <c r="P155" s="390"/>
      <c r="Q155" s="390"/>
      <c r="R155" s="390"/>
      <c r="S155" s="390"/>
      <c r="T155" s="390"/>
      <c r="U155" s="390"/>
      <c r="V155" s="390"/>
      <c r="W155" s="390"/>
      <c r="X155" s="390"/>
      <c r="Y155" s="390"/>
      <c r="Z155" s="390"/>
      <c r="AA155" s="390"/>
      <c r="AB155" s="390"/>
      <c r="AC155" s="390"/>
      <c r="AD155" s="390"/>
      <c r="AE155" s="390"/>
      <c r="AF155" s="390"/>
      <c r="AG155" s="390"/>
      <c r="AH155" s="390"/>
      <c r="AI155" s="391"/>
      <c r="AJ155" s="19"/>
      <c r="AK155" s="19" t="s">
        <v>526</v>
      </c>
      <c r="AL155" s="19"/>
      <c r="AM155" s="19"/>
      <c r="AN155" s="19"/>
      <c r="AO155" s="252" t="str">
        <f>IF(H143="","",SUM(Y144:AA153))</f>
        <v/>
      </c>
      <c r="AP155" s="253"/>
      <c r="AQ155" s="253"/>
      <c r="AR155" s="254"/>
      <c r="AS155" s="20"/>
      <c r="BX155" s="349"/>
      <c r="BY155" s="334"/>
      <c r="BZ155" s="334"/>
      <c r="CA155" s="334"/>
      <c r="CB155" s="334"/>
      <c r="CC155" s="334"/>
      <c r="CD155" s="334"/>
      <c r="CE155" s="334"/>
      <c r="CF155" s="334"/>
      <c r="CG155" s="334"/>
      <c r="CH155" s="334"/>
      <c r="CI155" s="334"/>
      <c r="CJ155" s="334"/>
      <c r="CK155" s="334"/>
      <c r="CL155" s="334"/>
      <c r="CM155" s="334"/>
      <c r="CN155" s="334"/>
      <c r="CO155" s="350"/>
      <c r="CP155" s="349"/>
      <c r="CQ155" s="334"/>
      <c r="CR155" s="334"/>
      <c r="CS155" s="334"/>
      <c r="CT155" s="334"/>
      <c r="CU155" s="334"/>
      <c r="CV155" s="334"/>
      <c r="CW155" s="334"/>
      <c r="CX155" s="334"/>
      <c r="CY155" s="334"/>
      <c r="CZ155" s="334"/>
      <c r="DA155" s="334"/>
      <c r="DB155" s="334"/>
      <c r="DC155" s="334"/>
      <c r="DD155" s="334"/>
      <c r="DE155" s="334"/>
      <c r="DF155" s="334"/>
      <c r="DG155" s="350"/>
      <c r="DH155" s="349"/>
      <c r="DI155" s="334"/>
      <c r="DJ155" s="334"/>
      <c r="DK155" s="334"/>
      <c r="DL155" s="334"/>
      <c r="DM155" s="334"/>
      <c r="DN155" s="334"/>
      <c r="DO155" s="334"/>
      <c r="DP155" s="334"/>
      <c r="DQ155" s="334"/>
      <c r="DR155" s="334"/>
      <c r="DS155" s="334"/>
      <c r="DT155" s="334"/>
      <c r="DU155" s="334"/>
      <c r="DV155" s="334"/>
      <c r="DW155" s="334"/>
      <c r="DX155" s="334"/>
      <c r="DY155" s="350"/>
    </row>
    <row r="156" spans="2:129" ht="13.5" customHeight="1" thickBot="1">
      <c r="B156" s="18"/>
      <c r="C156" s="388"/>
      <c r="D156" s="388"/>
      <c r="E156" s="388"/>
      <c r="F156" s="388"/>
      <c r="G156" s="388"/>
      <c r="H156" s="392"/>
      <c r="I156" s="393"/>
      <c r="J156" s="393"/>
      <c r="K156" s="393"/>
      <c r="L156" s="393"/>
      <c r="M156" s="393"/>
      <c r="N156" s="393"/>
      <c r="O156" s="393"/>
      <c r="P156" s="393"/>
      <c r="Q156" s="393"/>
      <c r="R156" s="393"/>
      <c r="S156" s="393"/>
      <c r="T156" s="393"/>
      <c r="U156" s="393"/>
      <c r="V156" s="393"/>
      <c r="W156" s="393"/>
      <c r="X156" s="393"/>
      <c r="Y156" s="393"/>
      <c r="Z156" s="393"/>
      <c r="AA156" s="393"/>
      <c r="AB156" s="393"/>
      <c r="AC156" s="393"/>
      <c r="AD156" s="393"/>
      <c r="AE156" s="393"/>
      <c r="AF156" s="393"/>
      <c r="AG156" s="393"/>
      <c r="AH156" s="393"/>
      <c r="AI156" s="394"/>
      <c r="AJ156" s="19"/>
      <c r="AK156" s="19"/>
      <c r="AL156" s="19"/>
      <c r="AM156" s="19"/>
      <c r="AN156" s="19"/>
      <c r="AO156" s="19"/>
      <c r="AP156" s="19"/>
      <c r="AQ156" s="19"/>
      <c r="AR156" s="19"/>
      <c r="AS156" s="20"/>
      <c r="BX156" s="351"/>
      <c r="BY156" s="352"/>
      <c r="BZ156" s="352"/>
      <c r="CA156" s="352"/>
      <c r="CB156" s="352"/>
      <c r="CC156" s="352"/>
      <c r="CD156" s="352"/>
      <c r="CE156" s="352"/>
      <c r="CF156" s="352"/>
      <c r="CG156" s="352"/>
      <c r="CH156" s="352"/>
      <c r="CI156" s="352"/>
      <c r="CJ156" s="352"/>
      <c r="CK156" s="352"/>
      <c r="CL156" s="352"/>
      <c r="CM156" s="352"/>
      <c r="CN156" s="352"/>
      <c r="CO156" s="353"/>
      <c r="CP156" s="351"/>
      <c r="CQ156" s="352"/>
      <c r="CR156" s="352"/>
      <c r="CS156" s="352"/>
      <c r="CT156" s="352"/>
      <c r="CU156" s="352"/>
      <c r="CV156" s="352"/>
      <c r="CW156" s="352"/>
      <c r="CX156" s="352"/>
      <c r="CY156" s="352"/>
      <c r="CZ156" s="352"/>
      <c r="DA156" s="352"/>
      <c r="DB156" s="352"/>
      <c r="DC156" s="352"/>
      <c r="DD156" s="352"/>
      <c r="DE156" s="352"/>
      <c r="DF156" s="352"/>
      <c r="DG156" s="353"/>
      <c r="DH156" s="351"/>
      <c r="DI156" s="352"/>
      <c r="DJ156" s="352"/>
      <c r="DK156" s="352"/>
      <c r="DL156" s="352"/>
      <c r="DM156" s="352"/>
      <c r="DN156" s="352"/>
      <c r="DO156" s="352"/>
      <c r="DP156" s="352"/>
      <c r="DQ156" s="352"/>
      <c r="DR156" s="352"/>
      <c r="DS156" s="352"/>
      <c r="DT156" s="352"/>
      <c r="DU156" s="352"/>
      <c r="DV156" s="352"/>
      <c r="DW156" s="352"/>
      <c r="DX156" s="352"/>
      <c r="DY156" s="353"/>
    </row>
    <row r="157" spans="2:129" ht="13.5" customHeight="1" thickBo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3"/>
    </row>
    <row r="158" spans="2:129" ht="13.5" customHeight="1" thickBot="1"/>
    <row r="159" spans="2:129" ht="13.5" customHeight="1" thickBot="1">
      <c r="B159" s="15"/>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7"/>
      <c r="BF159" s="12" t="s">
        <v>620</v>
      </c>
      <c r="BO159" s="12" t="s">
        <v>621</v>
      </c>
      <c r="CG159" s="44"/>
      <c r="CH159" s="44"/>
      <c r="CI159" s="44"/>
      <c r="CJ159" s="44"/>
      <c r="CK159" s="44"/>
      <c r="CL159" s="44"/>
      <c r="CM159" s="44"/>
      <c r="CN159" s="44"/>
      <c r="CO159" s="44"/>
    </row>
    <row r="160" spans="2:129" ht="13.5" customHeight="1" thickBot="1">
      <c r="B160" s="18"/>
      <c r="C160" s="19" t="s">
        <v>385</v>
      </c>
      <c r="D160" s="19"/>
      <c r="E160" s="19"/>
      <c r="F160" s="19"/>
      <c r="G160" s="19"/>
      <c r="H160" s="249"/>
      <c r="I160" s="250"/>
      <c r="J160" s="250"/>
      <c r="K160" s="250"/>
      <c r="L160" s="250"/>
      <c r="M160" s="250"/>
      <c r="N160" s="250"/>
      <c r="O160" s="250"/>
      <c r="P160" s="250"/>
      <c r="Q160" s="250"/>
      <c r="R160" s="251"/>
      <c r="S160" s="401" t="s">
        <v>505</v>
      </c>
      <c r="T160" s="262"/>
      <c r="U160" s="262"/>
      <c r="V160" s="262"/>
      <c r="W160" s="262"/>
      <c r="X160" s="262"/>
      <c r="Y160" s="269" t="s">
        <v>37</v>
      </c>
      <c r="Z160" s="269"/>
      <c r="AA160" s="269"/>
      <c r="AB160" s="269" t="s">
        <v>36</v>
      </c>
      <c r="AC160" s="269"/>
      <c r="AD160" s="269"/>
      <c r="AE160" s="269" t="s">
        <v>506</v>
      </c>
      <c r="AF160" s="269"/>
      <c r="AG160" s="269"/>
      <c r="AH160" s="269"/>
      <c r="AI160" s="269"/>
      <c r="AJ160" s="269"/>
      <c r="AK160" s="269"/>
      <c r="AL160" s="269" t="s">
        <v>507</v>
      </c>
      <c r="AM160" s="269"/>
      <c r="AN160" s="269"/>
      <c r="AO160" s="269"/>
      <c r="AP160" s="269"/>
      <c r="AQ160" s="269"/>
      <c r="AR160" s="269"/>
      <c r="AS160" s="20"/>
      <c r="BF160" s="384" t="str">
        <f>IF(H160="","",H160&amp;IF(H172="",""," ["&amp;H172&amp;"]"))</f>
        <v/>
      </c>
      <c r="BG160" s="385"/>
      <c r="BH160" s="385"/>
      <c r="BI160" s="385"/>
      <c r="BJ160" s="385"/>
      <c r="BK160" s="385"/>
      <c r="BL160" s="385"/>
      <c r="BM160" s="385"/>
      <c r="BN160" s="386"/>
      <c r="BO160" s="371"/>
      <c r="BP160" s="371"/>
      <c r="BQ160" s="371"/>
      <c r="BR160" s="371"/>
      <c r="BS160" s="371"/>
      <c r="BT160" s="371"/>
      <c r="BU160" s="371"/>
      <c r="BV160" s="371"/>
      <c r="BW160" s="371"/>
      <c r="BX160" s="346" t="str">
        <f>IF(BF160="","",CHAR(10)&amp;CHAR(149)&amp;" "&amp;BF160&amp;CHAR(10)&amp;BO170)</f>
        <v/>
      </c>
      <c r="BY160" s="347"/>
      <c r="BZ160" s="347"/>
      <c r="CA160" s="347"/>
      <c r="CB160" s="347"/>
      <c r="CC160" s="347"/>
      <c r="CD160" s="347"/>
      <c r="CE160" s="347"/>
      <c r="CF160" s="347"/>
      <c r="CG160" s="347"/>
      <c r="CH160" s="347"/>
      <c r="CI160" s="347"/>
      <c r="CJ160" s="347"/>
      <c r="CK160" s="347"/>
      <c r="CL160" s="347"/>
      <c r="CM160" s="347"/>
      <c r="CN160" s="347"/>
      <c r="CO160" s="348"/>
      <c r="CP160" s="346" t="str">
        <f>IF($BF160="","",CHAR(10)&amp;"[b]"&amp;$BF160&amp;": [/b]"&amp;CHAR(10)&amp;$BO170&amp;CHAR(10)&amp;"("&amp;AO172&amp;" points)")</f>
        <v/>
      </c>
      <c r="CQ160" s="347"/>
      <c r="CR160" s="347"/>
      <c r="CS160" s="347"/>
      <c r="CT160" s="347"/>
      <c r="CU160" s="347"/>
      <c r="CV160" s="347"/>
      <c r="CW160" s="347"/>
      <c r="CX160" s="347"/>
      <c r="CY160" s="347"/>
      <c r="CZ160" s="347"/>
      <c r="DA160" s="347"/>
      <c r="DB160" s="347"/>
      <c r="DC160" s="347"/>
      <c r="DD160" s="347"/>
      <c r="DE160" s="347"/>
      <c r="DF160" s="347"/>
      <c r="DG160" s="348"/>
      <c r="DH160" s="346" t="str">
        <f>IF($BF160="","",CHAR(10)&amp;"**"&amp;$BF160&amp;":**"&amp;CHAR(10)&amp;$BO170&amp;CHAR(10)&amp;"("&amp;$AO172&amp;" points)")</f>
        <v/>
      </c>
      <c r="DI160" s="347"/>
      <c r="DJ160" s="347"/>
      <c r="DK160" s="347"/>
      <c r="DL160" s="347"/>
      <c r="DM160" s="347"/>
      <c r="DN160" s="347"/>
      <c r="DO160" s="347"/>
      <c r="DP160" s="347"/>
      <c r="DQ160" s="347"/>
      <c r="DR160" s="347"/>
      <c r="DS160" s="347"/>
      <c r="DT160" s="347"/>
      <c r="DU160" s="347"/>
      <c r="DV160" s="347"/>
      <c r="DW160" s="347"/>
      <c r="DX160" s="347"/>
      <c r="DY160" s="348"/>
    </row>
    <row r="161" spans="2:129" ht="13.5" customHeight="1" thickBot="1">
      <c r="B161" s="18"/>
      <c r="C161" s="19" t="s">
        <v>495</v>
      </c>
      <c r="D161" s="19"/>
      <c r="E161" s="19"/>
      <c r="F161" s="19"/>
      <c r="G161" s="19"/>
      <c r="H161" s="395"/>
      <c r="I161" s="396"/>
      <c r="J161" s="396"/>
      <c r="K161" s="396"/>
      <c r="L161" s="396"/>
      <c r="M161" s="396"/>
      <c r="N161" s="396"/>
      <c r="O161" s="396"/>
      <c r="P161" s="396"/>
      <c r="Q161" s="396"/>
      <c r="R161" s="397"/>
      <c r="S161" s="395"/>
      <c r="T161" s="396"/>
      <c r="U161" s="396"/>
      <c r="V161" s="396"/>
      <c r="W161" s="396"/>
      <c r="X161" s="397"/>
      <c r="Y161" s="252" t="str">
        <f t="shared" ref="Y161:Y170" si="48">IF($H161="","",IF($S161="Normal",VLOOKUP($H161,ComponentMatrix,7,FALSE),IF($S161="Alternate",1,IF($S161="Dynamic",2,IF($S161="None",0,"")))))</f>
        <v/>
      </c>
      <c r="Z161" s="253"/>
      <c r="AA161" s="254"/>
      <c r="AB161" s="252" t="str">
        <f>IF($H161="","",VLOOKUP($H161,ComponentMatrix,5,FALSE))</f>
        <v/>
      </c>
      <c r="AC161" s="253"/>
      <c r="AD161" s="254"/>
      <c r="AE161" s="252" t="str">
        <f>IF($H161="","",VLOOKUP($H161,ComponentMatrix,9,FALSE))</f>
        <v/>
      </c>
      <c r="AF161" s="253"/>
      <c r="AG161" s="253"/>
      <c r="AH161" s="253"/>
      <c r="AI161" s="253"/>
      <c r="AJ161" s="253"/>
      <c r="AK161" s="254"/>
      <c r="AL161" s="398" t="str">
        <f t="shared" ref="AL161:AL170" si="49">IF($H161="","",VLOOKUP($H161,ComponentMatrix,15,FALSE))</f>
        <v/>
      </c>
      <c r="AM161" s="399"/>
      <c r="AN161" s="399"/>
      <c r="AO161" s="399"/>
      <c r="AP161" s="399"/>
      <c r="AQ161" s="399"/>
      <c r="AR161" s="400"/>
      <c r="AS161" s="20"/>
      <c r="BF161" s="384" t="str">
        <f>IF(H161="","",IF(S161="Alternate","Alt: ","")&amp;IF(S161="Dynamic","Dyn: ","")&amp;IF(H161=AE161,AE161&amp;" "&amp;AB161&amp;IF(AL161="",""," ["&amp;AL161&amp;"]"),IF(AE161="Custom",H161&amp;" ("&amp;Y161&amp;" points)"&amp;CHAR(10),H161&amp;": "&amp;AE161&amp;" "&amp;AB161&amp;IF(AL161="",""," ["&amp;AL161&amp;"]"))))</f>
        <v/>
      </c>
      <c r="BG161" s="385"/>
      <c r="BH161" s="385"/>
      <c r="BI161" s="385"/>
      <c r="BJ161" s="385"/>
      <c r="BK161" s="385"/>
      <c r="BL161" s="385"/>
      <c r="BM161" s="385"/>
      <c r="BN161" s="386"/>
      <c r="BO161" s="371" t="str">
        <f>IF(BF161="","","     "&amp;BF161)</f>
        <v/>
      </c>
      <c r="BP161" s="371"/>
      <c r="BQ161" s="371"/>
      <c r="BR161" s="371"/>
      <c r="BS161" s="371"/>
      <c r="BT161" s="371"/>
      <c r="BU161" s="371"/>
      <c r="BV161" s="371"/>
      <c r="BW161" s="371"/>
      <c r="BX161" s="349"/>
      <c r="BY161" s="334"/>
      <c r="BZ161" s="334"/>
      <c r="CA161" s="334"/>
      <c r="CB161" s="334"/>
      <c r="CC161" s="334"/>
      <c r="CD161" s="334"/>
      <c r="CE161" s="334"/>
      <c r="CF161" s="334"/>
      <c r="CG161" s="334"/>
      <c r="CH161" s="334"/>
      <c r="CI161" s="334"/>
      <c r="CJ161" s="334"/>
      <c r="CK161" s="334"/>
      <c r="CL161" s="334"/>
      <c r="CM161" s="334"/>
      <c r="CN161" s="334"/>
      <c r="CO161" s="350"/>
      <c r="CP161" s="349"/>
      <c r="CQ161" s="334"/>
      <c r="CR161" s="334"/>
      <c r="CS161" s="334"/>
      <c r="CT161" s="334"/>
      <c r="CU161" s="334"/>
      <c r="CV161" s="334"/>
      <c r="CW161" s="334"/>
      <c r="CX161" s="334"/>
      <c r="CY161" s="334"/>
      <c r="CZ161" s="334"/>
      <c r="DA161" s="334"/>
      <c r="DB161" s="334"/>
      <c r="DC161" s="334"/>
      <c r="DD161" s="334"/>
      <c r="DE161" s="334"/>
      <c r="DF161" s="334"/>
      <c r="DG161" s="350"/>
      <c r="DH161" s="349"/>
      <c r="DI161" s="334"/>
      <c r="DJ161" s="334"/>
      <c r="DK161" s="334"/>
      <c r="DL161" s="334"/>
      <c r="DM161" s="334"/>
      <c r="DN161" s="334"/>
      <c r="DO161" s="334"/>
      <c r="DP161" s="334"/>
      <c r="DQ161" s="334"/>
      <c r="DR161" s="334"/>
      <c r="DS161" s="334"/>
      <c r="DT161" s="334"/>
      <c r="DU161" s="334"/>
      <c r="DV161" s="334"/>
      <c r="DW161" s="334"/>
      <c r="DX161" s="334"/>
      <c r="DY161" s="350"/>
    </row>
    <row r="162" spans="2:129" ht="13.5" customHeight="1" thickBot="1">
      <c r="B162" s="18"/>
      <c r="C162" s="19" t="s">
        <v>496</v>
      </c>
      <c r="D162" s="19"/>
      <c r="E162" s="19"/>
      <c r="F162" s="19"/>
      <c r="G162" s="19"/>
      <c r="H162" s="395"/>
      <c r="I162" s="396"/>
      <c r="J162" s="396"/>
      <c r="K162" s="396"/>
      <c r="L162" s="396"/>
      <c r="M162" s="396"/>
      <c r="N162" s="396"/>
      <c r="O162" s="396"/>
      <c r="P162" s="396"/>
      <c r="Q162" s="396"/>
      <c r="R162" s="397"/>
      <c r="S162" s="395"/>
      <c r="T162" s="396"/>
      <c r="U162" s="396"/>
      <c r="V162" s="396"/>
      <c r="W162" s="396"/>
      <c r="X162" s="397"/>
      <c r="Y162" s="252" t="str">
        <f t="shared" si="48"/>
        <v/>
      </c>
      <c r="Z162" s="253"/>
      <c r="AA162" s="254"/>
      <c r="AB162" s="252" t="str">
        <f t="shared" ref="AB162:AB170" si="50">IF(H162="","",VLOOKUP(H162,ComponentMatrix,5,FALSE))</f>
        <v/>
      </c>
      <c r="AC162" s="253"/>
      <c r="AD162" s="254"/>
      <c r="AE162" s="252" t="str">
        <f t="shared" ref="AE162:AE170" si="51">IF(H162="","",VLOOKUP(H162,ComponentMatrix,9,FALSE))</f>
        <v/>
      </c>
      <c r="AF162" s="253"/>
      <c r="AG162" s="253"/>
      <c r="AH162" s="253"/>
      <c r="AI162" s="253"/>
      <c r="AJ162" s="253"/>
      <c r="AK162" s="254"/>
      <c r="AL162" s="398" t="str">
        <f t="shared" si="49"/>
        <v/>
      </c>
      <c r="AM162" s="399"/>
      <c r="AN162" s="399"/>
      <c r="AO162" s="399"/>
      <c r="AP162" s="399"/>
      <c r="AQ162" s="399"/>
      <c r="AR162" s="400"/>
      <c r="AS162" s="20"/>
      <c r="BF162" s="384" t="str">
        <f t="shared" ref="BF162:BF170" si="52">IF(H162="","",IF(S162="Alternate","Alt: ","")&amp;IF(S162="Dynamic","Dyn: ","")&amp;IF(H162=AE162,AE162&amp;" "&amp;AB162&amp;IF(AL162="",""," ["&amp;AL162&amp;"]"),IF(AE162="Custom",H162&amp;" ("&amp;Y162&amp;" points)"&amp;CHAR(10),H162&amp;": "&amp;AE162&amp;" "&amp;AB162&amp;IF(AL162="",""," ["&amp;AL162&amp;"]"))))</f>
        <v/>
      </c>
      <c r="BG162" s="385"/>
      <c r="BH162" s="385"/>
      <c r="BI162" s="385"/>
      <c r="BJ162" s="385"/>
      <c r="BK162" s="385"/>
      <c r="BL162" s="385"/>
      <c r="BM162" s="385"/>
      <c r="BN162" s="386"/>
      <c r="BO162" s="387" t="str">
        <f>BO161&amp;IF(AE161="Custom","     "&amp;BF162,IF(S162="None",", "&amp;BF162,"")&amp;IF(OR(S162="Alternate",S162="Dynamic"),CHAR(10)&amp;"     "&amp;BF162,"")&amp;IF(S162="Normal",IF(OR(S161="Alternate",S161="Dynamic",S161="None"),CHAR(10)&amp;"     "&amp;BF162,", "&amp;BF162),""))</f>
        <v/>
      </c>
      <c r="BP162" s="387"/>
      <c r="BQ162" s="387"/>
      <c r="BR162" s="387"/>
      <c r="BS162" s="387"/>
      <c r="BT162" s="387"/>
      <c r="BU162" s="387"/>
      <c r="BV162" s="387"/>
      <c r="BW162" s="387"/>
      <c r="BX162" s="349"/>
      <c r="BY162" s="334"/>
      <c r="BZ162" s="334"/>
      <c r="CA162" s="334"/>
      <c r="CB162" s="334"/>
      <c r="CC162" s="334"/>
      <c r="CD162" s="334"/>
      <c r="CE162" s="334"/>
      <c r="CF162" s="334"/>
      <c r="CG162" s="334"/>
      <c r="CH162" s="334"/>
      <c r="CI162" s="334"/>
      <c r="CJ162" s="334"/>
      <c r="CK162" s="334"/>
      <c r="CL162" s="334"/>
      <c r="CM162" s="334"/>
      <c r="CN162" s="334"/>
      <c r="CO162" s="350"/>
      <c r="CP162" s="349"/>
      <c r="CQ162" s="334"/>
      <c r="CR162" s="334"/>
      <c r="CS162" s="334"/>
      <c r="CT162" s="334"/>
      <c r="CU162" s="334"/>
      <c r="CV162" s="334"/>
      <c r="CW162" s="334"/>
      <c r="CX162" s="334"/>
      <c r="CY162" s="334"/>
      <c r="CZ162" s="334"/>
      <c r="DA162" s="334"/>
      <c r="DB162" s="334"/>
      <c r="DC162" s="334"/>
      <c r="DD162" s="334"/>
      <c r="DE162" s="334"/>
      <c r="DF162" s="334"/>
      <c r="DG162" s="350"/>
      <c r="DH162" s="349"/>
      <c r="DI162" s="334"/>
      <c r="DJ162" s="334"/>
      <c r="DK162" s="334"/>
      <c r="DL162" s="334"/>
      <c r="DM162" s="334"/>
      <c r="DN162" s="334"/>
      <c r="DO162" s="334"/>
      <c r="DP162" s="334"/>
      <c r="DQ162" s="334"/>
      <c r="DR162" s="334"/>
      <c r="DS162" s="334"/>
      <c r="DT162" s="334"/>
      <c r="DU162" s="334"/>
      <c r="DV162" s="334"/>
      <c r="DW162" s="334"/>
      <c r="DX162" s="334"/>
      <c r="DY162" s="350"/>
    </row>
    <row r="163" spans="2:129" ht="13.5" customHeight="1" thickBot="1">
      <c r="B163" s="18"/>
      <c r="C163" s="19" t="s">
        <v>497</v>
      </c>
      <c r="D163" s="19"/>
      <c r="E163" s="19"/>
      <c r="F163" s="19"/>
      <c r="G163" s="19"/>
      <c r="H163" s="395"/>
      <c r="I163" s="396"/>
      <c r="J163" s="396"/>
      <c r="K163" s="396"/>
      <c r="L163" s="396"/>
      <c r="M163" s="396"/>
      <c r="N163" s="396"/>
      <c r="O163" s="396"/>
      <c r="P163" s="396"/>
      <c r="Q163" s="396"/>
      <c r="R163" s="397"/>
      <c r="S163" s="395"/>
      <c r="T163" s="396"/>
      <c r="U163" s="396"/>
      <c r="V163" s="396"/>
      <c r="W163" s="396"/>
      <c r="X163" s="397"/>
      <c r="Y163" s="252" t="str">
        <f t="shared" si="48"/>
        <v/>
      </c>
      <c r="Z163" s="253"/>
      <c r="AA163" s="254"/>
      <c r="AB163" s="252" t="str">
        <f t="shared" si="50"/>
        <v/>
      </c>
      <c r="AC163" s="253"/>
      <c r="AD163" s="254"/>
      <c r="AE163" s="252" t="str">
        <f t="shared" si="51"/>
        <v/>
      </c>
      <c r="AF163" s="253"/>
      <c r="AG163" s="253"/>
      <c r="AH163" s="253"/>
      <c r="AI163" s="253"/>
      <c r="AJ163" s="253"/>
      <c r="AK163" s="254"/>
      <c r="AL163" s="398" t="str">
        <f t="shared" si="49"/>
        <v/>
      </c>
      <c r="AM163" s="399"/>
      <c r="AN163" s="399"/>
      <c r="AO163" s="399"/>
      <c r="AP163" s="399"/>
      <c r="AQ163" s="399"/>
      <c r="AR163" s="400"/>
      <c r="AS163" s="20"/>
      <c r="BF163" s="384" t="str">
        <f t="shared" si="52"/>
        <v/>
      </c>
      <c r="BG163" s="385"/>
      <c r="BH163" s="385"/>
      <c r="BI163" s="385"/>
      <c r="BJ163" s="385"/>
      <c r="BK163" s="385"/>
      <c r="BL163" s="385"/>
      <c r="BM163" s="385"/>
      <c r="BN163" s="386"/>
      <c r="BO163" s="387" t="str">
        <f t="shared" ref="BO163:BO170" si="53">BO162&amp;IF(AE162="Custom","     "&amp;BF163,IF(S163="None",", "&amp;BF163,"")&amp;IF(OR(S163="Alternate",S163="Dynamic"),CHAR(10)&amp;"     "&amp;BF163,"")&amp;IF(S163="Normal",IF(OR(S162="Alternate",S162="Dynamic",S162="None"),CHAR(10)&amp;"     "&amp;BF163,", "&amp;BF163),""))</f>
        <v/>
      </c>
      <c r="BP163" s="387"/>
      <c r="BQ163" s="387"/>
      <c r="BR163" s="387"/>
      <c r="BS163" s="387"/>
      <c r="BT163" s="387"/>
      <c r="BU163" s="387"/>
      <c r="BV163" s="387"/>
      <c r="BW163" s="387"/>
      <c r="BX163" s="349"/>
      <c r="BY163" s="334"/>
      <c r="BZ163" s="334"/>
      <c r="CA163" s="334"/>
      <c r="CB163" s="334"/>
      <c r="CC163" s="334"/>
      <c r="CD163" s="334"/>
      <c r="CE163" s="334"/>
      <c r="CF163" s="334"/>
      <c r="CG163" s="334"/>
      <c r="CH163" s="334"/>
      <c r="CI163" s="334"/>
      <c r="CJ163" s="334"/>
      <c r="CK163" s="334"/>
      <c r="CL163" s="334"/>
      <c r="CM163" s="334"/>
      <c r="CN163" s="334"/>
      <c r="CO163" s="350"/>
      <c r="CP163" s="349"/>
      <c r="CQ163" s="334"/>
      <c r="CR163" s="334"/>
      <c r="CS163" s="334"/>
      <c r="CT163" s="334"/>
      <c r="CU163" s="334"/>
      <c r="CV163" s="334"/>
      <c r="CW163" s="334"/>
      <c r="CX163" s="334"/>
      <c r="CY163" s="334"/>
      <c r="CZ163" s="334"/>
      <c r="DA163" s="334"/>
      <c r="DB163" s="334"/>
      <c r="DC163" s="334"/>
      <c r="DD163" s="334"/>
      <c r="DE163" s="334"/>
      <c r="DF163" s="334"/>
      <c r="DG163" s="350"/>
      <c r="DH163" s="349"/>
      <c r="DI163" s="334"/>
      <c r="DJ163" s="334"/>
      <c r="DK163" s="334"/>
      <c r="DL163" s="334"/>
      <c r="DM163" s="334"/>
      <c r="DN163" s="334"/>
      <c r="DO163" s="334"/>
      <c r="DP163" s="334"/>
      <c r="DQ163" s="334"/>
      <c r="DR163" s="334"/>
      <c r="DS163" s="334"/>
      <c r="DT163" s="334"/>
      <c r="DU163" s="334"/>
      <c r="DV163" s="334"/>
      <c r="DW163" s="334"/>
      <c r="DX163" s="334"/>
      <c r="DY163" s="350"/>
    </row>
    <row r="164" spans="2:129" ht="13.5" customHeight="1" thickBot="1">
      <c r="B164" s="18"/>
      <c r="C164" s="19" t="s">
        <v>498</v>
      </c>
      <c r="D164" s="19"/>
      <c r="E164" s="19"/>
      <c r="F164" s="19"/>
      <c r="G164" s="19"/>
      <c r="H164" s="395"/>
      <c r="I164" s="396"/>
      <c r="J164" s="396"/>
      <c r="K164" s="396"/>
      <c r="L164" s="396"/>
      <c r="M164" s="396"/>
      <c r="N164" s="396"/>
      <c r="O164" s="396"/>
      <c r="P164" s="396"/>
      <c r="Q164" s="396"/>
      <c r="R164" s="397"/>
      <c r="S164" s="395"/>
      <c r="T164" s="396"/>
      <c r="U164" s="396"/>
      <c r="V164" s="396"/>
      <c r="W164" s="396"/>
      <c r="X164" s="397"/>
      <c r="Y164" s="252" t="str">
        <f t="shared" si="48"/>
        <v/>
      </c>
      <c r="Z164" s="253"/>
      <c r="AA164" s="254"/>
      <c r="AB164" s="252" t="str">
        <f t="shared" si="50"/>
        <v/>
      </c>
      <c r="AC164" s="253"/>
      <c r="AD164" s="254"/>
      <c r="AE164" s="252" t="str">
        <f t="shared" si="51"/>
        <v/>
      </c>
      <c r="AF164" s="253"/>
      <c r="AG164" s="253"/>
      <c r="AH164" s="253"/>
      <c r="AI164" s="253"/>
      <c r="AJ164" s="253"/>
      <c r="AK164" s="254"/>
      <c r="AL164" s="398" t="str">
        <f t="shared" si="49"/>
        <v/>
      </c>
      <c r="AM164" s="399"/>
      <c r="AN164" s="399"/>
      <c r="AO164" s="399"/>
      <c r="AP164" s="399"/>
      <c r="AQ164" s="399"/>
      <c r="AR164" s="400"/>
      <c r="AS164" s="20"/>
      <c r="BF164" s="384" t="str">
        <f t="shared" si="52"/>
        <v/>
      </c>
      <c r="BG164" s="385"/>
      <c r="BH164" s="385"/>
      <c r="BI164" s="385"/>
      <c r="BJ164" s="385"/>
      <c r="BK164" s="385"/>
      <c r="BL164" s="385"/>
      <c r="BM164" s="385"/>
      <c r="BN164" s="386"/>
      <c r="BO164" s="387" t="str">
        <f t="shared" si="53"/>
        <v/>
      </c>
      <c r="BP164" s="387"/>
      <c r="BQ164" s="387"/>
      <c r="BR164" s="387"/>
      <c r="BS164" s="387"/>
      <c r="BT164" s="387"/>
      <c r="BU164" s="387"/>
      <c r="BV164" s="387"/>
      <c r="BW164" s="387"/>
      <c r="BX164" s="349"/>
      <c r="BY164" s="334"/>
      <c r="BZ164" s="334"/>
      <c r="CA164" s="334"/>
      <c r="CB164" s="334"/>
      <c r="CC164" s="334"/>
      <c r="CD164" s="334"/>
      <c r="CE164" s="334"/>
      <c r="CF164" s="334"/>
      <c r="CG164" s="334"/>
      <c r="CH164" s="334"/>
      <c r="CI164" s="334"/>
      <c r="CJ164" s="334"/>
      <c r="CK164" s="334"/>
      <c r="CL164" s="334"/>
      <c r="CM164" s="334"/>
      <c r="CN164" s="334"/>
      <c r="CO164" s="350"/>
      <c r="CP164" s="349"/>
      <c r="CQ164" s="334"/>
      <c r="CR164" s="334"/>
      <c r="CS164" s="334"/>
      <c r="CT164" s="334"/>
      <c r="CU164" s="334"/>
      <c r="CV164" s="334"/>
      <c r="CW164" s="334"/>
      <c r="CX164" s="334"/>
      <c r="CY164" s="334"/>
      <c r="CZ164" s="334"/>
      <c r="DA164" s="334"/>
      <c r="DB164" s="334"/>
      <c r="DC164" s="334"/>
      <c r="DD164" s="334"/>
      <c r="DE164" s="334"/>
      <c r="DF164" s="334"/>
      <c r="DG164" s="350"/>
      <c r="DH164" s="349"/>
      <c r="DI164" s="334"/>
      <c r="DJ164" s="334"/>
      <c r="DK164" s="334"/>
      <c r="DL164" s="334"/>
      <c r="DM164" s="334"/>
      <c r="DN164" s="334"/>
      <c r="DO164" s="334"/>
      <c r="DP164" s="334"/>
      <c r="DQ164" s="334"/>
      <c r="DR164" s="334"/>
      <c r="DS164" s="334"/>
      <c r="DT164" s="334"/>
      <c r="DU164" s="334"/>
      <c r="DV164" s="334"/>
      <c r="DW164" s="334"/>
      <c r="DX164" s="334"/>
      <c r="DY164" s="350"/>
    </row>
    <row r="165" spans="2:129" ht="13.5" customHeight="1" thickBot="1">
      <c r="B165" s="18"/>
      <c r="C165" s="19" t="s">
        <v>499</v>
      </c>
      <c r="D165" s="19"/>
      <c r="E165" s="19"/>
      <c r="F165" s="19"/>
      <c r="G165" s="19"/>
      <c r="H165" s="395"/>
      <c r="I165" s="396"/>
      <c r="J165" s="396"/>
      <c r="K165" s="396"/>
      <c r="L165" s="396"/>
      <c r="M165" s="396"/>
      <c r="N165" s="396"/>
      <c r="O165" s="396"/>
      <c r="P165" s="396"/>
      <c r="Q165" s="396"/>
      <c r="R165" s="397"/>
      <c r="S165" s="395"/>
      <c r="T165" s="396"/>
      <c r="U165" s="396"/>
      <c r="V165" s="396"/>
      <c r="W165" s="396"/>
      <c r="X165" s="397"/>
      <c r="Y165" s="252" t="str">
        <f t="shared" si="48"/>
        <v/>
      </c>
      <c r="Z165" s="253"/>
      <c r="AA165" s="254"/>
      <c r="AB165" s="252" t="str">
        <f t="shared" si="50"/>
        <v/>
      </c>
      <c r="AC165" s="253"/>
      <c r="AD165" s="254"/>
      <c r="AE165" s="252" t="str">
        <f t="shared" si="51"/>
        <v/>
      </c>
      <c r="AF165" s="253"/>
      <c r="AG165" s="253"/>
      <c r="AH165" s="253"/>
      <c r="AI165" s="253"/>
      <c r="AJ165" s="253"/>
      <c r="AK165" s="254"/>
      <c r="AL165" s="398" t="str">
        <f t="shared" si="49"/>
        <v/>
      </c>
      <c r="AM165" s="399"/>
      <c r="AN165" s="399"/>
      <c r="AO165" s="399"/>
      <c r="AP165" s="399"/>
      <c r="AQ165" s="399"/>
      <c r="AR165" s="400"/>
      <c r="AS165" s="20"/>
      <c r="BF165" s="384" t="str">
        <f t="shared" si="52"/>
        <v/>
      </c>
      <c r="BG165" s="385"/>
      <c r="BH165" s="385"/>
      <c r="BI165" s="385"/>
      <c r="BJ165" s="385"/>
      <c r="BK165" s="385"/>
      <c r="BL165" s="385"/>
      <c r="BM165" s="385"/>
      <c r="BN165" s="386"/>
      <c r="BO165" s="387" t="str">
        <f t="shared" si="53"/>
        <v/>
      </c>
      <c r="BP165" s="387"/>
      <c r="BQ165" s="387"/>
      <c r="BR165" s="387"/>
      <c r="BS165" s="387"/>
      <c r="BT165" s="387"/>
      <c r="BU165" s="387"/>
      <c r="BV165" s="387"/>
      <c r="BW165" s="387"/>
      <c r="BX165" s="349"/>
      <c r="BY165" s="334"/>
      <c r="BZ165" s="334"/>
      <c r="CA165" s="334"/>
      <c r="CB165" s="334"/>
      <c r="CC165" s="334"/>
      <c r="CD165" s="334"/>
      <c r="CE165" s="334"/>
      <c r="CF165" s="334"/>
      <c r="CG165" s="334"/>
      <c r="CH165" s="334"/>
      <c r="CI165" s="334"/>
      <c r="CJ165" s="334"/>
      <c r="CK165" s="334"/>
      <c r="CL165" s="334"/>
      <c r="CM165" s="334"/>
      <c r="CN165" s="334"/>
      <c r="CO165" s="350"/>
      <c r="CP165" s="349"/>
      <c r="CQ165" s="334"/>
      <c r="CR165" s="334"/>
      <c r="CS165" s="334"/>
      <c r="CT165" s="334"/>
      <c r="CU165" s="334"/>
      <c r="CV165" s="334"/>
      <c r="CW165" s="334"/>
      <c r="CX165" s="334"/>
      <c r="CY165" s="334"/>
      <c r="CZ165" s="334"/>
      <c r="DA165" s="334"/>
      <c r="DB165" s="334"/>
      <c r="DC165" s="334"/>
      <c r="DD165" s="334"/>
      <c r="DE165" s="334"/>
      <c r="DF165" s="334"/>
      <c r="DG165" s="350"/>
      <c r="DH165" s="349"/>
      <c r="DI165" s="334"/>
      <c r="DJ165" s="334"/>
      <c r="DK165" s="334"/>
      <c r="DL165" s="334"/>
      <c r="DM165" s="334"/>
      <c r="DN165" s="334"/>
      <c r="DO165" s="334"/>
      <c r="DP165" s="334"/>
      <c r="DQ165" s="334"/>
      <c r="DR165" s="334"/>
      <c r="DS165" s="334"/>
      <c r="DT165" s="334"/>
      <c r="DU165" s="334"/>
      <c r="DV165" s="334"/>
      <c r="DW165" s="334"/>
      <c r="DX165" s="334"/>
      <c r="DY165" s="350"/>
    </row>
    <row r="166" spans="2:129" ht="13.5" customHeight="1" thickBot="1">
      <c r="B166" s="18"/>
      <c r="C166" s="19" t="s">
        <v>500</v>
      </c>
      <c r="D166" s="19"/>
      <c r="E166" s="19"/>
      <c r="F166" s="19"/>
      <c r="G166" s="19"/>
      <c r="H166" s="395"/>
      <c r="I166" s="396"/>
      <c r="J166" s="396"/>
      <c r="K166" s="396"/>
      <c r="L166" s="396"/>
      <c r="M166" s="396"/>
      <c r="N166" s="396"/>
      <c r="O166" s="396"/>
      <c r="P166" s="396"/>
      <c r="Q166" s="396"/>
      <c r="R166" s="397"/>
      <c r="S166" s="395"/>
      <c r="T166" s="396"/>
      <c r="U166" s="396"/>
      <c r="V166" s="396"/>
      <c r="W166" s="396"/>
      <c r="X166" s="397"/>
      <c r="Y166" s="252" t="str">
        <f t="shared" si="48"/>
        <v/>
      </c>
      <c r="Z166" s="253"/>
      <c r="AA166" s="254"/>
      <c r="AB166" s="252" t="str">
        <f t="shared" si="50"/>
        <v/>
      </c>
      <c r="AC166" s="253"/>
      <c r="AD166" s="254"/>
      <c r="AE166" s="252" t="str">
        <f t="shared" si="51"/>
        <v/>
      </c>
      <c r="AF166" s="253"/>
      <c r="AG166" s="253"/>
      <c r="AH166" s="253"/>
      <c r="AI166" s="253"/>
      <c r="AJ166" s="253"/>
      <c r="AK166" s="254"/>
      <c r="AL166" s="398" t="str">
        <f t="shared" si="49"/>
        <v/>
      </c>
      <c r="AM166" s="399"/>
      <c r="AN166" s="399"/>
      <c r="AO166" s="399"/>
      <c r="AP166" s="399"/>
      <c r="AQ166" s="399"/>
      <c r="AR166" s="400"/>
      <c r="AS166" s="20"/>
      <c r="BF166" s="384" t="str">
        <f t="shared" si="52"/>
        <v/>
      </c>
      <c r="BG166" s="385"/>
      <c r="BH166" s="385"/>
      <c r="BI166" s="385"/>
      <c r="BJ166" s="385"/>
      <c r="BK166" s="385"/>
      <c r="BL166" s="385"/>
      <c r="BM166" s="385"/>
      <c r="BN166" s="386"/>
      <c r="BO166" s="387" t="str">
        <f t="shared" si="53"/>
        <v/>
      </c>
      <c r="BP166" s="387"/>
      <c r="BQ166" s="387"/>
      <c r="BR166" s="387"/>
      <c r="BS166" s="387"/>
      <c r="BT166" s="387"/>
      <c r="BU166" s="387"/>
      <c r="BV166" s="387"/>
      <c r="BW166" s="387"/>
      <c r="BX166" s="349"/>
      <c r="BY166" s="334"/>
      <c r="BZ166" s="334"/>
      <c r="CA166" s="334"/>
      <c r="CB166" s="334"/>
      <c r="CC166" s="334"/>
      <c r="CD166" s="334"/>
      <c r="CE166" s="334"/>
      <c r="CF166" s="334"/>
      <c r="CG166" s="334"/>
      <c r="CH166" s="334"/>
      <c r="CI166" s="334"/>
      <c r="CJ166" s="334"/>
      <c r="CK166" s="334"/>
      <c r="CL166" s="334"/>
      <c r="CM166" s="334"/>
      <c r="CN166" s="334"/>
      <c r="CO166" s="350"/>
      <c r="CP166" s="349"/>
      <c r="CQ166" s="334"/>
      <c r="CR166" s="334"/>
      <c r="CS166" s="334"/>
      <c r="CT166" s="334"/>
      <c r="CU166" s="334"/>
      <c r="CV166" s="334"/>
      <c r="CW166" s="334"/>
      <c r="CX166" s="334"/>
      <c r="CY166" s="334"/>
      <c r="CZ166" s="334"/>
      <c r="DA166" s="334"/>
      <c r="DB166" s="334"/>
      <c r="DC166" s="334"/>
      <c r="DD166" s="334"/>
      <c r="DE166" s="334"/>
      <c r="DF166" s="334"/>
      <c r="DG166" s="350"/>
      <c r="DH166" s="349"/>
      <c r="DI166" s="334"/>
      <c r="DJ166" s="334"/>
      <c r="DK166" s="334"/>
      <c r="DL166" s="334"/>
      <c r="DM166" s="334"/>
      <c r="DN166" s="334"/>
      <c r="DO166" s="334"/>
      <c r="DP166" s="334"/>
      <c r="DQ166" s="334"/>
      <c r="DR166" s="334"/>
      <c r="DS166" s="334"/>
      <c r="DT166" s="334"/>
      <c r="DU166" s="334"/>
      <c r="DV166" s="334"/>
      <c r="DW166" s="334"/>
      <c r="DX166" s="334"/>
      <c r="DY166" s="350"/>
    </row>
    <row r="167" spans="2:129" ht="13.5" customHeight="1" thickBot="1">
      <c r="B167" s="18"/>
      <c r="C167" s="19" t="s">
        <v>501</v>
      </c>
      <c r="D167" s="19"/>
      <c r="E167" s="19"/>
      <c r="F167" s="19"/>
      <c r="G167" s="19"/>
      <c r="H167" s="395"/>
      <c r="I167" s="396"/>
      <c r="J167" s="396"/>
      <c r="K167" s="396"/>
      <c r="L167" s="396"/>
      <c r="M167" s="396"/>
      <c r="N167" s="396"/>
      <c r="O167" s="396"/>
      <c r="P167" s="396"/>
      <c r="Q167" s="396"/>
      <c r="R167" s="397"/>
      <c r="S167" s="395"/>
      <c r="T167" s="396"/>
      <c r="U167" s="396"/>
      <c r="V167" s="396"/>
      <c r="W167" s="396"/>
      <c r="X167" s="397"/>
      <c r="Y167" s="252" t="str">
        <f t="shared" si="48"/>
        <v/>
      </c>
      <c r="Z167" s="253"/>
      <c r="AA167" s="254"/>
      <c r="AB167" s="252" t="str">
        <f t="shared" si="50"/>
        <v/>
      </c>
      <c r="AC167" s="253"/>
      <c r="AD167" s="254"/>
      <c r="AE167" s="252" t="str">
        <f t="shared" si="51"/>
        <v/>
      </c>
      <c r="AF167" s="253"/>
      <c r="AG167" s="253"/>
      <c r="AH167" s="253"/>
      <c r="AI167" s="253"/>
      <c r="AJ167" s="253"/>
      <c r="AK167" s="254"/>
      <c r="AL167" s="398" t="str">
        <f t="shared" si="49"/>
        <v/>
      </c>
      <c r="AM167" s="399"/>
      <c r="AN167" s="399"/>
      <c r="AO167" s="399"/>
      <c r="AP167" s="399"/>
      <c r="AQ167" s="399"/>
      <c r="AR167" s="400"/>
      <c r="AS167" s="20"/>
      <c r="BF167" s="384" t="str">
        <f t="shared" si="52"/>
        <v/>
      </c>
      <c r="BG167" s="385"/>
      <c r="BH167" s="385"/>
      <c r="BI167" s="385"/>
      <c r="BJ167" s="385"/>
      <c r="BK167" s="385"/>
      <c r="BL167" s="385"/>
      <c r="BM167" s="385"/>
      <c r="BN167" s="386"/>
      <c r="BO167" s="387" t="str">
        <f t="shared" si="53"/>
        <v/>
      </c>
      <c r="BP167" s="387"/>
      <c r="BQ167" s="387"/>
      <c r="BR167" s="387"/>
      <c r="BS167" s="387"/>
      <c r="BT167" s="387"/>
      <c r="BU167" s="387"/>
      <c r="BV167" s="387"/>
      <c r="BW167" s="387"/>
      <c r="BX167" s="349"/>
      <c r="BY167" s="334"/>
      <c r="BZ167" s="334"/>
      <c r="CA167" s="334"/>
      <c r="CB167" s="334"/>
      <c r="CC167" s="334"/>
      <c r="CD167" s="334"/>
      <c r="CE167" s="334"/>
      <c r="CF167" s="334"/>
      <c r="CG167" s="334"/>
      <c r="CH167" s="334"/>
      <c r="CI167" s="334"/>
      <c r="CJ167" s="334"/>
      <c r="CK167" s="334"/>
      <c r="CL167" s="334"/>
      <c r="CM167" s="334"/>
      <c r="CN167" s="334"/>
      <c r="CO167" s="350"/>
      <c r="CP167" s="349"/>
      <c r="CQ167" s="334"/>
      <c r="CR167" s="334"/>
      <c r="CS167" s="334"/>
      <c r="CT167" s="334"/>
      <c r="CU167" s="334"/>
      <c r="CV167" s="334"/>
      <c r="CW167" s="334"/>
      <c r="CX167" s="334"/>
      <c r="CY167" s="334"/>
      <c r="CZ167" s="334"/>
      <c r="DA167" s="334"/>
      <c r="DB167" s="334"/>
      <c r="DC167" s="334"/>
      <c r="DD167" s="334"/>
      <c r="DE167" s="334"/>
      <c r="DF167" s="334"/>
      <c r="DG167" s="350"/>
      <c r="DH167" s="349"/>
      <c r="DI167" s="334"/>
      <c r="DJ167" s="334"/>
      <c r="DK167" s="334"/>
      <c r="DL167" s="334"/>
      <c r="DM167" s="334"/>
      <c r="DN167" s="334"/>
      <c r="DO167" s="334"/>
      <c r="DP167" s="334"/>
      <c r="DQ167" s="334"/>
      <c r="DR167" s="334"/>
      <c r="DS167" s="334"/>
      <c r="DT167" s="334"/>
      <c r="DU167" s="334"/>
      <c r="DV167" s="334"/>
      <c r="DW167" s="334"/>
      <c r="DX167" s="334"/>
      <c r="DY167" s="350"/>
    </row>
    <row r="168" spans="2:129" ht="13.5" customHeight="1" thickBot="1">
      <c r="B168" s="18"/>
      <c r="C168" s="19" t="s">
        <v>502</v>
      </c>
      <c r="D168" s="19"/>
      <c r="E168" s="19"/>
      <c r="F168" s="19"/>
      <c r="G168" s="19"/>
      <c r="H168" s="395"/>
      <c r="I168" s="396"/>
      <c r="J168" s="396"/>
      <c r="K168" s="396"/>
      <c r="L168" s="396"/>
      <c r="M168" s="396"/>
      <c r="N168" s="396"/>
      <c r="O168" s="396"/>
      <c r="P168" s="396"/>
      <c r="Q168" s="396"/>
      <c r="R168" s="397"/>
      <c r="S168" s="395"/>
      <c r="T168" s="396"/>
      <c r="U168" s="396"/>
      <c r="V168" s="396"/>
      <c r="W168" s="396"/>
      <c r="X168" s="397"/>
      <c r="Y168" s="252" t="str">
        <f t="shared" si="48"/>
        <v/>
      </c>
      <c r="Z168" s="253"/>
      <c r="AA168" s="254"/>
      <c r="AB168" s="252" t="str">
        <f t="shared" si="50"/>
        <v/>
      </c>
      <c r="AC168" s="253"/>
      <c r="AD168" s="254"/>
      <c r="AE168" s="252" t="str">
        <f t="shared" si="51"/>
        <v/>
      </c>
      <c r="AF168" s="253"/>
      <c r="AG168" s="253"/>
      <c r="AH168" s="253"/>
      <c r="AI168" s="253"/>
      <c r="AJ168" s="253"/>
      <c r="AK168" s="254"/>
      <c r="AL168" s="398" t="str">
        <f t="shared" si="49"/>
        <v/>
      </c>
      <c r="AM168" s="399"/>
      <c r="AN168" s="399"/>
      <c r="AO168" s="399"/>
      <c r="AP168" s="399"/>
      <c r="AQ168" s="399"/>
      <c r="AR168" s="400"/>
      <c r="AS168" s="20"/>
      <c r="BF168" s="384" t="str">
        <f t="shared" si="52"/>
        <v/>
      </c>
      <c r="BG168" s="385"/>
      <c r="BH168" s="385"/>
      <c r="BI168" s="385"/>
      <c r="BJ168" s="385"/>
      <c r="BK168" s="385"/>
      <c r="BL168" s="385"/>
      <c r="BM168" s="385"/>
      <c r="BN168" s="386"/>
      <c r="BO168" s="387" t="str">
        <f t="shared" si="53"/>
        <v/>
      </c>
      <c r="BP168" s="387"/>
      <c r="BQ168" s="387"/>
      <c r="BR168" s="387"/>
      <c r="BS168" s="387"/>
      <c r="BT168" s="387"/>
      <c r="BU168" s="387"/>
      <c r="BV168" s="387"/>
      <c r="BW168" s="387"/>
      <c r="BX168" s="349"/>
      <c r="BY168" s="334"/>
      <c r="BZ168" s="334"/>
      <c r="CA168" s="334"/>
      <c r="CB168" s="334"/>
      <c r="CC168" s="334"/>
      <c r="CD168" s="334"/>
      <c r="CE168" s="334"/>
      <c r="CF168" s="334"/>
      <c r="CG168" s="334"/>
      <c r="CH168" s="334"/>
      <c r="CI168" s="334"/>
      <c r="CJ168" s="334"/>
      <c r="CK168" s="334"/>
      <c r="CL168" s="334"/>
      <c r="CM168" s="334"/>
      <c r="CN168" s="334"/>
      <c r="CO168" s="350"/>
      <c r="CP168" s="349"/>
      <c r="CQ168" s="334"/>
      <c r="CR168" s="334"/>
      <c r="CS168" s="334"/>
      <c r="CT168" s="334"/>
      <c r="CU168" s="334"/>
      <c r="CV168" s="334"/>
      <c r="CW168" s="334"/>
      <c r="CX168" s="334"/>
      <c r="CY168" s="334"/>
      <c r="CZ168" s="334"/>
      <c r="DA168" s="334"/>
      <c r="DB168" s="334"/>
      <c r="DC168" s="334"/>
      <c r="DD168" s="334"/>
      <c r="DE168" s="334"/>
      <c r="DF168" s="334"/>
      <c r="DG168" s="350"/>
      <c r="DH168" s="349"/>
      <c r="DI168" s="334"/>
      <c r="DJ168" s="334"/>
      <c r="DK168" s="334"/>
      <c r="DL168" s="334"/>
      <c r="DM168" s="334"/>
      <c r="DN168" s="334"/>
      <c r="DO168" s="334"/>
      <c r="DP168" s="334"/>
      <c r="DQ168" s="334"/>
      <c r="DR168" s="334"/>
      <c r="DS168" s="334"/>
      <c r="DT168" s="334"/>
      <c r="DU168" s="334"/>
      <c r="DV168" s="334"/>
      <c r="DW168" s="334"/>
      <c r="DX168" s="334"/>
      <c r="DY168" s="350"/>
    </row>
    <row r="169" spans="2:129" ht="13.5" customHeight="1" thickBot="1">
      <c r="B169" s="18"/>
      <c r="C169" s="19" t="s">
        <v>503</v>
      </c>
      <c r="D169" s="19"/>
      <c r="E169" s="19"/>
      <c r="F169" s="19"/>
      <c r="G169" s="19"/>
      <c r="H169" s="395"/>
      <c r="I169" s="396"/>
      <c r="J169" s="396"/>
      <c r="K169" s="396"/>
      <c r="L169" s="396"/>
      <c r="M169" s="396"/>
      <c r="N169" s="396"/>
      <c r="O169" s="396"/>
      <c r="P169" s="396"/>
      <c r="Q169" s="396"/>
      <c r="R169" s="397"/>
      <c r="S169" s="395"/>
      <c r="T169" s="396"/>
      <c r="U169" s="396"/>
      <c r="V169" s="396"/>
      <c r="W169" s="396"/>
      <c r="X169" s="397"/>
      <c r="Y169" s="252" t="str">
        <f t="shared" si="48"/>
        <v/>
      </c>
      <c r="Z169" s="253"/>
      <c r="AA169" s="254"/>
      <c r="AB169" s="252" t="str">
        <f t="shared" si="50"/>
        <v/>
      </c>
      <c r="AC169" s="253"/>
      <c r="AD169" s="254"/>
      <c r="AE169" s="252" t="str">
        <f t="shared" si="51"/>
        <v/>
      </c>
      <c r="AF169" s="253"/>
      <c r="AG169" s="253"/>
      <c r="AH169" s="253"/>
      <c r="AI169" s="253"/>
      <c r="AJ169" s="253"/>
      <c r="AK169" s="254"/>
      <c r="AL169" s="398" t="str">
        <f t="shared" si="49"/>
        <v/>
      </c>
      <c r="AM169" s="399"/>
      <c r="AN169" s="399"/>
      <c r="AO169" s="399"/>
      <c r="AP169" s="399"/>
      <c r="AQ169" s="399"/>
      <c r="AR169" s="400"/>
      <c r="AS169" s="20"/>
      <c r="BF169" s="384" t="str">
        <f t="shared" si="52"/>
        <v/>
      </c>
      <c r="BG169" s="385"/>
      <c r="BH169" s="385"/>
      <c r="BI169" s="385"/>
      <c r="BJ169" s="385"/>
      <c r="BK169" s="385"/>
      <c r="BL169" s="385"/>
      <c r="BM169" s="385"/>
      <c r="BN169" s="386"/>
      <c r="BO169" s="387" t="str">
        <f t="shared" si="53"/>
        <v/>
      </c>
      <c r="BP169" s="387"/>
      <c r="BQ169" s="387"/>
      <c r="BR169" s="387"/>
      <c r="BS169" s="387"/>
      <c r="BT169" s="387"/>
      <c r="BU169" s="387"/>
      <c r="BV169" s="387"/>
      <c r="BW169" s="387"/>
      <c r="BX169" s="349"/>
      <c r="BY169" s="334"/>
      <c r="BZ169" s="334"/>
      <c r="CA169" s="334"/>
      <c r="CB169" s="334"/>
      <c r="CC169" s="334"/>
      <c r="CD169" s="334"/>
      <c r="CE169" s="334"/>
      <c r="CF169" s="334"/>
      <c r="CG169" s="334"/>
      <c r="CH169" s="334"/>
      <c r="CI169" s="334"/>
      <c r="CJ169" s="334"/>
      <c r="CK169" s="334"/>
      <c r="CL169" s="334"/>
      <c r="CM169" s="334"/>
      <c r="CN169" s="334"/>
      <c r="CO169" s="350"/>
      <c r="CP169" s="349"/>
      <c r="CQ169" s="334"/>
      <c r="CR169" s="334"/>
      <c r="CS169" s="334"/>
      <c r="CT169" s="334"/>
      <c r="CU169" s="334"/>
      <c r="CV169" s="334"/>
      <c r="CW169" s="334"/>
      <c r="CX169" s="334"/>
      <c r="CY169" s="334"/>
      <c r="CZ169" s="334"/>
      <c r="DA169" s="334"/>
      <c r="DB169" s="334"/>
      <c r="DC169" s="334"/>
      <c r="DD169" s="334"/>
      <c r="DE169" s="334"/>
      <c r="DF169" s="334"/>
      <c r="DG169" s="350"/>
      <c r="DH169" s="349"/>
      <c r="DI169" s="334"/>
      <c r="DJ169" s="334"/>
      <c r="DK169" s="334"/>
      <c r="DL169" s="334"/>
      <c r="DM169" s="334"/>
      <c r="DN169" s="334"/>
      <c r="DO169" s="334"/>
      <c r="DP169" s="334"/>
      <c r="DQ169" s="334"/>
      <c r="DR169" s="334"/>
      <c r="DS169" s="334"/>
      <c r="DT169" s="334"/>
      <c r="DU169" s="334"/>
      <c r="DV169" s="334"/>
      <c r="DW169" s="334"/>
      <c r="DX169" s="334"/>
      <c r="DY169" s="350"/>
    </row>
    <row r="170" spans="2:129" ht="13.5" customHeight="1" thickBot="1">
      <c r="B170" s="18"/>
      <c r="C170" s="19" t="s">
        <v>504</v>
      </c>
      <c r="D170" s="19"/>
      <c r="E170" s="19"/>
      <c r="F170" s="19"/>
      <c r="G170" s="19"/>
      <c r="H170" s="395"/>
      <c r="I170" s="396"/>
      <c r="J170" s="396"/>
      <c r="K170" s="396"/>
      <c r="L170" s="396"/>
      <c r="M170" s="396"/>
      <c r="N170" s="396"/>
      <c r="O170" s="396"/>
      <c r="P170" s="396"/>
      <c r="Q170" s="396"/>
      <c r="R170" s="397"/>
      <c r="S170" s="395"/>
      <c r="T170" s="396"/>
      <c r="U170" s="396"/>
      <c r="V170" s="396"/>
      <c r="W170" s="396"/>
      <c r="X170" s="397"/>
      <c r="Y170" s="252" t="str">
        <f t="shared" si="48"/>
        <v/>
      </c>
      <c r="Z170" s="253"/>
      <c r="AA170" s="254"/>
      <c r="AB170" s="252" t="str">
        <f t="shared" si="50"/>
        <v/>
      </c>
      <c r="AC170" s="253"/>
      <c r="AD170" s="254"/>
      <c r="AE170" s="252" t="str">
        <f t="shared" si="51"/>
        <v/>
      </c>
      <c r="AF170" s="253"/>
      <c r="AG170" s="253"/>
      <c r="AH170" s="253"/>
      <c r="AI170" s="253"/>
      <c r="AJ170" s="253"/>
      <c r="AK170" s="254"/>
      <c r="AL170" s="398" t="str">
        <f t="shared" si="49"/>
        <v/>
      </c>
      <c r="AM170" s="399"/>
      <c r="AN170" s="399"/>
      <c r="AO170" s="399"/>
      <c r="AP170" s="399"/>
      <c r="AQ170" s="399"/>
      <c r="AR170" s="400"/>
      <c r="AS170" s="20"/>
      <c r="BF170" s="384" t="str">
        <f t="shared" si="52"/>
        <v/>
      </c>
      <c r="BG170" s="385"/>
      <c r="BH170" s="385"/>
      <c r="BI170" s="385"/>
      <c r="BJ170" s="385"/>
      <c r="BK170" s="385"/>
      <c r="BL170" s="385"/>
      <c r="BM170" s="385"/>
      <c r="BN170" s="386"/>
      <c r="BO170" s="387" t="str">
        <f t="shared" si="53"/>
        <v/>
      </c>
      <c r="BP170" s="387"/>
      <c r="BQ170" s="387"/>
      <c r="BR170" s="387"/>
      <c r="BS170" s="387"/>
      <c r="BT170" s="387"/>
      <c r="BU170" s="387"/>
      <c r="BV170" s="387"/>
      <c r="BW170" s="387"/>
      <c r="BX170" s="349"/>
      <c r="BY170" s="334"/>
      <c r="BZ170" s="334"/>
      <c r="CA170" s="334"/>
      <c r="CB170" s="334"/>
      <c r="CC170" s="334"/>
      <c r="CD170" s="334"/>
      <c r="CE170" s="334"/>
      <c r="CF170" s="334"/>
      <c r="CG170" s="334"/>
      <c r="CH170" s="334"/>
      <c r="CI170" s="334"/>
      <c r="CJ170" s="334"/>
      <c r="CK170" s="334"/>
      <c r="CL170" s="334"/>
      <c r="CM170" s="334"/>
      <c r="CN170" s="334"/>
      <c r="CO170" s="350"/>
      <c r="CP170" s="349"/>
      <c r="CQ170" s="334"/>
      <c r="CR170" s="334"/>
      <c r="CS170" s="334"/>
      <c r="CT170" s="334"/>
      <c r="CU170" s="334"/>
      <c r="CV170" s="334"/>
      <c r="CW170" s="334"/>
      <c r="CX170" s="334"/>
      <c r="CY170" s="334"/>
      <c r="CZ170" s="334"/>
      <c r="DA170" s="334"/>
      <c r="DB170" s="334"/>
      <c r="DC170" s="334"/>
      <c r="DD170" s="334"/>
      <c r="DE170" s="334"/>
      <c r="DF170" s="334"/>
      <c r="DG170" s="350"/>
      <c r="DH170" s="349"/>
      <c r="DI170" s="334"/>
      <c r="DJ170" s="334"/>
      <c r="DK170" s="334"/>
      <c r="DL170" s="334"/>
      <c r="DM170" s="334"/>
      <c r="DN170" s="334"/>
      <c r="DO170" s="334"/>
      <c r="DP170" s="334"/>
      <c r="DQ170" s="334"/>
      <c r="DR170" s="334"/>
      <c r="DS170" s="334"/>
      <c r="DT170" s="334"/>
      <c r="DU170" s="334"/>
      <c r="DV170" s="334"/>
      <c r="DW170" s="334"/>
      <c r="DX170" s="334"/>
      <c r="DY170" s="350"/>
    </row>
    <row r="171" spans="2:129" ht="13.5" customHeight="1" thickBot="1">
      <c r="B171" s="18"/>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20"/>
      <c r="BX171" s="349"/>
      <c r="BY171" s="334"/>
      <c r="BZ171" s="334"/>
      <c r="CA171" s="334"/>
      <c r="CB171" s="334"/>
      <c r="CC171" s="334"/>
      <c r="CD171" s="334"/>
      <c r="CE171" s="334"/>
      <c r="CF171" s="334"/>
      <c r="CG171" s="334"/>
      <c r="CH171" s="334"/>
      <c r="CI171" s="334"/>
      <c r="CJ171" s="334"/>
      <c r="CK171" s="334"/>
      <c r="CL171" s="334"/>
      <c r="CM171" s="334"/>
      <c r="CN171" s="334"/>
      <c r="CO171" s="350"/>
      <c r="CP171" s="349"/>
      <c r="CQ171" s="334"/>
      <c r="CR171" s="334"/>
      <c r="CS171" s="334"/>
      <c r="CT171" s="334"/>
      <c r="CU171" s="334"/>
      <c r="CV171" s="334"/>
      <c r="CW171" s="334"/>
      <c r="CX171" s="334"/>
      <c r="CY171" s="334"/>
      <c r="CZ171" s="334"/>
      <c r="DA171" s="334"/>
      <c r="DB171" s="334"/>
      <c r="DC171" s="334"/>
      <c r="DD171" s="334"/>
      <c r="DE171" s="334"/>
      <c r="DF171" s="334"/>
      <c r="DG171" s="350"/>
      <c r="DH171" s="349"/>
      <c r="DI171" s="334"/>
      <c r="DJ171" s="334"/>
      <c r="DK171" s="334"/>
      <c r="DL171" s="334"/>
      <c r="DM171" s="334"/>
      <c r="DN171" s="334"/>
      <c r="DO171" s="334"/>
      <c r="DP171" s="334"/>
      <c r="DQ171" s="334"/>
      <c r="DR171" s="334"/>
      <c r="DS171" s="334"/>
      <c r="DT171" s="334"/>
      <c r="DU171" s="334"/>
      <c r="DV171" s="334"/>
      <c r="DW171" s="334"/>
      <c r="DX171" s="334"/>
      <c r="DY171" s="350"/>
    </row>
    <row r="172" spans="2:129" ht="13.5" customHeight="1" thickBot="1">
      <c r="B172" s="18"/>
      <c r="C172" s="388" t="s">
        <v>525</v>
      </c>
      <c r="D172" s="388"/>
      <c r="E172" s="388"/>
      <c r="F172" s="388"/>
      <c r="G172" s="388"/>
      <c r="H172" s="389"/>
      <c r="I172" s="390"/>
      <c r="J172" s="390"/>
      <c r="K172" s="390"/>
      <c r="L172" s="390"/>
      <c r="M172" s="390"/>
      <c r="N172" s="390"/>
      <c r="O172" s="390"/>
      <c r="P172" s="390"/>
      <c r="Q172" s="390"/>
      <c r="R172" s="390"/>
      <c r="S172" s="390"/>
      <c r="T172" s="390"/>
      <c r="U172" s="390"/>
      <c r="V172" s="390"/>
      <c r="W172" s="390"/>
      <c r="X172" s="390"/>
      <c r="Y172" s="390"/>
      <c r="Z172" s="390"/>
      <c r="AA172" s="390"/>
      <c r="AB172" s="390"/>
      <c r="AC172" s="390"/>
      <c r="AD172" s="390"/>
      <c r="AE172" s="390"/>
      <c r="AF172" s="390"/>
      <c r="AG172" s="390"/>
      <c r="AH172" s="390"/>
      <c r="AI172" s="391"/>
      <c r="AJ172" s="19"/>
      <c r="AK172" s="19" t="s">
        <v>526</v>
      </c>
      <c r="AL172" s="19"/>
      <c r="AM172" s="19"/>
      <c r="AN172" s="19"/>
      <c r="AO172" s="252" t="str">
        <f>IF(H160="","",SUM(Y161:AA170))</f>
        <v/>
      </c>
      <c r="AP172" s="253"/>
      <c r="AQ172" s="253"/>
      <c r="AR172" s="254"/>
      <c r="AS172" s="20"/>
      <c r="BX172" s="349"/>
      <c r="BY172" s="334"/>
      <c r="BZ172" s="334"/>
      <c r="CA172" s="334"/>
      <c r="CB172" s="334"/>
      <c r="CC172" s="334"/>
      <c r="CD172" s="334"/>
      <c r="CE172" s="334"/>
      <c r="CF172" s="334"/>
      <c r="CG172" s="334"/>
      <c r="CH172" s="334"/>
      <c r="CI172" s="334"/>
      <c r="CJ172" s="334"/>
      <c r="CK172" s="334"/>
      <c r="CL172" s="334"/>
      <c r="CM172" s="334"/>
      <c r="CN172" s="334"/>
      <c r="CO172" s="350"/>
      <c r="CP172" s="349"/>
      <c r="CQ172" s="334"/>
      <c r="CR172" s="334"/>
      <c r="CS172" s="334"/>
      <c r="CT172" s="334"/>
      <c r="CU172" s="334"/>
      <c r="CV172" s="334"/>
      <c r="CW172" s="334"/>
      <c r="CX172" s="334"/>
      <c r="CY172" s="334"/>
      <c r="CZ172" s="334"/>
      <c r="DA172" s="334"/>
      <c r="DB172" s="334"/>
      <c r="DC172" s="334"/>
      <c r="DD172" s="334"/>
      <c r="DE172" s="334"/>
      <c r="DF172" s="334"/>
      <c r="DG172" s="350"/>
      <c r="DH172" s="349"/>
      <c r="DI172" s="334"/>
      <c r="DJ172" s="334"/>
      <c r="DK172" s="334"/>
      <c r="DL172" s="334"/>
      <c r="DM172" s="334"/>
      <c r="DN172" s="334"/>
      <c r="DO172" s="334"/>
      <c r="DP172" s="334"/>
      <c r="DQ172" s="334"/>
      <c r="DR172" s="334"/>
      <c r="DS172" s="334"/>
      <c r="DT172" s="334"/>
      <c r="DU172" s="334"/>
      <c r="DV172" s="334"/>
      <c r="DW172" s="334"/>
      <c r="DX172" s="334"/>
      <c r="DY172" s="350"/>
    </row>
    <row r="173" spans="2:129" ht="13.5" customHeight="1" thickBot="1">
      <c r="B173" s="18"/>
      <c r="C173" s="388"/>
      <c r="D173" s="388"/>
      <c r="E173" s="388"/>
      <c r="F173" s="388"/>
      <c r="G173" s="388"/>
      <c r="H173" s="392"/>
      <c r="I173" s="393"/>
      <c r="J173" s="393"/>
      <c r="K173" s="393"/>
      <c r="L173" s="393"/>
      <c r="M173" s="393"/>
      <c r="N173" s="393"/>
      <c r="O173" s="393"/>
      <c r="P173" s="393"/>
      <c r="Q173" s="393"/>
      <c r="R173" s="393"/>
      <c r="S173" s="393"/>
      <c r="T173" s="393"/>
      <c r="U173" s="393"/>
      <c r="V173" s="393"/>
      <c r="W173" s="393"/>
      <c r="X173" s="393"/>
      <c r="Y173" s="393"/>
      <c r="Z173" s="393"/>
      <c r="AA173" s="393"/>
      <c r="AB173" s="393"/>
      <c r="AC173" s="393"/>
      <c r="AD173" s="393"/>
      <c r="AE173" s="393"/>
      <c r="AF173" s="393"/>
      <c r="AG173" s="393"/>
      <c r="AH173" s="393"/>
      <c r="AI173" s="394"/>
      <c r="AJ173" s="19"/>
      <c r="AK173" s="19"/>
      <c r="AL173" s="19"/>
      <c r="AM173" s="19"/>
      <c r="AN173" s="19"/>
      <c r="AO173" s="19"/>
      <c r="AP173" s="19"/>
      <c r="AQ173" s="19"/>
      <c r="AR173" s="19"/>
      <c r="AS173" s="20"/>
      <c r="BX173" s="351"/>
      <c r="BY173" s="352"/>
      <c r="BZ173" s="352"/>
      <c r="CA173" s="352"/>
      <c r="CB173" s="352"/>
      <c r="CC173" s="352"/>
      <c r="CD173" s="352"/>
      <c r="CE173" s="352"/>
      <c r="CF173" s="352"/>
      <c r="CG173" s="352"/>
      <c r="CH173" s="352"/>
      <c r="CI173" s="352"/>
      <c r="CJ173" s="352"/>
      <c r="CK173" s="352"/>
      <c r="CL173" s="352"/>
      <c r="CM173" s="352"/>
      <c r="CN173" s="352"/>
      <c r="CO173" s="353"/>
      <c r="CP173" s="351"/>
      <c r="CQ173" s="352"/>
      <c r="CR173" s="352"/>
      <c r="CS173" s="352"/>
      <c r="CT173" s="352"/>
      <c r="CU173" s="352"/>
      <c r="CV173" s="352"/>
      <c r="CW173" s="352"/>
      <c r="CX173" s="352"/>
      <c r="CY173" s="352"/>
      <c r="CZ173" s="352"/>
      <c r="DA173" s="352"/>
      <c r="DB173" s="352"/>
      <c r="DC173" s="352"/>
      <c r="DD173" s="352"/>
      <c r="DE173" s="352"/>
      <c r="DF173" s="352"/>
      <c r="DG173" s="353"/>
      <c r="DH173" s="351"/>
      <c r="DI173" s="352"/>
      <c r="DJ173" s="352"/>
      <c r="DK173" s="352"/>
      <c r="DL173" s="352"/>
      <c r="DM173" s="352"/>
      <c r="DN173" s="352"/>
      <c r="DO173" s="352"/>
      <c r="DP173" s="352"/>
      <c r="DQ173" s="352"/>
      <c r="DR173" s="352"/>
      <c r="DS173" s="352"/>
      <c r="DT173" s="352"/>
      <c r="DU173" s="352"/>
      <c r="DV173" s="352"/>
      <c r="DW173" s="352"/>
      <c r="DX173" s="352"/>
      <c r="DY173" s="353"/>
    </row>
    <row r="174" spans="2:129" ht="13.5" customHeight="1" thickBo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3"/>
    </row>
    <row r="176" spans="2:129" ht="13.5" customHeight="1">
      <c r="CP176" s="346" t="str">
        <f>CP24&amp;CP41&amp;CP58&amp;CP75&amp;CP92&amp;CP109&amp;CP126&amp;CP143&amp;CP160</f>
        <v/>
      </c>
      <c r="CQ176" s="347"/>
      <c r="CR176" s="347"/>
      <c r="CS176" s="347"/>
      <c r="CT176" s="347"/>
      <c r="CU176" s="347"/>
      <c r="CV176" s="347"/>
      <c r="CW176" s="347"/>
      <c r="CX176" s="347"/>
      <c r="CY176" s="347"/>
      <c r="CZ176" s="347"/>
      <c r="DA176" s="347"/>
      <c r="DB176" s="347"/>
      <c r="DC176" s="347"/>
      <c r="DD176" s="347"/>
      <c r="DE176" s="347"/>
      <c r="DF176" s="347"/>
      <c r="DG176" s="348"/>
      <c r="DH176" s="346" t="str">
        <f>DH24&amp;DH41&amp;DH58&amp;DH75&amp;DH92&amp;DH109&amp;DH126&amp;DH143&amp;DH160</f>
        <v/>
      </c>
      <c r="DI176" s="347"/>
      <c r="DJ176" s="347"/>
      <c r="DK176" s="347"/>
      <c r="DL176" s="347"/>
      <c r="DM176" s="347"/>
      <c r="DN176" s="347"/>
      <c r="DO176" s="347"/>
      <c r="DP176" s="347"/>
      <c r="DQ176" s="347"/>
      <c r="DR176" s="347"/>
      <c r="DS176" s="347"/>
      <c r="DT176" s="347"/>
      <c r="DU176" s="347"/>
      <c r="DV176" s="347"/>
      <c r="DW176" s="347"/>
      <c r="DX176" s="347"/>
      <c r="DY176" s="348"/>
    </row>
    <row r="177" spans="94:129" ht="13.5" customHeight="1">
      <c r="CP177" s="349"/>
      <c r="CQ177" s="334"/>
      <c r="CR177" s="334"/>
      <c r="CS177" s="334"/>
      <c r="CT177" s="334"/>
      <c r="CU177" s="334"/>
      <c r="CV177" s="334"/>
      <c r="CW177" s="334"/>
      <c r="CX177" s="334"/>
      <c r="CY177" s="334"/>
      <c r="CZ177" s="334"/>
      <c r="DA177" s="334"/>
      <c r="DB177" s="334"/>
      <c r="DC177" s="334"/>
      <c r="DD177" s="334"/>
      <c r="DE177" s="334"/>
      <c r="DF177" s="334"/>
      <c r="DG177" s="350"/>
      <c r="DH177" s="349"/>
      <c r="DI177" s="334"/>
      <c r="DJ177" s="334"/>
      <c r="DK177" s="334"/>
      <c r="DL177" s="334"/>
      <c r="DM177" s="334"/>
      <c r="DN177" s="334"/>
      <c r="DO177" s="334"/>
      <c r="DP177" s="334"/>
      <c r="DQ177" s="334"/>
      <c r="DR177" s="334"/>
      <c r="DS177" s="334"/>
      <c r="DT177" s="334"/>
      <c r="DU177" s="334"/>
      <c r="DV177" s="334"/>
      <c r="DW177" s="334"/>
      <c r="DX177" s="334"/>
      <c r="DY177" s="350"/>
    </row>
    <row r="178" spans="94:129" ht="13.5" customHeight="1">
      <c r="CP178" s="349"/>
      <c r="CQ178" s="334"/>
      <c r="CR178" s="334"/>
      <c r="CS178" s="334"/>
      <c r="CT178" s="334"/>
      <c r="CU178" s="334"/>
      <c r="CV178" s="334"/>
      <c r="CW178" s="334"/>
      <c r="CX178" s="334"/>
      <c r="CY178" s="334"/>
      <c r="CZ178" s="334"/>
      <c r="DA178" s="334"/>
      <c r="DB178" s="334"/>
      <c r="DC178" s="334"/>
      <c r="DD178" s="334"/>
      <c r="DE178" s="334"/>
      <c r="DF178" s="334"/>
      <c r="DG178" s="350"/>
      <c r="DH178" s="349"/>
      <c r="DI178" s="334"/>
      <c r="DJ178" s="334"/>
      <c r="DK178" s="334"/>
      <c r="DL178" s="334"/>
      <c r="DM178" s="334"/>
      <c r="DN178" s="334"/>
      <c r="DO178" s="334"/>
      <c r="DP178" s="334"/>
      <c r="DQ178" s="334"/>
      <c r="DR178" s="334"/>
      <c r="DS178" s="334"/>
      <c r="DT178" s="334"/>
      <c r="DU178" s="334"/>
      <c r="DV178" s="334"/>
      <c r="DW178" s="334"/>
      <c r="DX178" s="334"/>
      <c r="DY178" s="350"/>
    </row>
    <row r="179" spans="94:129" ht="13.5" customHeight="1">
      <c r="CP179" s="349"/>
      <c r="CQ179" s="334"/>
      <c r="CR179" s="334"/>
      <c r="CS179" s="334"/>
      <c r="CT179" s="334"/>
      <c r="CU179" s="334"/>
      <c r="CV179" s="334"/>
      <c r="CW179" s="334"/>
      <c r="CX179" s="334"/>
      <c r="CY179" s="334"/>
      <c r="CZ179" s="334"/>
      <c r="DA179" s="334"/>
      <c r="DB179" s="334"/>
      <c r="DC179" s="334"/>
      <c r="DD179" s="334"/>
      <c r="DE179" s="334"/>
      <c r="DF179" s="334"/>
      <c r="DG179" s="350"/>
      <c r="DH179" s="349"/>
      <c r="DI179" s="334"/>
      <c r="DJ179" s="334"/>
      <c r="DK179" s="334"/>
      <c r="DL179" s="334"/>
      <c r="DM179" s="334"/>
      <c r="DN179" s="334"/>
      <c r="DO179" s="334"/>
      <c r="DP179" s="334"/>
      <c r="DQ179" s="334"/>
      <c r="DR179" s="334"/>
      <c r="DS179" s="334"/>
      <c r="DT179" s="334"/>
      <c r="DU179" s="334"/>
      <c r="DV179" s="334"/>
      <c r="DW179" s="334"/>
      <c r="DX179" s="334"/>
      <c r="DY179" s="350"/>
    </row>
    <row r="180" spans="94:129" ht="13.5" customHeight="1">
      <c r="CP180" s="349"/>
      <c r="CQ180" s="334"/>
      <c r="CR180" s="334"/>
      <c r="CS180" s="334"/>
      <c r="CT180" s="334"/>
      <c r="CU180" s="334"/>
      <c r="CV180" s="334"/>
      <c r="CW180" s="334"/>
      <c r="CX180" s="334"/>
      <c r="CY180" s="334"/>
      <c r="CZ180" s="334"/>
      <c r="DA180" s="334"/>
      <c r="DB180" s="334"/>
      <c r="DC180" s="334"/>
      <c r="DD180" s="334"/>
      <c r="DE180" s="334"/>
      <c r="DF180" s="334"/>
      <c r="DG180" s="350"/>
      <c r="DH180" s="349"/>
      <c r="DI180" s="334"/>
      <c r="DJ180" s="334"/>
      <c r="DK180" s="334"/>
      <c r="DL180" s="334"/>
      <c r="DM180" s="334"/>
      <c r="DN180" s="334"/>
      <c r="DO180" s="334"/>
      <c r="DP180" s="334"/>
      <c r="DQ180" s="334"/>
      <c r="DR180" s="334"/>
      <c r="DS180" s="334"/>
      <c r="DT180" s="334"/>
      <c r="DU180" s="334"/>
      <c r="DV180" s="334"/>
      <c r="DW180" s="334"/>
      <c r="DX180" s="334"/>
      <c r="DY180" s="350"/>
    </row>
    <row r="181" spans="94:129" ht="13.5" customHeight="1">
      <c r="CP181" s="349"/>
      <c r="CQ181" s="334"/>
      <c r="CR181" s="334"/>
      <c r="CS181" s="334"/>
      <c r="CT181" s="334"/>
      <c r="CU181" s="334"/>
      <c r="CV181" s="334"/>
      <c r="CW181" s="334"/>
      <c r="CX181" s="334"/>
      <c r="CY181" s="334"/>
      <c r="CZ181" s="334"/>
      <c r="DA181" s="334"/>
      <c r="DB181" s="334"/>
      <c r="DC181" s="334"/>
      <c r="DD181" s="334"/>
      <c r="DE181" s="334"/>
      <c r="DF181" s="334"/>
      <c r="DG181" s="350"/>
      <c r="DH181" s="349"/>
      <c r="DI181" s="334"/>
      <c r="DJ181" s="334"/>
      <c r="DK181" s="334"/>
      <c r="DL181" s="334"/>
      <c r="DM181" s="334"/>
      <c r="DN181" s="334"/>
      <c r="DO181" s="334"/>
      <c r="DP181" s="334"/>
      <c r="DQ181" s="334"/>
      <c r="DR181" s="334"/>
      <c r="DS181" s="334"/>
      <c r="DT181" s="334"/>
      <c r="DU181" s="334"/>
      <c r="DV181" s="334"/>
      <c r="DW181" s="334"/>
      <c r="DX181" s="334"/>
      <c r="DY181" s="350"/>
    </row>
    <row r="182" spans="94:129" ht="13.5" customHeight="1">
      <c r="CP182" s="349"/>
      <c r="CQ182" s="334"/>
      <c r="CR182" s="334"/>
      <c r="CS182" s="334"/>
      <c r="CT182" s="334"/>
      <c r="CU182" s="334"/>
      <c r="CV182" s="334"/>
      <c r="CW182" s="334"/>
      <c r="CX182" s="334"/>
      <c r="CY182" s="334"/>
      <c r="CZ182" s="334"/>
      <c r="DA182" s="334"/>
      <c r="DB182" s="334"/>
      <c r="DC182" s="334"/>
      <c r="DD182" s="334"/>
      <c r="DE182" s="334"/>
      <c r="DF182" s="334"/>
      <c r="DG182" s="350"/>
      <c r="DH182" s="349"/>
      <c r="DI182" s="334"/>
      <c r="DJ182" s="334"/>
      <c r="DK182" s="334"/>
      <c r="DL182" s="334"/>
      <c r="DM182" s="334"/>
      <c r="DN182" s="334"/>
      <c r="DO182" s="334"/>
      <c r="DP182" s="334"/>
      <c r="DQ182" s="334"/>
      <c r="DR182" s="334"/>
      <c r="DS182" s="334"/>
      <c r="DT182" s="334"/>
      <c r="DU182" s="334"/>
      <c r="DV182" s="334"/>
      <c r="DW182" s="334"/>
      <c r="DX182" s="334"/>
      <c r="DY182" s="350"/>
    </row>
    <row r="183" spans="94:129" ht="13.5" customHeight="1">
      <c r="CP183" s="349"/>
      <c r="CQ183" s="334"/>
      <c r="CR183" s="334"/>
      <c r="CS183" s="334"/>
      <c r="CT183" s="334"/>
      <c r="CU183" s="334"/>
      <c r="CV183" s="334"/>
      <c r="CW183" s="334"/>
      <c r="CX183" s="334"/>
      <c r="CY183" s="334"/>
      <c r="CZ183" s="334"/>
      <c r="DA183" s="334"/>
      <c r="DB183" s="334"/>
      <c r="DC183" s="334"/>
      <c r="DD183" s="334"/>
      <c r="DE183" s="334"/>
      <c r="DF183" s="334"/>
      <c r="DG183" s="350"/>
      <c r="DH183" s="349"/>
      <c r="DI183" s="334"/>
      <c r="DJ183" s="334"/>
      <c r="DK183" s="334"/>
      <c r="DL183" s="334"/>
      <c r="DM183" s="334"/>
      <c r="DN183" s="334"/>
      <c r="DO183" s="334"/>
      <c r="DP183" s="334"/>
      <c r="DQ183" s="334"/>
      <c r="DR183" s="334"/>
      <c r="DS183" s="334"/>
      <c r="DT183" s="334"/>
      <c r="DU183" s="334"/>
      <c r="DV183" s="334"/>
      <c r="DW183" s="334"/>
      <c r="DX183" s="334"/>
      <c r="DY183" s="350"/>
    </row>
    <row r="184" spans="94:129" ht="13.5" customHeight="1">
      <c r="CP184" s="349"/>
      <c r="CQ184" s="334"/>
      <c r="CR184" s="334"/>
      <c r="CS184" s="334"/>
      <c r="CT184" s="334"/>
      <c r="CU184" s="334"/>
      <c r="CV184" s="334"/>
      <c r="CW184" s="334"/>
      <c r="CX184" s="334"/>
      <c r="CY184" s="334"/>
      <c r="CZ184" s="334"/>
      <c r="DA184" s="334"/>
      <c r="DB184" s="334"/>
      <c r="DC184" s="334"/>
      <c r="DD184" s="334"/>
      <c r="DE184" s="334"/>
      <c r="DF184" s="334"/>
      <c r="DG184" s="350"/>
      <c r="DH184" s="349"/>
      <c r="DI184" s="334"/>
      <c r="DJ184" s="334"/>
      <c r="DK184" s="334"/>
      <c r="DL184" s="334"/>
      <c r="DM184" s="334"/>
      <c r="DN184" s="334"/>
      <c r="DO184" s="334"/>
      <c r="DP184" s="334"/>
      <c r="DQ184" s="334"/>
      <c r="DR184" s="334"/>
      <c r="DS184" s="334"/>
      <c r="DT184" s="334"/>
      <c r="DU184" s="334"/>
      <c r="DV184" s="334"/>
      <c r="DW184" s="334"/>
      <c r="DX184" s="334"/>
      <c r="DY184" s="350"/>
    </row>
    <row r="185" spans="94:129" ht="13.5" customHeight="1">
      <c r="CP185" s="349"/>
      <c r="CQ185" s="334"/>
      <c r="CR185" s="334"/>
      <c r="CS185" s="334"/>
      <c r="CT185" s="334"/>
      <c r="CU185" s="334"/>
      <c r="CV185" s="334"/>
      <c r="CW185" s="334"/>
      <c r="CX185" s="334"/>
      <c r="CY185" s="334"/>
      <c r="CZ185" s="334"/>
      <c r="DA185" s="334"/>
      <c r="DB185" s="334"/>
      <c r="DC185" s="334"/>
      <c r="DD185" s="334"/>
      <c r="DE185" s="334"/>
      <c r="DF185" s="334"/>
      <c r="DG185" s="350"/>
      <c r="DH185" s="349"/>
      <c r="DI185" s="334"/>
      <c r="DJ185" s="334"/>
      <c r="DK185" s="334"/>
      <c r="DL185" s="334"/>
      <c r="DM185" s="334"/>
      <c r="DN185" s="334"/>
      <c r="DO185" s="334"/>
      <c r="DP185" s="334"/>
      <c r="DQ185" s="334"/>
      <c r="DR185" s="334"/>
      <c r="DS185" s="334"/>
      <c r="DT185" s="334"/>
      <c r="DU185" s="334"/>
      <c r="DV185" s="334"/>
      <c r="DW185" s="334"/>
      <c r="DX185" s="334"/>
      <c r="DY185" s="350"/>
    </row>
    <row r="186" spans="94:129" ht="13.5" customHeight="1">
      <c r="CP186" s="349"/>
      <c r="CQ186" s="334"/>
      <c r="CR186" s="334"/>
      <c r="CS186" s="334"/>
      <c r="CT186" s="334"/>
      <c r="CU186" s="334"/>
      <c r="CV186" s="334"/>
      <c r="CW186" s="334"/>
      <c r="CX186" s="334"/>
      <c r="CY186" s="334"/>
      <c r="CZ186" s="334"/>
      <c r="DA186" s="334"/>
      <c r="DB186" s="334"/>
      <c r="DC186" s="334"/>
      <c r="DD186" s="334"/>
      <c r="DE186" s="334"/>
      <c r="DF186" s="334"/>
      <c r="DG186" s="350"/>
      <c r="DH186" s="349"/>
      <c r="DI186" s="334"/>
      <c r="DJ186" s="334"/>
      <c r="DK186" s="334"/>
      <c r="DL186" s="334"/>
      <c r="DM186" s="334"/>
      <c r="DN186" s="334"/>
      <c r="DO186" s="334"/>
      <c r="DP186" s="334"/>
      <c r="DQ186" s="334"/>
      <c r="DR186" s="334"/>
      <c r="DS186" s="334"/>
      <c r="DT186" s="334"/>
      <c r="DU186" s="334"/>
      <c r="DV186" s="334"/>
      <c r="DW186" s="334"/>
      <c r="DX186" s="334"/>
      <c r="DY186" s="350"/>
    </row>
    <row r="187" spans="94:129" ht="13.5" customHeight="1">
      <c r="CP187" s="349"/>
      <c r="CQ187" s="334"/>
      <c r="CR187" s="334"/>
      <c r="CS187" s="334"/>
      <c r="CT187" s="334"/>
      <c r="CU187" s="334"/>
      <c r="CV187" s="334"/>
      <c r="CW187" s="334"/>
      <c r="CX187" s="334"/>
      <c r="CY187" s="334"/>
      <c r="CZ187" s="334"/>
      <c r="DA187" s="334"/>
      <c r="DB187" s="334"/>
      <c r="DC187" s="334"/>
      <c r="DD187" s="334"/>
      <c r="DE187" s="334"/>
      <c r="DF187" s="334"/>
      <c r="DG187" s="350"/>
      <c r="DH187" s="349"/>
      <c r="DI187" s="334"/>
      <c r="DJ187" s="334"/>
      <c r="DK187" s="334"/>
      <c r="DL187" s="334"/>
      <c r="DM187" s="334"/>
      <c r="DN187" s="334"/>
      <c r="DO187" s="334"/>
      <c r="DP187" s="334"/>
      <c r="DQ187" s="334"/>
      <c r="DR187" s="334"/>
      <c r="DS187" s="334"/>
      <c r="DT187" s="334"/>
      <c r="DU187" s="334"/>
      <c r="DV187" s="334"/>
      <c r="DW187" s="334"/>
      <c r="DX187" s="334"/>
      <c r="DY187" s="350"/>
    </row>
    <row r="188" spans="94:129" ht="13.5" customHeight="1">
      <c r="CP188" s="349"/>
      <c r="CQ188" s="334"/>
      <c r="CR188" s="334"/>
      <c r="CS188" s="334"/>
      <c r="CT188" s="334"/>
      <c r="CU188" s="334"/>
      <c r="CV188" s="334"/>
      <c r="CW188" s="334"/>
      <c r="CX188" s="334"/>
      <c r="CY188" s="334"/>
      <c r="CZ188" s="334"/>
      <c r="DA188" s="334"/>
      <c r="DB188" s="334"/>
      <c r="DC188" s="334"/>
      <c r="DD188" s="334"/>
      <c r="DE188" s="334"/>
      <c r="DF188" s="334"/>
      <c r="DG188" s="350"/>
      <c r="DH188" s="349"/>
      <c r="DI188" s="334"/>
      <c r="DJ188" s="334"/>
      <c r="DK188" s="334"/>
      <c r="DL188" s="334"/>
      <c r="DM188" s="334"/>
      <c r="DN188" s="334"/>
      <c r="DO188" s="334"/>
      <c r="DP188" s="334"/>
      <c r="DQ188" s="334"/>
      <c r="DR188" s="334"/>
      <c r="DS188" s="334"/>
      <c r="DT188" s="334"/>
      <c r="DU188" s="334"/>
      <c r="DV188" s="334"/>
      <c r="DW188" s="334"/>
      <c r="DX188" s="334"/>
      <c r="DY188" s="350"/>
    </row>
    <row r="189" spans="94:129" ht="13.5" customHeight="1">
      <c r="CP189" s="351"/>
      <c r="CQ189" s="352"/>
      <c r="CR189" s="352"/>
      <c r="CS189" s="352"/>
      <c r="CT189" s="352"/>
      <c r="CU189" s="352"/>
      <c r="CV189" s="352"/>
      <c r="CW189" s="352"/>
      <c r="CX189" s="352"/>
      <c r="CY189" s="352"/>
      <c r="CZ189" s="352"/>
      <c r="DA189" s="352"/>
      <c r="DB189" s="352"/>
      <c r="DC189" s="352"/>
      <c r="DD189" s="352"/>
      <c r="DE189" s="352"/>
      <c r="DF189" s="352"/>
      <c r="DG189" s="353"/>
      <c r="DH189" s="351"/>
      <c r="DI189" s="352"/>
      <c r="DJ189" s="352"/>
      <c r="DK189" s="352"/>
      <c r="DL189" s="352"/>
      <c r="DM189" s="352"/>
      <c r="DN189" s="352"/>
      <c r="DO189" s="352"/>
      <c r="DP189" s="352"/>
      <c r="DQ189" s="352"/>
      <c r="DR189" s="352"/>
      <c r="DS189" s="352"/>
      <c r="DT189" s="352"/>
      <c r="DU189" s="352"/>
      <c r="DV189" s="352"/>
      <c r="DW189" s="352"/>
      <c r="DX189" s="352"/>
      <c r="DY189" s="353"/>
    </row>
  </sheetData>
  <mergeCells count="857">
    <mergeCell ref="S24:X24"/>
    <mergeCell ref="C3:M4"/>
    <mergeCell ref="C6:AH20"/>
    <mergeCell ref="H34:R34"/>
    <mergeCell ref="H24:R24"/>
    <mergeCell ref="H25:R25"/>
    <mergeCell ref="H26:R26"/>
    <mergeCell ref="H27:R27"/>
    <mergeCell ref="H28:R28"/>
    <mergeCell ref="S29:X29"/>
    <mergeCell ref="H29:R29"/>
    <mergeCell ref="S25:X25"/>
    <mergeCell ref="S26:X26"/>
    <mergeCell ref="S27:X27"/>
    <mergeCell ref="S28:X28"/>
    <mergeCell ref="Y31:AA31"/>
    <mergeCell ref="Y32:AA32"/>
    <mergeCell ref="H30:R30"/>
    <mergeCell ref="H31:R31"/>
    <mergeCell ref="H32:R32"/>
    <mergeCell ref="Y25:AA25"/>
    <mergeCell ref="Y26:AA26"/>
    <mergeCell ref="Y27:AA27"/>
    <mergeCell ref="Y28:AA28"/>
    <mergeCell ref="AE28:AK28"/>
    <mergeCell ref="AB24:AD24"/>
    <mergeCell ref="AB25:AD25"/>
    <mergeCell ref="AB26:AD26"/>
    <mergeCell ref="AB27:AD27"/>
    <mergeCell ref="AB28:AD28"/>
    <mergeCell ref="AB29:AD29"/>
    <mergeCell ref="Y29:AA29"/>
    <mergeCell ref="Y30:AA30"/>
    <mergeCell ref="Y24:AA24"/>
    <mergeCell ref="C36:G37"/>
    <mergeCell ref="H36:AI37"/>
    <mergeCell ref="AO36:AR36"/>
    <mergeCell ref="AB30:AD30"/>
    <mergeCell ref="AB31:AD31"/>
    <mergeCell ref="AL24:AR24"/>
    <mergeCell ref="AL25:AR25"/>
    <mergeCell ref="AL26:AR26"/>
    <mergeCell ref="AL27:AR27"/>
    <mergeCell ref="AL28:AR28"/>
    <mergeCell ref="AL29:AR29"/>
    <mergeCell ref="AE29:AK29"/>
    <mergeCell ref="AE30:AK30"/>
    <mergeCell ref="AE31:AK31"/>
    <mergeCell ref="AE32:AK32"/>
    <mergeCell ref="AE33:AK33"/>
    <mergeCell ref="AE34:AK34"/>
    <mergeCell ref="AB32:AD32"/>
    <mergeCell ref="AB33:AD33"/>
    <mergeCell ref="AB34:AD34"/>
    <mergeCell ref="AE24:AK24"/>
    <mergeCell ref="AE25:AK25"/>
    <mergeCell ref="AE26:AK26"/>
    <mergeCell ref="AE27:AK27"/>
    <mergeCell ref="H41:R41"/>
    <mergeCell ref="S41:X41"/>
    <mergeCell ref="Y41:AA41"/>
    <mergeCell ref="AB41:AD41"/>
    <mergeCell ref="AE41:AK41"/>
    <mergeCell ref="AL41:AR41"/>
    <mergeCell ref="AL30:AR30"/>
    <mergeCell ref="AL31:AR31"/>
    <mergeCell ref="AL32:AR32"/>
    <mergeCell ref="AL33:AR33"/>
    <mergeCell ref="AL34:AR34"/>
    <mergeCell ref="Y33:AA33"/>
    <mergeCell ref="Y34:AA34"/>
    <mergeCell ref="S30:X30"/>
    <mergeCell ref="S31:X31"/>
    <mergeCell ref="S32:X32"/>
    <mergeCell ref="S33:X33"/>
    <mergeCell ref="S34:X34"/>
    <mergeCell ref="H33:R33"/>
    <mergeCell ref="H43:R43"/>
    <mergeCell ref="S43:X43"/>
    <mergeCell ref="Y43:AA43"/>
    <mergeCell ref="AB43:AD43"/>
    <mergeCell ref="AE43:AK43"/>
    <mergeCell ref="AL43:AR43"/>
    <mergeCell ref="H42:R42"/>
    <mergeCell ref="S42:X42"/>
    <mergeCell ref="Y42:AA42"/>
    <mergeCell ref="AB42:AD42"/>
    <mergeCell ref="AE42:AK42"/>
    <mergeCell ref="AL42:AR42"/>
    <mergeCell ref="H45:R45"/>
    <mergeCell ref="S45:X45"/>
    <mergeCell ref="Y45:AA45"/>
    <mergeCell ref="AB45:AD45"/>
    <mergeCell ref="AE45:AK45"/>
    <mergeCell ref="AL45:AR45"/>
    <mergeCell ref="H44:R44"/>
    <mergeCell ref="S44:X44"/>
    <mergeCell ref="Y44:AA44"/>
    <mergeCell ref="AB44:AD44"/>
    <mergeCell ref="AE44:AK44"/>
    <mergeCell ref="AL44:AR44"/>
    <mergeCell ref="H47:R47"/>
    <mergeCell ref="S47:X47"/>
    <mergeCell ref="Y47:AA47"/>
    <mergeCell ref="AB47:AD47"/>
    <mergeCell ref="AE47:AK47"/>
    <mergeCell ref="AL47:AR47"/>
    <mergeCell ref="H46:R46"/>
    <mergeCell ref="S46:X46"/>
    <mergeCell ref="Y46:AA46"/>
    <mergeCell ref="AB46:AD46"/>
    <mergeCell ref="AE46:AK46"/>
    <mergeCell ref="AL46:AR46"/>
    <mergeCell ref="H49:R49"/>
    <mergeCell ref="S49:X49"/>
    <mergeCell ref="Y49:AA49"/>
    <mergeCell ref="AB49:AD49"/>
    <mergeCell ref="AE49:AK49"/>
    <mergeCell ref="AL49:AR49"/>
    <mergeCell ref="H48:R48"/>
    <mergeCell ref="S48:X48"/>
    <mergeCell ref="Y48:AA48"/>
    <mergeCell ref="AB48:AD48"/>
    <mergeCell ref="AE48:AK48"/>
    <mergeCell ref="AL48:AR48"/>
    <mergeCell ref="H51:R51"/>
    <mergeCell ref="S51:X51"/>
    <mergeCell ref="Y51:AA51"/>
    <mergeCell ref="AB51:AD51"/>
    <mergeCell ref="AE51:AK51"/>
    <mergeCell ref="AL51:AR51"/>
    <mergeCell ref="H50:R50"/>
    <mergeCell ref="S50:X50"/>
    <mergeCell ref="Y50:AA50"/>
    <mergeCell ref="AB50:AD50"/>
    <mergeCell ref="AE50:AK50"/>
    <mergeCell ref="AL50:AR50"/>
    <mergeCell ref="C53:G54"/>
    <mergeCell ref="H53:AI54"/>
    <mergeCell ref="AO53:AR53"/>
    <mergeCell ref="H58:R58"/>
    <mergeCell ref="S58:X58"/>
    <mergeCell ref="Y58:AA58"/>
    <mergeCell ref="AB58:AD58"/>
    <mergeCell ref="AE58:AK58"/>
    <mergeCell ref="AL58:AR58"/>
    <mergeCell ref="H60:R60"/>
    <mergeCell ref="S60:X60"/>
    <mergeCell ref="Y60:AA60"/>
    <mergeCell ref="AB60:AD60"/>
    <mergeCell ref="AE60:AK60"/>
    <mergeCell ref="AL60:AR60"/>
    <mergeCell ref="H59:R59"/>
    <mergeCell ref="S59:X59"/>
    <mergeCell ref="Y59:AA59"/>
    <mergeCell ref="AB59:AD59"/>
    <mergeCell ref="AE59:AK59"/>
    <mergeCell ref="AL59:AR59"/>
    <mergeCell ref="H62:R62"/>
    <mergeCell ref="S62:X62"/>
    <mergeCell ref="Y62:AA62"/>
    <mergeCell ref="AB62:AD62"/>
    <mergeCell ref="AE62:AK62"/>
    <mergeCell ref="AL62:AR62"/>
    <mergeCell ref="H61:R61"/>
    <mergeCell ref="S61:X61"/>
    <mergeCell ref="Y61:AA61"/>
    <mergeCell ref="AB61:AD61"/>
    <mergeCell ref="AE61:AK61"/>
    <mergeCell ref="AL61:AR61"/>
    <mergeCell ref="H64:R64"/>
    <mergeCell ref="S64:X64"/>
    <mergeCell ref="Y64:AA64"/>
    <mergeCell ref="AB64:AD64"/>
    <mergeCell ref="AE64:AK64"/>
    <mergeCell ref="AL64:AR64"/>
    <mergeCell ref="H63:R63"/>
    <mergeCell ref="S63:X63"/>
    <mergeCell ref="Y63:AA63"/>
    <mergeCell ref="AB63:AD63"/>
    <mergeCell ref="AE63:AK63"/>
    <mergeCell ref="AL63:AR63"/>
    <mergeCell ref="H66:R66"/>
    <mergeCell ref="S66:X66"/>
    <mergeCell ref="Y66:AA66"/>
    <mergeCell ref="AB66:AD66"/>
    <mergeCell ref="AE66:AK66"/>
    <mergeCell ref="AL66:AR66"/>
    <mergeCell ref="H65:R65"/>
    <mergeCell ref="S65:X65"/>
    <mergeCell ref="Y65:AA65"/>
    <mergeCell ref="AB65:AD65"/>
    <mergeCell ref="AE65:AK65"/>
    <mergeCell ref="AL65:AR65"/>
    <mergeCell ref="H68:R68"/>
    <mergeCell ref="S68:X68"/>
    <mergeCell ref="Y68:AA68"/>
    <mergeCell ref="AB68:AD68"/>
    <mergeCell ref="AE68:AK68"/>
    <mergeCell ref="AL68:AR68"/>
    <mergeCell ref="H67:R67"/>
    <mergeCell ref="S67:X67"/>
    <mergeCell ref="Y67:AA67"/>
    <mergeCell ref="AB67:AD67"/>
    <mergeCell ref="AE67:AK67"/>
    <mergeCell ref="AL67:AR67"/>
    <mergeCell ref="C70:G71"/>
    <mergeCell ref="H70:AI71"/>
    <mergeCell ref="AO70:AR70"/>
    <mergeCell ref="H75:R75"/>
    <mergeCell ref="S75:X75"/>
    <mergeCell ref="Y75:AA75"/>
    <mergeCell ref="AB75:AD75"/>
    <mergeCell ref="AE75:AK75"/>
    <mergeCell ref="AL75:AR75"/>
    <mergeCell ref="H77:R77"/>
    <mergeCell ref="S77:X77"/>
    <mergeCell ref="Y77:AA77"/>
    <mergeCell ref="AB77:AD77"/>
    <mergeCell ref="AE77:AK77"/>
    <mergeCell ref="AL77:AR77"/>
    <mergeCell ref="H76:R76"/>
    <mergeCell ref="S76:X76"/>
    <mergeCell ref="Y76:AA76"/>
    <mergeCell ref="AB76:AD76"/>
    <mergeCell ref="AE76:AK76"/>
    <mergeCell ref="AL76:AR76"/>
    <mergeCell ref="H79:R79"/>
    <mergeCell ref="S79:X79"/>
    <mergeCell ref="Y79:AA79"/>
    <mergeCell ref="AB79:AD79"/>
    <mergeCell ref="AE79:AK79"/>
    <mergeCell ref="AL79:AR79"/>
    <mergeCell ref="H78:R78"/>
    <mergeCell ref="S78:X78"/>
    <mergeCell ref="Y78:AA78"/>
    <mergeCell ref="AB78:AD78"/>
    <mergeCell ref="AE78:AK78"/>
    <mergeCell ref="AL78:AR78"/>
    <mergeCell ref="H81:R81"/>
    <mergeCell ref="S81:X81"/>
    <mergeCell ref="Y81:AA81"/>
    <mergeCell ref="AB81:AD81"/>
    <mergeCell ref="AE81:AK81"/>
    <mergeCell ref="AL81:AR81"/>
    <mergeCell ref="H80:R80"/>
    <mergeCell ref="S80:X80"/>
    <mergeCell ref="Y80:AA80"/>
    <mergeCell ref="AB80:AD80"/>
    <mergeCell ref="AE80:AK80"/>
    <mergeCell ref="AL80:AR80"/>
    <mergeCell ref="H83:R83"/>
    <mergeCell ref="S83:X83"/>
    <mergeCell ref="Y83:AA83"/>
    <mergeCell ref="AB83:AD83"/>
    <mergeCell ref="AE83:AK83"/>
    <mergeCell ref="AL83:AR83"/>
    <mergeCell ref="H82:R82"/>
    <mergeCell ref="S82:X82"/>
    <mergeCell ref="Y82:AA82"/>
    <mergeCell ref="AB82:AD82"/>
    <mergeCell ref="AE82:AK82"/>
    <mergeCell ref="AL82:AR82"/>
    <mergeCell ref="H85:R85"/>
    <mergeCell ref="S85:X85"/>
    <mergeCell ref="Y85:AA85"/>
    <mergeCell ref="AB85:AD85"/>
    <mergeCell ref="AE85:AK85"/>
    <mergeCell ref="AL85:AR85"/>
    <mergeCell ref="H84:R84"/>
    <mergeCell ref="S84:X84"/>
    <mergeCell ref="Y84:AA84"/>
    <mergeCell ref="AB84:AD84"/>
    <mergeCell ref="AE84:AK84"/>
    <mergeCell ref="AL84:AR84"/>
    <mergeCell ref="C87:G88"/>
    <mergeCell ref="H87:AI88"/>
    <mergeCell ref="AO87:AR87"/>
    <mergeCell ref="H92:R92"/>
    <mergeCell ref="S92:X92"/>
    <mergeCell ref="Y92:AA92"/>
    <mergeCell ref="AB92:AD92"/>
    <mergeCell ref="AE92:AK92"/>
    <mergeCell ref="AL92:AR92"/>
    <mergeCell ref="H94:R94"/>
    <mergeCell ref="S94:X94"/>
    <mergeCell ref="Y94:AA94"/>
    <mergeCell ref="AB94:AD94"/>
    <mergeCell ref="AE94:AK94"/>
    <mergeCell ref="AL94:AR94"/>
    <mergeCell ref="H93:R93"/>
    <mergeCell ref="S93:X93"/>
    <mergeCell ref="Y93:AA93"/>
    <mergeCell ref="AB93:AD93"/>
    <mergeCell ref="AE93:AK93"/>
    <mergeCell ref="AL93:AR93"/>
    <mergeCell ref="H96:R96"/>
    <mergeCell ref="S96:X96"/>
    <mergeCell ref="Y96:AA96"/>
    <mergeCell ref="AB96:AD96"/>
    <mergeCell ref="AE96:AK96"/>
    <mergeCell ref="AL96:AR96"/>
    <mergeCell ref="H95:R95"/>
    <mergeCell ref="S95:X95"/>
    <mergeCell ref="Y95:AA95"/>
    <mergeCell ref="AB95:AD95"/>
    <mergeCell ref="AE95:AK95"/>
    <mergeCell ref="AL95:AR95"/>
    <mergeCell ref="H98:R98"/>
    <mergeCell ref="S98:X98"/>
    <mergeCell ref="Y98:AA98"/>
    <mergeCell ref="AB98:AD98"/>
    <mergeCell ref="AE98:AK98"/>
    <mergeCell ref="AL98:AR98"/>
    <mergeCell ref="H97:R97"/>
    <mergeCell ref="S97:X97"/>
    <mergeCell ref="Y97:AA97"/>
    <mergeCell ref="AB97:AD97"/>
    <mergeCell ref="AE97:AK97"/>
    <mergeCell ref="AL97:AR97"/>
    <mergeCell ref="H100:R100"/>
    <mergeCell ref="S100:X100"/>
    <mergeCell ref="Y100:AA100"/>
    <mergeCell ref="AB100:AD100"/>
    <mergeCell ref="AE100:AK100"/>
    <mergeCell ref="AL100:AR100"/>
    <mergeCell ref="H99:R99"/>
    <mergeCell ref="S99:X99"/>
    <mergeCell ref="Y99:AA99"/>
    <mergeCell ref="AB99:AD99"/>
    <mergeCell ref="AE99:AK99"/>
    <mergeCell ref="AL99:AR99"/>
    <mergeCell ref="H102:R102"/>
    <mergeCell ref="S102:X102"/>
    <mergeCell ref="Y102:AA102"/>
    <mergeCell ref="AB102:AD102"/>
    <mergeCell ref="AE102:AK102"/>
    <mergeCell ref="AL102:AR102"/>
    <mergeCell ref="H101:R101"/>
    <mergeCell ref="S101:X101"/>
    <mergeCell ref="Y101:AA101"/>
    <mergeCell ref="AB101:AD101"/>
    <mergeCell ref="AE101:AK101"/>
    <mergeCell ref="AL101:AR101"/>
    <mergeCell ref="H110:R110"/>
    <mergeCell ref="S110:X110"/>
    <mergeCell ref="Y110:AA110"/>
    <mergeCell ref="AB110:AD110"/>
    <mergeCell ref="AE110:AK110"/>
    <mergeCell ref="AL110:AR110"/>
    <mergeCell ref="C104:G105"/>
    <mergeCell ref="H104:AI105"/>
    <mergeCell ref="AO104:AR104"/>
    <mergeCell ref="H109:R109"/>
    <mergeCell ref="S109:X109"/>
    <mergeCell ref="Y109:AA109"/>
    <mergeCell ref="AB109:AD109"/>
    <mergeCell ref="AE109:AK109"/>
    <mergeCell ref="AL109:AR109"/>
    <mergeCell ref="H112:R112"/>
    <mergeCell ref="S112:X112"/>
    <mergeCell ref="Y112:AA112"/>
    <mergeCell ref="AB112:AD112"/>
    <mergeCell ref="AE112:AK112"/>
    <mergeCell ref="AL112:AR112"/>
    <mergeCell ref="H111:R111"/>
    <mergeCell ref="S111:X111"/>
    <mergeCell ref="Y111:AA111"/>
    <mergeCell ref="AB111:AD111"/>
    <mergeCell ref="AE111:AK111"/>
    <mergeCell ref="AL111:AR111"/>
    <mergeCell ref="H114:R114"/>
    <mergeCell ref="S114:X114"/>
    <mergeCell ref="Y114:AA114"/>
    <mergeCell ref="AB114:AD114"/>
    <mergeCell ref="AE114:AK114"/>
    <mergeCell ref="AL114:AR114"/>
    <mergeCell ref="H113:R113"/>
    <mergeCell ref="S113:X113"/>
    <mergeCell ref="Y113:AA113"/>
    <mergeCell ref="AB113:AD113"/>
    <mergeCell ref="AE113:AK113"/>
    <mergeCell ref="AL113:AR113"/>
    <mergeCell ref="H116:R116"/>
    <mergeCell ref="S116:X116"/>
    <mergeCell ref="Y116:AA116"/>
    <mergeCell ref="AB116:AD116"/>
    <mergeCell ref="AE116:AK116"/>
    <mergeCell ref="AL116:AR116"/>
    <mergeCell ref="H115:R115"/>
    <mergeCell ref="S115:X115"/>
    <mergeCell ref="Y115:AA115"/>
    <mergeCell ref="AB115:AD115"/>
    <mergeCell ref="AE115:AK115"/>
    <mergeCell ref="AL115:AR115"/>
    <mergeCell ref="AL3:AV4"/>
    <mergeCell ref="AT6:AV6"/>
    <mergeCell ref="AT7:AV7"/>
    <mergeCell ref="AT8:AV8"/>
    <mergeCell ref="AT9:AV9"/>
    <mergeCell ref="AT10:AV10"/>
    <mergeCell ref="H119:R119"/>
    <mergeCell ref="S119:X119"/>
    <mergeCell ref="Y119:AA119"/>
    <mergeCell ref="AB119:AD119"/>
    <mergeCell ref="AE119:AK119"/>
    <mergeCell ref="AL119:AR119"/>
    <mergeCell ref="H118:R118"/>
    <mergeCell ref="S118:X118"/>
    <mergeCell ref="Y118:AA118"/>
    <mergeCell ref="AB118:AD118"/>
    <mergeCell ref="AE118:AK118"/>
    <mergeCell ref="AL118:AR118"/>
    <mergeCell ref="H117:R117"/>
    <mergeCell ref="S117:X117"/>
    <mergeCell ref="Y117:AA117"/>
    <mergeCell ref="AB117:AD117"/>
    <mergeCell ref="AE117:AK117"/>
    <mergeCell ref="AL117:AR117"/>
    <mergeCell ref="H126:R126"/>
    <mergeCell ref="S126:X126"/>
    <mergeCell ref="Y126:AA126"/>
    <mergeCell ref="AB126:AD126"/>
    <mergeCell ref="AE126:AK126"/>
    <mergeCell ref="AL126:AR126"/>
    <mergeCell ref="C121:G122"/>
    <mergeCell ref="H121:AI122"/>
    <mergeCell ref="AO121:AR121"/>
    <mergeCell ref="H128:R128"/>
    <mergeCell ref="S128:X128"/>
    <mergeCell ref="Y128:AA128"/>
    <mergeCell ref="AB128:AD128"/>
    <mergeCell ref="AE128:AK128"/>
    <mergeCell ref="AL128:AR128"/>
    <mergeCell ref="H127:R127"/>
    <mergeCell ref="S127:X127"/>
    <mergeCell ref="Y127:AA127"/>
    <mergeCell ref="AB127:AD127"/>
    <mergeCell ref="AE127:AK127"/>
    <mergeCell ref="AL127:AR127"/>
    <mergeCell ref="H130:R130"/>
    <mergeCell ref="S130:X130"/>
    <mergeCell ref="Y130:AA130"/>
    <mergeCell ref="AB130:AD130"/>
    <mergeCell ref="AE130:AK130"/>
    <mergeCell ref="AL130:AR130"/>
    <mergeCell ref="H129:R129"/>
    <mergeCell ref="S129:X129"/>
    <mergeCell ref="Y129:AA129"/>
    <mergeCell ref="AB129:AD129"/>
    <mergeCell ref="AE129:AK129"/>
    <mergeCell ref="AL129:AR129"/>
    <mergeCell ref="H132:R132"/>
    <mergeCell ref="S132:X132"/>
    <mergeCell ref="Y132:AA132"/>
    <mergeCell ref="AB132:AD132"/>
    <mergeCell ref="AE132:AK132"/>
    <mergeCell ref="AL132:AR132"/>
    <mergeCell ref="H131:R131"/>
    <mergeCell ref="S131:X131"/>
    <mergeCell ref="Y131:AA131"/>
    <mergeCell ref="AB131:AD131"/>
    <mergeCell ref="AE131:AK131"/>
    <mergeCell ref="AL131:AR131"/>
    <mergeCell ref="H134:R134"/>
    <mergeCell ref="S134:X134"/>
    <mergeCell ref="Y134:AA134"/>
    <mergeCell ref="AB134:AD134"/>
    <mergeCell ref="AE134:AK134"/>
    <mergeCell ref="AL134:AR134"/>
    <mergeCell ref="H133:R133"/>
    <mergeCell ref="S133:X133"/>
    <mergeCell ref="Y133:AA133"/>
    <mergeCell ref="AB133:AD133"/>
    <mergeCell ref="AE133:AK133"/>
    <mergeCell ref="AL133:AR133"/>
    <mergeCell ref="H136:R136"/>
    <mergeCell ref="S136:X136"/>
    <mergeCell ref="Y136:AA136"/>
    <mergeCell ref="AB136:AD136"/>
    <mergeCell ref="AE136:AK136"/>
    <mergeCell ref="AL136:AR136"/>
    <mergeCell ref="H135:R135"/>
    <mergeCell ref="S135:X135"/>
    <mergeCell ref="Y135:AA135"/>
    <mergeCell ref="AB135:AD135"/>
    <mergeCell ref="AE135:AK135"/>
    <mergeCell ref="AL135:AR135"/>
    <mergeCell ref="C138:G139"/>
    <mergeCell ref="H138:AI139"/>
    <mergeCell ref="AO138:AR138"/>
    <mergeCell ref="H143:R143"/>
    <mergeCell ref="S143:X143"/>
    <mergeCell ref="Y143:AA143"/>
    <mergeCell ref="AB143:AD143"/>
    <mergeCell ref="AE143:AK143"/>
    <mergeCell ref="AL143:AR143"/>
    <mergeCell ref="H145:R145"/>
    <mergeCell ref="S145:X145"/>
    <mergeCell ref="Y145:AA145"/>
    <mergeCell ref="AB145:AD145"/>
    <mergeCell ref="AE145:AK145"/>
    <mergeCell ref="AL145:AR145"/>
    <mergeCell ref="H144:R144"/>
    <mergeCell ref="S144:X144"/>
    <mergeCell ref="Y144:AA144"/>
    <mergeCell ref="AB144:AD144"/>
    <mergeCell ref="AE144:AK144"/>
    <mergeCell ref="AL144:AR144"/>
    <mergeCell ref="H147:R147"/>
    <mergeCell ref="S147:X147"/>
    <mergeCell ref="Y147:AA147"/>
    <mergeCell ref="AB147:AD147"/>
    <mergeCell ref="AE147:AK147"/>
    <mergeCell ref="AL147:AR147"/>
    <mergeCell ref="H146:R146"/>
    <mergeCell ref="S146:X146"/>
    <mergeCell ref="Y146:AA146"/>
    <mergeCell ref="AB146:AD146"/>
    <mergeCell ref="AE146:AK146"/>
    <mergeCell ref="AL146:AR146"/>
    <mergeCell ref="H149:R149"/>
    <mergeCell ref="S149:X149"/>
    <mergeCell ref="Y149:AA149"/>
    <mergeCell ref="AB149:AD149"/>
    <mergeCell ref="AE149:AK149"/>
    <mergeCell ref="AL149:AR149"/>
    <mergeCell ref="H148:R148"/>
    <mergeCell ref="S148:X148"/>
    <mergeCell ref="Y148:AA148"/>
    <mergeCell ref="AB148:AD148"/>
    <mergeCell ref="AE148:AK148"/>
    <mergeCell ref="AL148:AR148"/>
    <mergeCell ref="H151:R151"/>
    <mergeCell ref="S151:X151"/>
    <mergeCell ref="Y151:AA151"/>
    <mergeCell ref="AB151:AD151"/>
    <mergeCell ref="AE151:AK151"/>
    <mergeCell ref="AL151:AR151"/>
    <mergeCell ref="H150:R150"/>
    <mergeCell ref="S150:X150"/>
    <mergeCell ref="Y150:AA150"/>
    <mergeCell ref="AB150:AD150"/>
    <mergeCell ref="AE150:AK150"/>
    <mergeCell ref="AL150:AR150"/>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H161:R161"/>
    <mergeCell ref="S161:X161"/>
    <mergeCell ref="Y161:AA161"/>
    <mergeCell ref="AB161:AD161"/>
    <mergeCell ref="AE161:AK161"/>
    <mergeCell ref="AL161:AR161"/>
    <mergeCell ref="C155:G156"/>
    <mergeCell ref="H155:AI156"/>
    <mergeCell ref="AO155:AR155"/>
    <mergeCell ref="H160:R160"/>
    <mergeCell ref="S160:X160"/>
    <mergeCell ref="Y160:AA160"/>
    <mergeCell ref="AB160:AD160"/>
    <mergeCell ref="AE160:AK160"/>
    <mergeCell ref="AL160:AR160"/>
    <mergeCell ref="H163:R163"/>
    <mergeCell ref="S163:X163"/>
    <mergeCell ref="Y163:AA163"/>
    <mergeCell ref="AB163:AD163"/>
    <mergeCell ref="AE163:AK163"/>
    <mergeCell ref="AL163:AR163"/>
    <mergeCell ref="H162:R162"/>
    <mergeCell ref="S162:X162"/>
    <mergeCell ref="Y162:AA162"/>
    <mergeCell ref="AB162:AD162"/>
    <mergeCell ref="AE162:AK162"/>
    <mergeCell ref="AL162:AR162"/>
    <mergeCell ref="H165:R165"/>
    <mergeCell ref="S165:X165"/>
    <mergeCell ref="Y165:AA165"/>
    <mergeCell ref="AB165:AD165"/>
    <mergeCell ref="AE165:AK165"/>
    <mergeCell ref="AL165:AR165"/>
    <mergeCell ref="H164:R164"/>
    <mergeCell ref="S164:X164"/>
    <mergeCell ref="Y164:AA164"/>
    <mergeCell ref="AB164:AD164"/>
    <mergeCell ref="AE164:AK164"/>
    <mergeCell ref="AL164:AR164"/>
    <mergeCell ref="AE168:AK168"/>
    <mergeCell ref="AL168:AR168"/>
    <mergeCell ref="H167:R167"/>
    <mergeCell ref="S167:X167"/>
    <mergeCell ref="Y167:AA167"/>
    <mergeCell ref="AB167:AD167"/>
    <mergeCell ref="AE167:AK167"/>
    <mergeCell ref="AL167:AR167"/>
    <mergeCell ref="H166:R166"/>
    <mergeCell ref="S166:X166"/>
    <mergeCell ref="Y166:AA166"/>
    <mergeCell ref="AB166:AD166"/>
    <mergeCell ref="AE166:AK166"/>
    <mergeCell ref="AL166:AR166"/>
    <mergeCell ref="C172:G173"/>
    <mergeCell ref="H172:AI173"/>
    <mergeCell ref="AO172:AR172"/>
    <mergeCell ref="AT14:AV14"/>
    <mergeCell ref="BO24:BW24"/>
    <mergeCell ref="BO25:BW25"/>
    <mergeCell ref="BO26:BW26"/>
    <mergeCell ref="BO27:BW27"/>
    <mergeCell ref="H170:R170"/>
    <mergeCell ref="S170:X170"/>
    <mergeCell ref="Y170:AA170"/>
    <mergeCell ref="AB170:AD170"/>
    <mergeCell ref="AE170:AK170"/>
    <mergeCell ref="AL170:AR170"/>
    <mergeCell ref="H169:R169"/>
    <mergeCell ref="S169:X169"/>
    <mergeCell ref="Y169:AA169"/>
    <mergeCell ref="AB169:AD169"/>
    <mergeCell ref="AE169:AK169"/>
    <mergeCell ref="AL169:AR169"/>
    <mergeCell ref="H168:R168"/>
    <mergeCell ref="S168:X168"/>
    <mergeCell ref="Y168:AA168"/>
    <mergeCell ref="AB168:AD168"/>
    <mergeCell ref="BX24:CO37"/>
    <mergeCell ref="BF24:BN24"/>
    <mergeCell ref="BF25:BN25"/>
    <mergeCell ref="BF26:BN26"/>
    <mergeCell ref="BF27:BN27"/>
    <mergeCell ref="BF28:BN28"/>
    <mergeCell ref="BF29:BN29"/>
    <mergeCell ref="BF30:BN30"/>
    <mergeCell ref="BF31:BN31"/>
    <mergeCell ref="BF32:BN32"/>
    <mergeCell ref="BF33:BN33"/>
    <mergeCell ref="BF34:BN34"/>
    <mergeCell ref="BO28:BW28"/>
    <mergeCell ref="BO29:BW29"/>
    <mergeCell ref="BO30:BW30"/>
    <mergeCell ref="BO31:BW31"/>
    <mergeCell ref="BO32:BW32"/>
    <mergeCell ref="BO33:BW33"/>
    <mergeCell ref="BO34:BW34"/>
    <mergeCell ref="BF41:BN41"/>
    <mergeCell ref="BO41:BW41"/>
    <mergeCell ref="BX41:CO54"/>
    <mergeCell ref="BF42:BN42"/>
    <mergeCell ref="BO42:BW42"/>
    <mergeCell ref="BF43:BN43"/>
    <mergeCell ref="BO43:BW43"/>
    <mergeCell ref="BF44:BN44"/>
    <mergeCell ref="BO44:BW44"/>
    <mergeCell ref="BF45:BN45"/>
    <mergeCell ref="BF49:BN49"/>
    <mergeCell ref="BO49:BW49"/>
    <mergeCell ref="BF50:BN50"/>
    <mergeCell ref="BO50:BW50"/>
    <mergeCell ref="BF51:BN51"/>
    <mergeCell ref="BO51:BW51"/>
    <mergeCell ref="BO45:BW45"/>
    <mergeCell ref="BF46:BN46"/>
    <mergeCell ref="BO46:BW46"/>
    <mergeCell ref="BF47:BN47"/>
    <mergeCell ref="BO47:BW47"/>
    <mergeCell ref="BF48:BN48"/>
    <mergeCell ref="BO48:BW48"/>
    <mergeCell ref="BF58:BN58"/>
    <mergeCell ref="BO58:BW58"/>
    <mergeCell ref="BX58:CO71"/>
    <mergeCell ref="BF59:BN59"/>
    <mergeCell ref="BO59:BW59"/>
    <mergeCell ref="BF60:BN60"/>
    <mergeCell ref="BO60:BW60"/>
    <mergeCell ref="BF61:BN61"/>
    <mergeCell ref="BO61:BW61"/>
    <mergeCell ref="BF62:BN62"/>
    <mergeCell ref="BF66:BN66"/>
    <mergeCell ref="BO66:BW66"/>
    <mergeCell ref="BF67:BN67"/>
    <mergeCell ref="BO67:BW67"/>
    <mergeCell ref="BF68:BN68"/>
    <mergeCell ref="BO68:BW68"/>
    <mergeCell ref="BO62:BW62"/>
    <mergeCell ref="BF63:BN63"/>
    <mergeCell ref="BO63:BW63"/>
    <mergeCell ref="BF64:BN64"/>
    <mergeCell ref="BO64:BW64"/>
    <mergeCell ref="BF65:BN65"/>
    <mergeCell ref="BO65:BW65"/>
    <mergeCell ref="BF75:BN75"/>
    <mergeCell ref="BO75:BW75"/>
    <mergeCell ref="BX75:CO88"/>
    <mergeCell ref="BF76:BN76"/>
    <mergeCell ref="BO76:BW76"/>
    <mergeCell ref="BF77:BN77"/>
    <mergeCell ref="BO77:BW77"/>
    <mergeCell ref="BF78:BN78"/>
    <mergeCell ref="BO78:BW78"/>
    <mergeCell ref="BF79:BN79"/>
    <mergeCell ref="BF83:BN83"/>
    <mergeCell ref="BO83:BW83"/>
    <mergeCell ref="BF84:BN84"/>
    <mergeCell ref="BO84:BW84"/>
    <mergeCell ref="BF85:BN85"/>
    <mergeCell ref="BO85:BW85"/>
    <mergeCell ref="BO79:BW79"/>
    <mergeCell ref="BF80:BN80"/>
    <mergeCell ref="BO80:BW80"/>
    <mergeCell ref="BF81:BN81"/>
    <mergeCell ref="BO81:BW81"/>
    <mergeCell ref="BF82:BN82"/>
    <mergeCell ref="BO82:BW82"/>
    <mergeCell ref="BF92:BN92"/>
    <mergeCell ref="BO92:BW92"/>
    <mergeCell ref="BX92:CO105"/>
    <mergeCell ref="BF93:BN93"/>
    <mergeCell ref="BO93:BW93"/>
    <mergeCell ref="BF94:BN94"/>
    <mergeCell ref="BO94:BW94"/>
    <mergeCell ref="BF95:BN95"/>
    <mergeCell ref="BO95:BW95"/>
    <mergeCell ref="BF96:BN96"/>
    <mergeCell ref="BF100:BN100"/>
    <mergeCell ref="BO100:BW100"/>
    <mergeCell ref="BF101:BN101"/>
    <mergeCell ref="BO101:BW101"/>
    <mergeCell ref="BF102:BN102"/>
    <mergeCell ref="BO102:BW102"/>
    <mergeCell ref="BO96:BW96"/>
    <mergeCell ref="BF97:BN97"/>
    <mergeCell ref="BO97:BW97"/>
    <mergeCell ref="BF98:BN98"/>
    <mergeCell ref="BO98:BW98"/>
    <mergeCell ref="BF99:BN99"/>
    <mergeCell ref="BO99:BW99"/>
    <mergeCell ref="BF109:BN109"/>
    <mergeCell ref="BO109:BW109"/>
    <mergeCell ref="BX109:CO122"/>
    <mergeCell ref="BF110:BN110"/>
    <mergeCell ref="BO110:BW110"/>
    <mergeCell ref="BF111:BN111"/>
    <mergeCell ref="BO111:BW111"/>
    <mergeCell ref="BF112:BN112"/>
    <mergeCell ref="BO112:BW112"/>
    <mergeCell ref="BF113:BN113"/>
    <mergeCell ref="BF117:BN117"/>
    <mergeCell ref="BO117:BW117"/>
    <mergeCell ref="BF118:BN118"/>
    <mergeCell ref="BO118:BW118"/>
    <mergeCell ref="BF119:BN119"/>
    <mergeCell ref="BO119:BW119"/>
    <mergeCell ref="BO113:BW113"/>
    <mergeCell ref="BF114:BN114"/>
    <mergeCell ref="BO114:BW114"/>
    <mergeCell ref="BF115:BN115"/>
    <mergeCell ref="BO115:BW115"/>
    <mergeCell ref="BF116:BN116"/>
    <mergeCell ref="BO116:BW116"/>
    <mergeCell ref="BF126:BN126"/>
    <mergeCell ref="BO126:BW126"/>
    <mergeCell ref="BX126:CO139"/>
    <mergeCell ref="BF127:BN127"/>
    <mergeCell ref="BO127:BW127"/>
    <mergeCell ref="BF128:BN128"/>
    <mergeCell ref="BO128:BW128"/>
    <mergeCell ref="BF129:BN129"/>
    <mergeCell ref="BO129:BW129"/>
    <mergeCell ref="BF130:BN130"/>
    <mergeCell ref="BF134:BN134"/>
    <mergeCell ref="BO134:BW134"/>
    <mergeCell ref="BF135:BN135"/>
    <mergeCell ref="BO135:BW135"/>
    <mergeCell ref="BF136:BN136"/>
    <mergeCell ref="BO136:BW136"/>
    <mergeCell ref="BO130:BW130"/>
    <mergeCell ref="BF131:BN131"/>
    <mergeCell ref="BO131:BW131"/>
    <mergeCell ref="BF132:BN132"/>
    <mergeCell ref="BO132:BW132"/>
    <mergeCell ref="BF133:BN133"/>
    <mergeCell ref="BO133:BW133"/>
    <mergeCell ref="BF149:BN149"/>
    <mergeCell ref="BO149:BW149"/>
    <mergeCell ref="BF150:BN150"/>
    <mergeCell ref="BO150:BW150"/>
    <mergeCell ref="BF143:BN143"/>
    <mergeCell ref="BO143:BW143"/>
    <mergeCell ref="BX143:CO156"/>
    <mergeCell ref="BF144:BN144"/>
    <mergeCell ref="BO144:BW144"/>
    <mergeCell ref="BF145:BN145"/>
    <mergeCell ref="BO145:BW145"/>
    <mergeCell ref="BF146:BN146"/>
    <mergeCell ref="BO146:BW146"/>
    <mergeCell ref="BF147:BN147"/>
    <mergeCell ref="BF160:BN160"/>
    <mergeCell ref="BO160:BW160"/>
    <mergeCell ref="CP109:DG122"/>
    <mergeCell ref="BF168:BN168"/>
    <mergeCell ref="BO168:BW168"/>
    <mergeCell ref="BX160:CO173"/>
    <mergeCell ref="BF161:BN161"/>
    <mergeCell ref="BO161:BW161"/>
    <mergeCell ref="BF162:BN162"/>
    <mergeCell ref="BO162:BW162"/>
    <mergeCell ref="BF163:BN163"/>
    <mergeCell ref="BO163:BW163"/>
    <mergeCell ref="BF164:BN164"/>
    <mergeCell ref="BF166:BN166"/>
    <mergeCell ref="BO166:BW166"/>
    <mergeCell ref="BF151:BN151"/>
    <mergeCell ref="BO151:BW151"/>
    <mergeCell ref="BF152:BN152"/>
    <mergeCell ref="BO152:BW152"/>
    <mergeCell ref="BF153:BN153"/>
    <mergeCell ref="BO153:BW153"/>
    <mergeCell ref="BO147:BW147"/>
    <mergeCell ref="BF148:BN148"/>
    <mergeCell ref="BO148:BW148"/>
    <mergeCell ref="BF169:BN169"/>
    <mergeCell ref="BO169:BW169"/>
    <mergeCell ref="BF170:BN170"/>
    <mergeCell ref="BO170:BW170"/>
    <mergeCell ref="BO164:BW164"/>
    <mergeCell ref="BF165:BN165"/>
    <mergeCell ref="BO165:BW165"/>
    <mergeCell ref="BF167:BN167"/>
    <mergeCell ref="BO167:BW167"/>
    <mergeCell ref="CP126:DG139"/>
    <mergeCell ref="CP143:DG156"/>
    <mergeCell ref="CP160:DG173"/>
    <mergeCell ref="CP176:DG189"/>
    <mergeCell ref="CP24:DG37"/>
    <mergeCell ref="CP41:DG54"/>
    <mergeCell ref="CP58:DG71"/>
    <mergeCell ref="CP75:DG88"/>
    <mergeCell ref="CP92:DG105"/>
    <mergeCell ref="DH126:DY139"/>
    <mergeCell ref="DH143:DY156"/>
    <mergeCell ref="DH160:DY173"/>
    <mergeCell ref="DH176:DY189"/>
    <mergeCell ref="DH24:DY37"/>
    <mergeCell ref="DH41:DY54"/>
    <mergeCell ref="DH58:DY71"/>
    <mergeCell ref="DH75:DY88"/>
    <mergeCell ref="DH92:DY105"/>
    <mergeCell ref="DH109:DY122"/>
  </mergeCells>
  <conditionalFormatting sqref="H25:R34">
    <cfRule type="expression" dxfId="51" priority="18" stopIfTrue="1">
      <formula>IF(H24="",FALSE,TRUE)</formula>
    </cfRule>
  </conditionalFormatting>
  <conditionalFormatting sqref="S25:X34">
    <cfRule type="expression" dxfId="50" priority="17" stopIfTrue="1">
      <formula>IF(H25="",FALSE,TRUE)</formula>
    </cfRule>
  </conditionalFormatting>
  <conditionalFormatting sqref="H42:R51">
    <cfRule type="expression" dxfId="49" priority="16" stopIfTrue="1">
      <formula>IF(H41="",FALSE,TRUE)</formula>
    </cfRule>
  </conditionalFormatting>
  <conditionalFormatting sqref="S42:X51">
    <cfRule type="expression" dxfId="48" priority="15" stopIfTrue="1">
      <formula>IF(H42="",FALSE,TRUE)</formula>
    </cfRule>
  </conditionalFormatting>
  <conditionalFormatting sqref="H59:R68">
    <cfRule type="expression" dxfId="47" priority="14" stopIfTrue="1">
      <formula>IF(H58="",FALSE,TRUE)</formula>
    </cfRule>
  </conditionalFormatting>
  <conditionalFormatting sqref="S59:X68">
    <cfRule type="expression" dxfId="46" priority="13" stopIfTrue="1">
      <formula>IF(H59="",FALSE,TRUE)</formula>
    </cfRule>
  </conditionalFormatting>
  <conditionalFormatting sqref="H76:R85">
    <cfRule type="expression" dxfId="45" priority="12" stopIfTrue="1">
      <formula>IF(H75="",FALSE,TRUE)</formula>
    </cfRule>
  </conditionalFormatting>
  <conditionalFormatting sqref="S76:X85">
    <cfRule type="expression" dxfId="44" priority="11" stopIfTrue="1">
      <formula>IF(H76="",FALSE,TRUE)</formula>
    </cfRule>
  </conditionalFormatting>
  <conditionalFormatting sqref="H93:R102">
    <cfRule type="expression" dxfId="43" priority="10" stopIfTrue="1">
      <formula>IF(H92="",FALSE,TRUE)</formula>
    </cfRule>
  </conditionalFormatting>
  <conditionalFormatting sqref="S93:X102">
    <cfRule type="expression" dxfId="42" priority="9" stopIfTrue="1">
      <formula>IF(H93="",FALSE,TRUE)</formula>
    </cfRule>
  </conditionalFormatting>
  <conditionalFormatting sqref="H110:R119">
    <cfRule type="expression" dxfId="41" priority="8" stopIfTrue="1">
      <formula>IF(H109="",FALSE,TRUE)</formula>
    </cfRule>
  </conditionalFormatting>
  <conditionalFormatting sqref="S110:X119">
    <cfRule type="expression" dxfId="40" priority="7" stopIfTrue="1">
      <formula>IF(H110="",FALSE,TRUE)</formula>
    </cfRule>
  </conditionalFormatting>
  <conditionalFormatting sqref="H127:R136">
    <cfRule type="expression" dxfId="39" priority="6" stopIfTrue="1">
      <formula>IF(H126="",FALSE,TRUE)</formula>
    </cfRule>
  </conditionalFormatting>
  <conditionalFormatting sqref="S127:X136">
    <cfRule type="expression" dxfId="38" priority="5" stopIfTrue="1">
      <formula>IF(H127="",FALSE,TRUE)</formula>
    </cfRule>
  </conditionalFormatting>
  <conditionalFormatting sqref="H144:R153">
    <cfRule type="expression" dxfId="37" priority="4" stopIfTrue="1">
      <formula>IF(H143="",FALSE,TRUE)</formula>
    </cfRule>
  </conditionalFormatting>
  <conditionalFormatting sqref="S144:X153">
    <cfRule type="expression" dxfId="36" priority="3" stopIfTrue="1">
      <formula>IF(H144="",FALSE,TRUE)</formula>
    </cfRule>
  </conditionalFormatting>
  <conditionalFormatting sqref="H161:R170">
    <cfRule type="expression" dxfId="35" priority="2" stopIfTrue="1">
      <formula>IF(H160="",FALSE,TRUE)</formula>
    </cfRule>
  </conditionalFormatting>
  <conditionalFormatting sqref="S161:X170">
    <cfRule type="expression" dxfId="34" priority="1" stopIfTrue="1">
      <formula>IF(H161="",FALSE,TRUE)</formula>
    </cfRule>
  </conditionalFormatting>
  <dataValidations count="2">
    <dataValidation type="list" allowBlank="1" showInputMessage="1" showErrorMessage="1" sqref="H25:R34 H42:R51 H59:R68 H76:R85 H93:R102 H110:R119 H127:R136 H144:R153 H161:R170">
      <formula1>ComponentIndex</formula1>
    </dataValidation>
    <dataValidation type="list" allowBlank="1" showInputMessage="1" showErrorMessage="1" sqref="S25:X34 S42:X51 S59:X68 S76:X85 S93:X102 S110:X119 S127:X136 S144:X153 S161:X170">
      <formula1>"Normal,Alternate,Dynamic,None"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learPowers">
                <anchor moveWithCells="1" sizeWithCells="1">
                  <from>
                    <xdr:col>35</xdr:col>
                    <xdr:colOff>121920</xdr:colOff>
                    <xdr:row>16</xdr:row>
                    <xdr:rowOff>45720</xdr:rowOff>
                  </from>
                  <to>
                    <xdr:col>42</xdr:col>
                    <xdr:colOff>144780</xdr:colOff>
                    <xdr:row>18</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B1:CK358"/>
  <sheetViews>
    <sheetView showGridLines="0" zoomScaleNormal="100" workbookViewId="0"/>
  </sheetViews>
  <sheetFormatPr defaultColWidth="2.6640625" defaultRowHeight="13.5" customHeight="1"/>
  <cols>
    <col min="1" max="57" width="2.6640625" style="12"/>
    <col min="58" max="58" width="3" style="12" bestFit="1" customWidth="1"/>
    <col min="59" max="63" width="2.6640625" style="12"/>
    <col min="64" max="64" width="3" style="12" bestFit="1" customWidth="1"/>
    <col min="65" max="16384" width="2.6640625" style="12"/>
  </cols>
  <sheetData>
    <row r="1" spans="2:89" ht="13.5" customHeight="1" thickBot="1"/>
    <row r="2" spans="2:8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H2" s="12" t="s">
        <v>383</v>
      </c>
    </row>
    <row r="3" spans="2:89" ht="13.5" customHeight="1">
      <c r="B3" s="18"/>
      <c r="C3" s="224" t="s">
        <v>623</v>
      </c>
      <c r="D3" s="224"/>
      <c r="E3" s="224"/>
      <c r="F3" s="224"/>
      <c r="G3" s="224"/>
      <c r="H3" s="224"/>
      <c r="I3" s="224"/>
      <c r="J3" s="224"/>
      <c r="K3" s="224"/>
      <c r="L3" s="224"/>
      <c r="M3" s="224"/>
      <c r="N3" s="224"/>
      <c r="O3" s="224"/>
      <c r="P3" s="224"/>
      <c r="Q3" s="224"/>
      <c r="R3" s="224"/>
      <c r="S3" s="224"/>
      <c r="T3" s="224"/>
      <c r="U3" s="19"/>
      <c r="V3" s="19"/>
      <c r="W3" s="19"/>
      <c r="X3" s="19"/>
      <c r="Y3" s="19"/>
      <c r="Z3" s="19"/>
      <c r="AA3" s="19"/>
      <c r="AB3" s="19"/>
      <c r="AC3" s="19"/>
      <c r="AD3" s="19"/>
      <c r="AE3" s="19"/>
      <c r="AF3" s="19"/>
      <c r="AG3" s="19"/>
      <c r="AH3" s="19"/>
      <c r="AI3" s="20"/>
      <c r="BH3" s="33" t="s">
        <v>494</v>
      </c>
      <c r="BL3" s="372" t="s">
        <v>36</v>
      </c>
      <c r="BM3" s="372"/>
      <c r="BN3" s="372" t="s">
        <v>37</v>
      </c>
      <c r="BO3" s="372"/>
      <c r="BP3" s="372" t="s">
        <v>506</v>
      </c>
      <c r="BQ3" s="372"/>
      <c r="BR3" s="372"/>
      <c r="BS3" s="372"/>
      <c r="BT3" s="372"/>
      <c r="BU3" s="372"/>
      <c r="BV3" s="372" t="s">
        <v>507</v>
      </c>
      <c r="BW3" s="372"/>
      <c r="BX3" s="372"/>
      <c r="BY3" s="372"/>
      <c r="BZ3" s="372"/>
      <c r="CA3" s="372"/>
      <c r="CH3" s="372" t="s">
        <v>465</v>
      </c>
      <c r="CI3" s="372"/>
      <c r="CJ3" s="372"/>
      <c r="CK3" s="372"/>
    </row>
    <row r="4" spans="2:89" ht="13.5" customHeight="1">
      <c r="B4" s="18"/>
      <c r="C4" s="225"/>
      <c r="D4" s="225"/>
      <c r="E4" s="225"/>
      <c r="F4" s="225"/>
      <c r="G4" s="225"/>
      <c r="H4" s="225"/>
      <c r="I4" s="225"/>
      <c r="J4" s="225"/>
      <c r="K4" s="225"/>
      <c r="L4" s="225"/>
      <c r="M4" s="225"/>
      <c r="N4" s="225"/>
      <c r="O4" s="225"/>
      <c r="P4" s="225"/>
      <c r="Q4" s="225"/>
      <c r="R4" s="225"/>
      <c r="S4" s="225"/>
      <c r="T4" s="225"/>
      <c r="U4" s="19"/>
      <c r="V4" s="19"/>
      <c r="W4" s="19"/>
      <c r="X4" s="19"/>
      <c r="Y4" s="19"/>
      <c r="Z4" s="19"/>
      <c r="AA4" s="19"/>
      <c r="AB4" s="19"/>
      <c r="AC4" s="19"/>
      <c r="AD4" s="19"/>
      <c r="AE4" s="19"/>
      <c r="AF4" s="19"/>
      <c r="AG4" s="19"/>
      <c r="AH4" s="19"/>
      <c r="AI4" s="20"/>
      <c r="BF4" s="12">
        <v>1</v>
      </c>
      <c r="BH4" s="12" t="str">
        <f>IF($I21="","",$I21)</f>
        <v/>
      </c>
      <c r="BL4" s="370" t="str">
        <f>IF(AP24="","",AP24)</f>
        <v/>
      </c>
      <c r="BM4" s="370"/>
      <c r="BN4" s="370">
        <f>IF(AP27="","",AP27)</f>
        <v>0</v>
      </c>
      <c r="BO4" s="370"/>
      <c r="BP4" s="370" t="str">
        <f>IF(I22="","",I22)</f>
        <v/>
      </c>
      <c r="BQ4" s="370"/>
      <c r="BR4" s="370"/>
      <c r="BS4" s="370"/>
      <c r="BT4" s="370"/>
      <c r="BU4" s="370"/>
      <c r="BV4" s="371" t="str">
        <f>IF(AZ29="","",LEFT(AZ29,LEN(AZ29)-2))</f>
        <v/>
      </c>
      <c r="BW4" s="371"/>
      <c r="BX4" s="371"/>
      <c r="BY4" s="371"/>
      <c r="BZ4" s="371"/>
      <c r="CA4" s="371"/>
      <c r="CH4" s="293">
        <f>IF($BP4="Protection",IF(ISERROR(SEARCH("Limited",$BV4))=TRUE,VALUE($BL4),0),0)</f>
        <v>0</v>
      </c>
      <c r="CI4" s="293"/>
      <c r="CJ4" s="293"/>
      <c r="CK4" s="293"/>
    </row>
    <row r="5" spans="2:8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F5" s="12">
        <v>2</v>
      </c>
      <c r="BH5" s="12" t="str">
        <f>IF($I38="","",$I38)</f>
        <v/>
      </c>
      <c r="BL5" s="370" t="str">
        <f>IF(AP41="","",AP41)</f>
        <v/>
      </c>
      <c r="BM5" s="370"/>
      <c r="BN5" s="370">
        <f>IF(AP44="","",AP44)</f>
        <v>0</v>
      </c>
      <c r="BO5" s="370"/>
      <c r="BP5" s="370" t="str">
        <f>IF(I39="","",I39)</f>
        <v/>
      </c>
      <c r="BQ5" s="370"/>
      <c r="BR5" s="370"/>
      <c r="BS5" s="370"/>
      <c r="BT5" s="370"/>
      <c r="BU5" s="370"/>
      <c r="BV5" s="371" t="str">
        <f>IF(AZ46="","",LEFT(AZ46,LEN(AZ46)-2))</f>
        <v/>
      </c>
      <c r="BW5" s="371"/>
      <c r="BX5" s="371"/>
      <c r="BY5" s="371"/>
      <c r="BZ5" s="371"/>
      <c r="CA5" s="371"/>
      <c r="CH5" s="293">
        <f t="shared" ref="CH5:CH23" si="0">IF($BP5="Protection",IF(ISERROR(SEARCH("Limited",$BV5))=TRUE,VALUE($BL5),0),0)</f>
        <v>0</v>
      </c>
      <c r="CI5" s="293"/>
      <c r="CJ5" s="293"/>
      <c r="CK5" s="293"/>
    </row>
    <row r="6" spans="2:89" ht="13.5" customHeight="1">
      <c r="B6" s="18"/>
      <c r="C6" s="375" t="s">
        <v>624</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BF6" s="12">
        <v>3</v>
      </c>
      <c r="BH6" s="12" t="str">
        <f>IF($I55="","",$I55)</f>
        <v/>
      </c>
      <c r="BL6" s="370" t="str">
        <f>IF(AP58="","",AP58)</f>
        <v/>
      </c>
      <c r="BM6" s="370"/>
      <c r="BN6" s="370">
        <f>IF(AP61="","",AP61)</f>
        <v>0</v>
      </c>
      <c r="BO6" s="370"/>
      <c r="BP6" s="370" t="str">
        <f>IF(I56="","",I56)</f>
        <v/>
      </c>
      <c r="BQ6" s="370"/>
      <c r="BR6" s="370"/>
      <c r="BS6" s="370"/>
      <c r="BT6" s="370"/>
      <c r="BU6" s="370"/>
      <c r="BV6" s="371" t="str">
        <f>IF(AZ63="","",LEFT(AZ63,LEN(AZ63)-2))</f>
        <v/>
      </c>
      <c r="BW6" s="371"/>
      <c r="BX6" s="371"/>
      <c r="BY6" s="371"/>
      <c r="BZ6" s="371"/>
      <c r="CA6" s="371"/>
      <c r="CH6" s="293">
        <f t="shared" si="0"/>
        <v>0</v>
      </c>
      <c r="CI6" s="293"/>
      <c r="CJ6" s="293"/>
      <c r="CK6" s="293"/>
    </row>
    <row r="7" spans="2:89"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BF7" s="12">
        <v>4</v>
      </c>
      <c r="BH7" s="12" t="str">
        <f>IF($I72="","",$I72)</f>
        <v/>
      </c>
      <c r="BL7" s="370" t="str">
        <f>IF(AP75="","",AP75)</f>
        <v/>
      </c>
      <c r="BM7" s="370"/>
      <c r="BN7" s="370">
        <f>IF(AP78="","",AP78)</f>
        <v>0</v>
      </c>
      <c r="BO7" s="370"/>
      <c r="BP7" s="370" t="str">
        <f>IF(I73="","",I73)</f>
        <v/>
      </c>
      <c r="BQ7" s="370"/>
      <c r="BR7" s="370"/>
      <c r="BS7" s="370"/>
      <c r="BT7" s="370"/>
      <c r="BU7" s="370"/>
      <c r="BV7" s="371" t="str">
        <f>IF(AZ80="","",LEFT(AZ80,LEN(AZ80)-2))</f>
        <v/>
      </c>
      <c r="BW7" s="371"/>
      <c r="BX7" s="371"/>
      <c r="BY7" s="371"/>
      <c r="BZ7" s="371"/>
      <c r="CA7" s="371"/>
      <c r="CH7" s="293">
        <f t="shared" si="0"/>
        <v>0</v>
      </c>
      <c r="CI7" s="293"/>
      <c r="CJ7" s="293"/>
      <c r="CK7" s="293"/>
    </row>
    <row r="8" spans="2:89"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BF8" s="12">
        <v>5</v>
      </c>
      <c r="BH8" s="12" t="str">
        <f>IF($I89="","",$I89)</f>
        <v/>
      </c>
      <c r="BL8" s="370" t="str">
        <f>IF(AP92="","",AP92)</f>
        <v/>
      </c>
      <c r="BM8" s="370"/>
      <c r="BN8" s="370">
        <f>IF(AP95="","",AP95)</f>
        <v>0</v>
      </c>
      <c r="BO8" s="370"/>
      <c r="BP8" s="370" t="str">
        <f>IF(I90="","",I90)</f>
        <v/>
      </c>
      <c r="BQ8" s="370"/>
      <c r="BR8" s="370"/>
      <c r="BS8" s="370"/>
      <c r="BT8" s="370"/>
      <c r="BU8" s="370"/>
      <c r="BV8" s="371" t="str">
        <f>IF(AZ97="","",LEFT(AZ97,LEN(AZ97)-2))</f>
        <v/>
      </c>
      <c r="BW8" s="371"/>
      <c r="BX8" s="371"/>
      <c r="BY8" s="371"/>
      <c r="BZ8" s="371"/>
      <c r="CA8" s="371"/>
      <c r="CH8" s="293">
        <f t="shared" si="0"/>
        <v>0</v>
      </c>
      <c r="CI8" s="293"/>
      <c r="CJ8" s="293"/>
      <c r="CK8" s="293"/>
    </row>
    <row r="9" spans="2:89"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BF9" s="12">
        <v>6</v>
      </c>
      <c r="BH9" s="12" t="str">
        <f>IF($I106="","",$I106)</f>
        <v/>
      </c>
      <c r="BL9" s="370" t="str">
        <f>IF(AP109="","",AP109)</f>
        <v/>
      </c>
      <c r="BM9" s="370"/>
      <c r="BN9" s="370">
        <f>IF(AP112="","",AP112)</f>
        <v>0</v>
      </c>
      <c r="BO9" s="370"/>
      <c r="BP9" s="370" t="str">
        <f>IF(I107="","",I107)</f>
        <v/>
      </c>
      <c r="BQ9" s="370"/>
      <c r="BR9" s="370"/>
      <c r="BS9" s="370"/>
      <c r="BT9" s="370"/>
      <c r="BU9" s="370"/>
      <c r="BV9" s="371" t="str">
        <f>IF(AZ114="","",LEFT(AZ114,LEN(AZ114)-2))</f>
        <v/>
      </c>
      <c r="BW9" s="371"/>
      <c r="BX9" s="371"/>
      <c r="BY9" s="371"/>
      <c r="BZ9" s="371"/>
      <c r="CA9" s="371"/>
      <c r="CH9" s="293">
        <f t="shared" si="0"/>
        <v>0</v>
      </c>
      <c r="CI9" s="293"/>
      <c r="CJ9" s="293"/>
      <c r="CK9" s="293"/>
    </row>
    <row r="10" spans="2:89"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BF10" s="12">
        <v>7</v>
      </c>
      <c r="BH10" s="12" t="str">
        <f>IF($I123="","",$I123)</f>
        <v/>
      </c>
      <c r="BL10" s="370" t="str">
        <f>IF(AP126="","",AP126)</f>
        <v/>
      </c>
      <c r="BM10" s="370"/>
      <c r="BN10" s="370">
        <f>IF(AP129="","",AP129)</f>
        <v>0</v>
      </c>
      <c r="BO10" s="370"/>
      <c r="BP10" s="370" t="str">
        <f>IF(I124="","",I124)</f>
        <v/>
      </c>
      <c r="BQ10" s="370"/>
      <c r="BR10" s="370"/>
      <c r="BS10" s="370"/>
      <c r="BT10" s="370"/>
      <c r="BU10" s="370"/>
      <c r="BV10" s="371" t="str">
        <f>IF(AZ131="","",LEFT(AZ131,LEN(AZ131)-2))</f>
        <v/>
      </c>
      <c r="BW10" s="371"/>
      <c r="BX10" s="371"/>
      <c r="BY10" s="371"/>
      <c r="BZ10" s="371"/>
      <c r="CA10" s="371"/>
      <c r="CH10" s="293">
        <f t="shared" si="0"/>
        <v>0</v>
      </c>
      <c r="CI10" s="293"/>
      <c r="CJ10" s="293"/>
      <c r="CK10" s="293"/>
    </row>
    <row r="11" spans="2:8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BF11" s="12">
        <v>8</v>
      </c>
      <c r="BH11" s="12" t="str">
        <f>IF($I140="","",$I140)</f>
        <v/>
      </c>
      <c r="BL11" s="370" t="str">
        <f>IF(AP143="","",AP143)</f>
        <v/>
      </c>
      <c r="BM11" s="370"/>
      <c r="BN11" s="370">
        <f>IF(AP146="","",AP146)</f>
        <v>0</v>
      </c>
      <c r="BO11" s="370"/>
      <c r="BP11" s="370" t="str">
        <f>IF(I141="","",I141)</f>
        <v/>
      </c>
      <c r="BQ11" s="370"/>
      <c r="BR11" s="370"/>
      <c r="BS11" s="370"/>
      <c r="BT11" s="370"/>
      <c r="BU11" s="370"/>
      <c r="BV11" s="371" t="str">
        <f>IF(AZ148="","",LEFT(AZ148,LEN(AZ148)-2))</f>
        <v/>
      </c>
      <c r="BW11" s="371"/>
      <c r="BX11" s="371"/>
      <c r="BY11" s="371"/>
      <c r="BZ11" s="371"/>
      <c r="CA11" s="371"/>
      <c r="CH11" s="293">
        <f t="shared" si="0"/>
        <v>0</v>
      </c>
      <c r="CI11" s="293"/>
      <c r="CJ11" s="293"/>
      <c r="CK11" s="293"/>
    </row>
    <row r="12" spans="2:8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BF12" s="12">
        <v>9</v>
      </c>
      <c r="BH12" s="12" t="str">
        <f>IF($I157="","",$I157)</f>
        <v/>
      </c>
      <c r="BL12" s="370" t="str">
        <f>IF(AP160="","",AP160)</f>
        <v/>
      </c>
      <c r="BM12" s="370"/>
      <c r="BN12" s="370">
        <f>IF(AP163="","",AP163)</f>
        <v>0</v>
      </c>
      <c r="BO12" s="370"/>
      <c r="BP12" s="370" t="str">
        <f>IF(I158="","",I158)</f>
        <v/>
      </c>
      <c r="BQ12" s="370"/>
      <c r="BR12" s="370"/>
      <c r="BS12" s="370"/>
      <c r="BT12" s="370"/>
      <c r="BU12" s="370"/>
      <c r="BV12" s="371" t="str">
        <f>IF(AZ165="","",LEFT(AZ165,LEN(AZ165)-2))</f>
        <v/>
      </c>
      <c r="BW12" s="371"/>
      <c r="BX12" s="371"/>
      <c r="BY12" s="371"/>
      <c r="BZ12" s="371"/>
      <c r="CA12" s="371"/>
      <c r="CH12" s="293">
        <f t="shared" si="0"/>
        <v>0</v>
      </c>
      <c r="CI12" s="293"/>
      <c r="CJ12" s="293"/>
      <c r="CK12" s="293"/>
    </row>
    <row r="13" spans="2:89"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BF13" s="12">
        <v>10</v>
      </c>
      <c r="BH13" s="12" t="str">
        <f>IF($I174="","",$I174)</f>
        <v/>
      </c>
      <c r="BL13" s="370" t="str">
        <f>IF(AP177="","",AP177)</f>
        <v/>
      </c>
      <c r="BM13" s="370"/>
      <c r="BN13" s="370">
        <f>IF(AP180="","",AP180)</f>
        <v>0</v>
      </c>
      <c r="BO13" s="370"/>
      <c r="BP13" s="370" t="str">
        <f>IF(I175="","",I175)</f>
        <v/>
      </c>
      <c r="BQ13" s="370"/>
      <c r="BR13" s="370"/>
      <c r="BS13" s="370"/>
      <c r="BT13" s="370"/>
      <c r="BU13" s="370"/>
      <c r="BV13" s="371" t="str">
        <f>IF(AZ182="","",LEFT(AZ182,LEN(AZ182)-2))</f>
        <v/>
      </c>
      <c r="BW13" s="371"/>
      <c r="BX13" s="371"/>
      <c r="BY13" s="371"/>
      <c r="BZ13" s="371"/>
      <c r="CA13" s="371"/>
      <c r="CH13" s="293">
        <f t="shared" si="0"/>
        <v>0</v>
      </c>
      <c r="CI13" s="293"/>
      <c r="CJ13" s="293"/>
      <c r="CK13" s="293"/>
    </row>
    <row r="14" spans="2:89"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BF14" s="12">
        <v>11</v>
      </c>
      <c r="BH14" s="12" t="str">
        <f>IF($I191="","",$I191)</f>
        <v/>
      </c>
      <c r="BL14" s="370" t="str">
        <f>IF(AP194="","",AP194)</f>
        <v/>
      </c>
      <c r="BM14" s="370"/>
      <c r="BN14" s="370">
        <f>IF($AP197="","",$AP197)</f>
        <v>0</v>
      </c>
      <c r="BO14" s="370"/>
      <c r="BP14" s="370" t="s">
        <v>770</v>
      </c>
      <c r="BQ14" s="370"/>
      <c r="BR14" s="370"/>
      <c r="BS14" s="370"/>
      <c r="BT14" s="370"/>
      <c r="BU14" s="370"/>
      <c r="BV14" s="371" t="str">
        <f>IF(AZ199="","",LEFT(AZ199,LEN(AZ199)-2))</f>
        <v/>
      </c>
      <c r="BW14" s="371"/>
      <c r="BX14" s="371"/>
      <c r="BY14" s="371"/>
      <c r="BZ14" s="371"/>
      <c r="CA14" s="371"/>
      <c r="CH14" s="293">
        <f t="shared" si="0"/>
        <v>0</v>
      </c>
      <c r="CI14" s="293"/>
      <c r="CJ14" s="293"/>
      <c r="CK14" s="293"/>
    </row>
    <row r="15" spans="2:89"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BF15" s="12">
        <v>12</v>
      </c>
      <c r="BH15" s="12" t="str">
        <f>IF($I1208="","",$I208)</f>
        <v/>
      </c>
      <c r="BL15" s="370" t="str">
        <f>IF(AP211="","",AP211)</f>
        <v/>
      </c>
      <c r="BM15" s="370"/>
      <c r="BN15" s="370">
        <f>IF($AP214="","",$AP214)</f>
        <v>0</v>
      </c>
      <c r="BO15" s="370"/>
      <c r="BP15" s="370" t="s">
        <v>770</v>
      </c>
      <c r="BQ15" s="370"/>
      <c r="BR15" s="370"/>
      <c r="BS15" s="370"/>
      <c r="BT15" s="370"/>
      <c r="BU15" s="370"/>
      <c r="BV15" s="371" t="str">
        <f>IF(AZ216="","",LEFT(AZ216,LEN(AZ216)-2))</f>
        <v/>
      </c>
      <c r="BW15" s="371"/>
      <c r="BX15" s="371"/>
      <c r="BY15" s="371"/>
      <c r="BZ15" s="371"/>
      <c r="CA15" s="371"/>
      <c r="CH15" s="293">
        <f t="shared" si="0"/>
        <v>0</v>
      </c>
      <c r="CI15" s="293"/>
      <c r="CJ15" s="293"/>
      <c r="CK15" s="293"/>
    </row>
    <row r="16" spans="2:8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c r="BF16" s="12">
        <v>13</v>
      </c>
      <c r="BH16" s="12" t="str">
        <f>IF($I1225="","",$I225)</f>
        <v/>
      </c>
      <c r="BL16" s="370" t="str">
        <f>IF(AP228="","",AP228)</f>
        <v/>
      </c>
      <c r="BM16" s="370"/>
      <c r="BN16" s="370">
        <f>IF($AP231="","",$AP231)</f>
        <v>0</v>
      </c>
      <c r="BO16" s="370"/>
      <c r="BP16" s="370" t="s">
        <v>770</v>
      </c>
      <c r="BQ16" s="370"/>
      <c r="BR16" s="370"/>
      <c r="BS16" s="370"/>
      <c r="BT16" s="370"/>
      <c r="BU16" s="370"/>
      <c r="BV16" s="371" t="str">
        <f>IF(AZ233="","",LEFT(AZ233,LEN(AZ233)-2))</f>
        <v/>
      </c>
      <c r="BW16" s="371"/>
      <c r="BX16" s="371"/>
      <c r="BY16" s="371"/>
      <c r="BZ16" s="371"/>
      <c r="CA16" s="371"/>
      <c r="CH16" s="293">
        <f t="shared" si="0"/>
        <v>0</v>
      </c>
      <c r="CI16" s="293"/>
      <c r="CJ16" s="293"/>
      <c r="CK16" s="293"/>
    </row>
    <row r="17" spans="2:89" ht="13.5" customHeight="1">
      <c r="B17" s="18"/>
      <c r="C17" s="380"/>
      <c r="D17" s="381"/>
      <c r="E17" s="381"/>
      <c r="F17" s="381"/>
      <c r="G17" s="381"/>
      <c r="H17" s="381"/>
      <c r="I17" s="381"/>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2"/>
      <c r="AI17" s="20"/>
      <c r="BF17" s="12">
        <v>14</v>
      </c>
      <c r="BH17" s="12" t="str">
        <f>IF($I1242="","",$I242)</f>
        <v/>
      </c>
      <c r="BL17" s="370" t="str">
        <f>IF(AP245="","",AP245)</f>
        <v/>
      </c>
      <c r="BM17" s="370"/>
      <c r="BN17" s="370">
        <f>IF($AP248="","",$AP248)</f>
        <v>0</v>
      </c>
      <c r="BO17" s="370"/>
      <c r="BP17" s="370" t="s">
        <v>770</v>
      </c>
      <c r="BQ17" s="370"/>
      <c r="BR17" s="370"/>
      <c r="BS17" s="370"/>
      <c r="BT17" s="370"/>
      <c r="BU17" s="370"/>
      <c r="BV17" s="371" t="str">
        <f>IF(AZ250="","",LEFT(AZ250,LEN(AZ250)-2))</f>
        <v/>
      </c>
      <c r="BW17" s="371"/>
      <c r="BX17" s="371"/>
      <c r="BY17" s="371"/>
      <c r="BZ17" s="371"/>
      <c r="CA17" s="371"/>
      <c r="CH17" s="293">
        <f t="shared" si="0"/>
        <v>0</v>
      </c>
      <c r="CI17" s="293"/>
      <c r="CJ17" s="293"/>
      <c r="CK17" s="293"/>
    </row>
    <row r="18" spans="2:8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BF18" s="12">
        <v>15</v>
      </c>
      <c r="BH18" s="12" t="str">
        <f>IF($I1259="","",$I259)</f>
        <v/>
      </c>
      <c r="BL18" s="370" t="str">
        <f>IF(AP262="","",AP262)</f>
        <v/>
      </c>
      <c r="BM18" s="370"/>
      <c r="BN18" s="370">
        <f>IF($AP265="","",$AP265)</f>
        <v>0</v>
      </c>
      <c r="BO18" s="370"/>
      <c r="BP18" s="370" t="s">
        <v>770</v>
      </c>
      <c r="BQ18" s="370"/>
      <c r="BR18" s="370"/>
      <c r="BS18" s="370"/>
      <c r="BT18" s="370"/>
      <c r="BU18" s="370"/>
      <c r="BV18" s="371" t="str">
        <f>IF(AZ267="","",LEFT(AZ267,LEN(AZ267)-2))</f>
        <v/>
      </c>
      <c r="BW18" s="371"/>
      <c r="BX18" s="371"/>
      <c r="BY18" s="371"/>
      <c r="BZ18" s="371"/>
      <c r="CA18" s="371"/>
      <c r="CH18" s="293">
        <f t="shared" si="0"/>
        <v>0</v>
      </c>
      <c r="CI18" s="293"/>
      <c r="CJ18" s="293"/>
      <c r="CK18" s="293"/>
    </row>
    <row r="19" spans="2:8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F19" s="12">
        <v>16</v>
      </c>
      <c r="BH19" s="12" t="str">
        <f>IF($I1276="","",$I276)</f>
        <v/>
      </c>
      <c r="BL19" s="370" t="str">
        <f>IF(AP279="","",AP279)</f>
        <v/>
      </c>
      <c r="BM19" s="370"/>
      <c r="BN19" s="370">
        <f>IF($AP282="","",$AP282)</f>
        <v>0</v>
      </c>
      <c r="BO19" s="370"/>
      <c r="BP19" s="370" t="s">
        <v>770</v>
      </c>
      <c r="BQ19" s="370"/>
      <c r="BR19" s="370"/>
      <c r="BS19" s="370"/>
      <c r="BT19" s="370"/>
      <c r="BU19" s="370"/>
      <c r="BV19" s="371" t="str">
        <f>IF(AZ284="","",LEFT(AZ284,LEN(AZ284)-2))</f>
        <v/>
      </c>
      <c r="BW19" s="371"/>
      <c r="BX19" s="371"/>
      <c r="BY19" s="371"/>
      <c r="BZ19" s="371"/>
      <c r="CA19" s="371"/>
      <c r="CH19" s="293">
        <f t="shared" si="0"/>
        <v>0</v>
      </c>
      <c r="CI19" s="293"/>
      <c r="CJ19" s="293"/>
      <c r="CK19" s="293"/>
    </row>
    <row r="20" spans="2:8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F20" s="12">
        <v>17</v>
      </c>
      <c r="BH20" s="12" t="str">
        <f>IF($I1293="","",$I293)</f>
        <v/>
      </c>
      <c r="BL20" s="370" t="str">
        <f>IF(AP296="","",AP296)</f>
        <v/>
      </c>
      <c r="BM20" s="370"/>
      <c r="BN20" s="370">
        <f>IF($AP299="","",$AP299)</f>
        <v>0</v>
      </c>
      <c r="BO20" s="370"/>
      <c r="BP20" s="370" t="s">
        <v>770</v>
      </c>
      <c r="BQ20" s="370"/>
      <c r="BR20" s="370"/>
      <c r="BS20" s="370"/>
      <c r="BT20" s="370"/>
      <c r="BU20" s="370"/>
      <c r="BV20" s="371" t="str">
        <f>IF(AZ301="","",LEFT(AZ301,LEN(AZ301)-2))</f>
        <v/>
      </c>
      <c r="BW20" s="371"/>
      <c r="BX20" s="371"/>
      <c r="BY20" s="371"/>
      <c r="BZ20" s="371"/>
      <c r="CA20" s="371"/>
      <c r="CH20" s="293">
        <f t="shared" si="0"/>
        <v>0</v>
      </c>
      <c r="CI20" s="293"/>
      <c r="CJ20" s="293"/>
      <c r="CK20" s="293"/>
    </row>
    <row r="21" spans="2:89" ht="13.5" customHeight="1" thickBot="1">
      <c r="B21" s="18"/>
      <c r="C21" s="19" t="s">
        <v>387</v>
      </c>
      <c r="D21" s="19"/>
      <c r="E21" s="19"/>
      <c r="F21" s="19"/>
      <c r="G21" s="19"/>
      <c r="H21" s="19"/>
      <c r="I21" s="294"/>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
      </c>
      <c r="AE21" s="253"/>
      <c r="AF21" s="253"/>
      <c r="AG21" s="253"/>
      <c r="AH21" s="254"/>
      <c r="AI21" s="19"/>
      <c r="AJ21" s="19" t="s">
        <v>403</v>
      </c>
      <c r="AK21" s="19"/>
      <c r="AL21" s="19"/>
      <c r="AM21" s="19"/>
      <c r="AN21" s="19"/>
      <c r="AO21" s="19"/>
      <c r="AP21" s="278"/>
      <c r="AQ21" s="279"/>
      <c r="AR21" s="279"/>
      <c r="AS21" s="280"/>
      <c r="AT21" s="20"/>
      <c r="AZ21" s="147" t="s">
        <v>850</v>
      </c>
      <c r="BA21" s="148"/>
      <c r="BB21" s="148"/>
      <c r="BC21" s="354">
        <f>AP21+AP22-ABS(AP23)</f>
        <v>0</v>
      </c>
      <c r="BD21" s="354"/>
      <c r="BE21" s="355"/>
      <c r="BF21" s="12">
        <v>18</v>
      </c>
      <c r="BH21" s="12" t="str">
        <f>IF($I1310="","",$I310)</f>
        <v/>
      </c>
      <c r="BL21" s="370" t="str">
        <f>IF(AP313="","",AP313)</f>
        <v/>
      </c>
      <c r="BM21" s="370"/>
      <c r="BN21" s="370">
        <f>IF($AP316="","",$AP316)</f>
        <v>0</v>
      </c>
      <c r="BO21" s="370"/>
      <c r="BP21" s="370" t="s">
        <v>770</v>
      </c>
      <c r="BQ21" s="370"/>
      <c r="BR21" s="370"/>
      <c r="BS21" s="370"/>
      <c r="BT21" s="370"/>
      <c r="BU21" s="370"/>
      <c r="BV21" s="371" t="str">
        <f>IF(AZ318="","",LEFT(AZ318,LEN(AZ318)-2))</f>
        <v/>
      </c>
      <c r="BW21" s="371"/>
      <c r="BX21" s="371"/>
      <c r="BY21" s="371"/>
      <c r="BZ21" s="371"/>
      <c r="CA21" s="371"/>
      <c r="CH21" s="293">
        <f t="shared" si="0"/>
        <v>0</v>
      </c>
      <c r="CI21" s="293"/>
      <c r="CJ21" s="293"/>
      <c r="CK21" s="293"/>
    </row>
    <row r="22" spans="2:89" ht="13.5" customHeight="1" thickBot="1">
      <c r="B22" s="18"/>
      <c r="C22" s="19" t="s">
        <v>388</v>
      </c>
      <c r="D22" s="19"/>
      <c r="E22" s="19"/>
      <c r="F22" s="19"/>
      <c r="G22" s="19"/>
      <c r="H22" s="19"/>
      <c r="I22" s="305"/>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
      </c>
      <c r="AE22" s="253"/>
      <c r="AF22" s="253"/>
      <c r="AG22" s="253"/>
      <c r="AH22" s="254"/>
      <c r="AI22" s="19"/>
      <c r="AJ22" s="19" t="s">
        <v>404</v>
      </c>
      <c r="AK22" s="19"/>
      <c r="AL22" s="19"/>
      <c r="AM22" s="19"/>
      <c r="AN22" s="19"/>
      <c r="AO22" s="19"/>
      <c r="AP22" s="263"/>
      <c r="AQ22" s="264"/>
      <c r="AR22" s="264"/>
      <c r="AS22" s="265"/>
      <c r="AT22" s="20"/>
      <c r="AZ22" s="149" t="s">
        <v>851</v>
      </c>
      <c r="BA22" s="14"/>
      <c r="BB22" s="14"/>
      <c r="BC22" s="356" t="str">
        <f>IF(I22="Custom","TRUE","FALSE")</f>
        <v>FALSE</v>
      </c>
      <c r="BD22" s="356"/>
      <c r="BE22" s="357"/>
      <c r="BF22" s="12">
        <v>19</v>
      </c>
      <c r="BH22" s="12" t="str">
        <f>IF($I1327="","",$I327)</f>
        <v/>
      </c>
      <c r="BL22" s="370" t="str">
        <f>IF(AP330="","",AP330)</f>
        <v/>
      </c>
      <c r="BM22" s="370"/>
      <c r="BN22" s="370">
        <f>IF($AP333="","",$AP333)</f>
        <v>0</v>
      </c>
      <c r="BO22" s="370"/>
      <c r="BP22" s="370" t="s">
        <v>770</v>
      </c>
      <c r="BQ22" s="370"/>
      <c r="BR22" s="370"/>
      <c r="BS22" s="370"/>
      <c r="BT22" s="370"/>
      <c r="BU22" s="370"/>
      <c r="BV22" s="371" t="str">
        <f>IF(AZ335="","",LEFT(AZ335,LEN(AZ335)-2))</f>
        <v/>
      </c>
      <c r="BW22" s="371"/>
      <c r="BX22" s="371"/>
      <c r="BY22" s="371"/>
      <c r="BZ22" s="371"/>
      <c r="CA22" s="371"/>
      <c r="CH22" s="293">
        <f t="shared" si="0"/>
        <v>0</v>
      </c>
      <c r="CI22" s="293"/>
      <c r="CJ22" s="293"/>
      <c r="CK22" s="293"/>
    </row>
    <row r="23" spans="2:89" ht="13.5" customHeight="1" thickBot="1">
      <c r="B23" s="18"/>
      <c r="C23" s="19" t="s">
        <v>394</v>
      </c>
      <c r="D23" s="19"/>
      <c r="E23" s="19"/>
      <c r="F23" s="19"/>
      <c r="G23" s="19"/>
      <c r="H23" s="19"/>
      <c r="I23" s="373" t="str">
        <f>IF(I22="","",VLOOKUP(I22,PowerEffectsChart,33,FALSE))</f>
        <v/>
      </c>
      <c r="J23" s="272"/>
      <c r="K23" s="272"/>
      <c r="L23" s="374"/>
      <c r="M23" s="19"/>
      <c r="N23" s="19"/>
      <c r="O23" s="19"/>
      <c r="P23" s="19"/>
      <c r="Q23" s="19"/>
      <c r="R23" s="19"/>
      <c r="S23" s="19"/>
      <c r="T23" s="19"/>
      <c r="U23" s="19"/>
      <c r="V23" s="19"/>
      <c r="W23" s="19"/>
      <c r="X23" s="19"/>
      <c r="Y23" s="19"/>
      <c r="Z23" s="19" t="s">
        <v>391</v>
      </c>
      <c r="AA23" s="19"/>
      <c r="AB23" s="19"/>
      <c r="AC23" s="19"/>
      <c r="AD23" s="252" t="str">
        <f>IF(I22="","",VLOOKUP(I22,PowerEffectsChart,18,FALSE))</f>
        <v/>
      </c>
      <c r="AE23" s="253"/>
      <c r="AF23" s="253"/>
      <c r="AG23" s="253"/>
      <c r="AH23" s="254"/>
      <c r="AI23" s="19"/>
      <c r="AJ23" s="19" t="s">
        <v>405</v>
      </c>
      <c r="AK23" s="19"/>
      <c r="AL23" s="19"/>
      <c r="AM23" s="19"/>
      <c r="AN23" s="19"/>
      <c r="AO23" s="19"/>
      <c r="AP23" s="278"/>
      <c r="AQ23" s="279"/>
      <c r="AR23" s="279"/>
      <c r="AS23" s="280"/>
      <c r="AT23" s="20"/>
      <c r="AZ23" s="149" t="s">
        <v>852</v>
      </c>
      <c r="BA23" s="14"/>
      <c r="BB23" s="14"/>
      <c r="BC23" s="356" t="str">
        <f>IF(I21="","",IF(BC21&gt;0,BC21,IF(BC22="TRUE",BC21,VLOOKUP(BC21,$BU$28:$BY$36,3,FALSE))))</f>
        <v/>
      </c>
      <c r="BD23" s="356"/>
      <c r="BE23" s="357"/>
      <c r="BF23" s="12">
        <v>20</v>
      </c>
      <c r="BH23" s="12" t="str">
        <f>IF($I344="","",$I344)</f>
        <v/>
      </c>
      <c r="BL23" s="370" t="str">
        <f>IF(AP347="","",AP347)</f>
        <v/>
      </c>
      <c r="BM23" s="370"/>
      <c r="BN23" s="370">
        <f>IF($AP350="","",$AP350)</f>
        <v>0</v>
      </c>
      <c r="BO23" s="370"/>
      <c r="BP23" s="370" t="s">
        <v>770</v>
      </c>
      <c r="BQ23" s="370"/>
      <c r="BR23" s="370"/>
      <c r="BS23" s="370"/>
      <c r="BT23" s="370"/>
      <c r="BU23" s="370"/>
      <c r="BV23" s="371" t="str">
        <f>IF(AZ352="","",LEFT(AZ352,LEN(AZ352)-2))</f>
        <v/>
      </c>
      <c r="BW23" s="371"/>
      <c r="BX23" s="371"/>
      <c r="BY23" s="371"/>
      <c r="BZ23" s="371"/>
      <c r="CA23" s="371"/>
      <c r="CH23" s="293">
        <f t="shared" si="0"/>
        <v>0</v>
      </c>
      <c r="CI23" s="293"/>
      <c r="CJ23" s="293"/>
      <c r="CK23" s="293"/>
    </row>
    <row r="24" spans="2:89" ht="13.5" customHeight="1" thickBot="1">
      <c r="B24" s="18"/>
      <c r="C24" s="19" t="s">
        <v>395</v>
      </c>
      <c r="D24" s="19"/>
      <c r="E24" s="19"/>
      <c r="F24" s="19"/>
      <c r="G24" s="19"/>
      <c r="H24" s="19"/>
      <c r="I24" s="360" t="str">
        <f>IF(I22="","",VLOOKUP(I22,PowerEffectsChart,38,FALSE))</f>
        <v/>
      </c>
      <c r="J24" s="361"/>
      <c r="K24" s="361"/>
      <c r="L24" s="361"/>
      <c r="M24" s="361"/>
      <c r="N24" s="361"/>
      <c r="O24" s="361"/>
      <c r="P24" s="361"/>
      <c r="Q24" s="361"/>
      <c r="R24" s="361"/>
      <c r="S24" s="361"/>
      <c r="T24" s="361"/>
      <c r="U24" s="361"/>
      <c r="V24" s="361"/>
      <c r="W24" s="361"/>
      <c r="X24" s="362"/>
      <c r="Y24" s="19"/>
      <c r="Z24" s="19" t="s">
        <v>392</v>
      </c>
      <c r="AA24" s="19"/>
      <c r="AB24" s="19"/>
      <c r="AC24" s="19"/>
      <c r="AD24" s="252" t="str">
        <f>IF(I22="","",VLOOKUP(I22,PowerEffectsChart,23,FALSE))</f>
        <v/>
      </c>
      <c r="AE24" s="253"/>
      <c r="AF24" s="253"/>
      <c r="AG24" s="253"/>
      <c r="AH24" s="254"/>
      <c r="AI24" s="19"/>
      <c r="AJ24" s="19" t="s">
        <v>406</v>
      </c>
      <c r="AK24" s="19"/>
      <c r="AL24" s="19"/>
      <c r="AM24" s="19"/>
      <c r="AN24" s="19"/>
      <c r="AO24" s="19"/>
      <c r="AP24" s="263"/>
      <c r="AQ24" s="264"/>
      <c r="AR24" s="264"/>
      <c r="AS24" s="265"/>
      <c r="AT24" s="20"/>
      <c r="AZ24" s="149" t="s">
        <v>853</v>
      </c>
      <c r="BA24" s="14"/>
      <c r="BB24" s="14"/>
      <c r="BC24" s="356" t="str">
        <f>IF(I21="","",AP24*BC23)</f>
        <v/>
      </c>
      <c r="BD24" s="356"/>
      <c r="BE24" s="357"/>
      <c r="CH24" s="293">
        <f>MAX(CH4:CK23)</f>
        <v>0</v>
      </c>
      <c r="CI24" s="293"/>
      <c r="CJ24" s="293"/>
      <c r="CK24" s="293"/>
    </row>
    <row r="25" spans="2:89" ht="13.5" customHeight="1" thickBot="1">
      <c r="B25" s="18"/>
      <c r="C25" s="19"/>
      <c r="D25" s="19"/>
      <c r="E25" s="19"/>
      <c r="F25" s="19"/>
      <c r="G25" s="19"/>
      <c r="H25" s="19"/>
      <c r="I25" s="363"/>
      <c r="J25" s="364"/>
      <c r="K25" s="364"/>
      <c r="L25" s="364"/>
      <c r="M25" s="364"/>
      <c r="N25" s="364"/>
      <c r="O25" s="364"/>
      <c r="P25" s="364"/>
      <c r="Q25" s="364"/>
      <c r="R25" s="364"/>
      <c r="S25" s="364"/>
      <c r="T25" s="364"/>
      <c r="U25" s="364"/>
      <c r="V25" s="364"/>
      <c r="W25" s="364"/>
      <c r="X25" s="365"/>
      <c r="Y25" s="19"/>
      <c r="Z25" s="19" t="s">
        <v>393</v>
      </c>
      <c r="AA25" s="19"/>
      <c r="AB25" s="19"/>
      <c r="AC25" s="19"/>
      <c r="AD25" s="252" t="str">
        <f>IF(I22="","",VLOOKUP(I22,PowerEffectsChart,28,FALSE))</f>
        <v/>
      </c>
      <c r="AE25" s="253"/>
      <c r="AF25" s="253"/>
      <c r="AG25" s="253"/>
      <c r="AH25" s="254"/>
      <c r="AI25" s="19"/>
      <c r="AJ25" s="19" t="s">
        <v>407</v>
      </c>
      <c r="AK25" s="19"/>
      <c r="AL25" s="19"/>
      <c r="AM25" s="19"/>
      <c r="AN25" s="19"/>
      <c r="AO25" s="19"/>
      <c r="AP25" s="278"/>
      <c r="AQ25" s="279"/>
      <c r="AR25" s="279"/>
      <c r="AS25" s="280"/>
      <c r="AT25" s="20"/>
      <c r="AZ25" s="149" t="s">
        <v>423</v>
      </c>
      <c r="BA25" s="14"/>
      <c r="BB25" s="14"/>
      <c r="BC25" s="356">
        <f>AP25</f>
        <v>0</v>
      </c>
      <c r="BD25" s="356"/>
      <c r="BE25" s="357"/>
      <c r="CH25" s="402" t="s">
        <v>1285</v>
      </c>
      <c r="CI25" s="402"/>
      <c r="CJ25" s="402"/>
      <c r="CK25" s="402"/>
    </row>
    <row r="26" spans="2:89" ht="13.5" customHeight="1" thickBot="1">
      <c r="B26" s="18"/>
      <c r="C26" s="19"/>
      <c r="D26" s="19"/>
      <c r="E26" s="19"/>
      <c r="F26" s="19"/>
      <c r="G26" s="19"/>
      <c r="H26" s="19"/>
      <c r="I26" s="363"/>
      <c r="J26" s="364"/>
      <c r="K26" s="364"/>
      <c r="L26" s="364"/>
      <c r="M26" s="364"/>
      <c r="N26" s="364"/>
      <c r="O26" s="364"/>
      <c r="P26" s="364"/>
      <c r="Q26" s="364"/>
      <c r="R26" s="364"/>
      <c r="S26" s="364"/>
      <c r="T26" s="364"/>
      <c r="U26" s="364"/>
      <c r="V26" s="364"/>
      <c r="W26" s="364"/>
      <c r="X26" s="365"/>
      <c r="Y26" s="19"/>
      <c r="Z26" s="19"/>
      <c r="AA26" s="19"/>
      <c r="AB26" s="19"/>
      <c r="AC26" s="19"/>
      <c r="AD26" s="19"/>
      <c r="AE26" s="19"/>
      <c r="AF26" s="19"/>
      <c r="AG26" s="19"/>
      <c r="AH26" s="19"/>
      <c r="AI26" s="19"/>
      <c r="AJ26" s="19"/>
      <c r="AK26" s="19"/>
      <c r="AL26" s="19"/>
      <c r="AM26" s="19"/>
      <c r="AN26" s="19"/>
      <c r="AO26" s="19"/>
      <c r="AP26" s="19"/>
      <c r="AQ26" s="19"/>
      <c r="AR26" s="19"/>
      <c r="AS26" s="19"/>
      <c r="AT26" s="20"/>
      <c r="AZ26" s="149"/>
      <c r="BA26" s="14"/>
      <c r="BB26" s="14"/>
      <c r="BC26" s="14"/>
      <c r="BD26" s="14"/>
      <c r="BE26" s="150"/>
      <c r="CH26" s="402"/>
      <c r="CI26" s="402"/>
      <c r="CJ26" s="402"/>
      <c r="CK26" s="402"/>
    </row>
    <row r="27" spans="2:89" ht="13.5" customHeight="1" thickBot="1">
      <c r="B27" s="18"/>
      <c r="C27" s="19" t="s">
        <v>396</v>
      </c>
      <c r="D27" s="19"/>
      <c r="E27" s="19"/>
      <c r="F27" s="19"/>
      <c r="G27" s="19"/>
      <c r="H27" s="19"/>
      <c r="I27" s="339" t="str">
        <f>IF(I22="","",VLOOKUP(I22,PowerEffectsChart,58,FALSE))</f>
        <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BC27</f>
        <v>0</v>
      </c>
      <c r="AQ27" s="253"/>
      <c r="AR27" s="253"/>
      <c r="AS27" s="254"/>
      <c r="AT27" s="20"/>
      <c r="AZ27" s="151" t="s">
        <v>37</v>
      </c>
      <c r="BA27" s="152"/>
      <c r="BB27" s="152"/>
      <c r="BC27" s="358">
        <f>IF(I21="",0,BC24+BC25)</f>
        <v>0</v>
      </c>
      <c r="BD27" s="358"/>
      <c r="BE27" s="359"/>
      <c r="BU27" s="12" t="s">
        <v>840</v>
      </c>
      <c r="CH27" s="402"/>
      <c r="CI27" s="402"/>
      <c r="CJ27" s="402"/>
      <c r="CK27" s="402"/>
    </row>
    <row r="28" spans="2:89" ht="13.5" customHeight="1" thickBot="1">
      <c r="B28" s="18"/>
      <c r="C28" s="19" t="s">
        <v>397</v>
      </c>
      <c r="D28" s="19"/>
      <c r="E28" s="19"/>
      <c r="F28" s="19"/>
      <c r="G28" s="19"/>
      <c r="H28" s="19"/>
      <c r="I28" s="339" t="str">
        <f>IF(I22="","",VLOOKUP(I22,PowerEffectsChart,78,FALSE))</f>
        <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AZ28" s="12" t="s">
        <v>619</v>
      </c>
      <c r="BU28" s="12">
        <v>0</v>
      </c>
      <c r="BW28" s="293">
        <f>1/2</f>
        <v>0.5</v>
      </c>
      <c r="BX28" s="293"/>
      <c r="BY28" s="293"/>
    </row>
    <row r="29" spans="2:89" ht="13.5" customHeight="1" thickBot="1">
      <c r="B29" s="18"/>
      <c r="C29" s="19" t="s">
        <v>398</v>
      </c>
      <c r="D29" s="19"/>
      <c r="E29" s="19"/>
      <c r="F29" s="19"/>
      <c r="G29" s="19"/>
      <c r="H29" s="19"/>
      <c r="I29" s="339" t="str">
        <f>IF(I22="","",VLOOKUP(I22,PowerEffectsChart,98,FALSE))</f>
        <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AZ29" s="346" t="str">
        <f>IF(Basics!$U$37="NO",IF(J31="","",J31&amp;"; "),IF(J31="","",J31&amp;"; ")&amp;IF(J32="","",J32&amp;"; ")&amp;IF(J33="","",J33&amp;"; ")&amp;IF(J34="","",J34&amp;"; "))</f>
        <v/>
      </c>
      <c r="BA29" s="347"/>
      <c r="BB29" s="347"/>
      <c r="BC29" s="347"/>
      <c r="BD29" s="347"/>
      <c r="BE29" s="348"/>
      <c r="BU29" s="12">
        <v>-1</v>
      </c>
      <c r="BW29" s="293">
        <f>1/3</f>
        <v>0.33333333333333331</v>
      </c>
      <c r="BX29" s="293"/>
      <c r="BY29" s="293"/>
    </row>
    <row r="30" spans="2:8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AZ30" s="349"/>
      <c r="BA30" s="334"/>
      <c r="BB30" s="334"/>
      <c r="BC30" s="334"/>
      <c r="BD30" s="334"/>
      <c r="BE30" s="350"/>
      <c r="BU30" s="12">
        <v>-2</v>
      </c>
      <c r="BW30" s="383">
        <f>1/4</f>
        <v>0.25</v>
      </c>
      <c r="BX30" s="383"/>
      <c r="BY30" s="383"/>
    </row>
    <row r="31" spans="2:89" ht="13.5" customHeight="1" thickBot="1">
      <c r="B31" s="18"/>
      <c r="C31" s="19" t="s">
        <v>399</v>
      </c>
      <c r="D31" s="19"/>
      <c r="E31" s="19"/>
      <c r="F31" s="19"/>
      <c r="G31" s="19"/>
      <c r="H31" s="19"/>
      <c r="I31" s="19"/>
      <c r="J31" s="294"/>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AZ31" s="349"/>
      <c r="BA31" s="334"/>
      <c r="BB31" s="334"/>
      <c r="BC31" s="334"/>
      <c r="BD31" s="334"/>
      <c r="BE31" s="350"/>
      <c r="BU31" s="12">
        <v>-3</v>
      </c>
      <c r="BW31" s="293">
        <f t="shared" ref="BW31:BW36" si="1">1/5</f>
        <v>0.2</v>
      </c>
      <c r="BX31" s="293"/>
      <c r="BY31" s="293"/>
    </row>
    <row r="32" spans="2:89" ht="13.5" customHeight="1" thickBot="1">
      <c r="B32" s="18"/>
      <c r="C32" s="19" t="s">
        <v>400</v>
      </c>
      <c r="D32" s="19"/>
      <c r="E32" s="19"/>
      <c r="F32" s="19"/>
      <c r="G32" s="19"/>
      <c r="H32" s="19"/>
      <c r="I32" s="19"/>
      <c r="J32" s="305"/>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AZ32" s="349"/>
      <c r="BA32" s="334"/>
      <c r="BB32" s="334"/>
      <c r="BC32" s="334"/>
      <c r="BD32" s="334"/>
      <c r="BE32" s="350"/>
      <c r="BU32" s="12">
        <v>-4</v>
      </c>
      <c r="BW32" s="293">
        <f t="shared" si="1"/>
        <v>0.2</v>
      </c>
      <c r="BX32" s="293"/>
      <c r="BY32" s="293"/>
    </row>
    <row r="33" spans="2:77"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AZ33" s="349"/>
      <c r="BA33" s="334"/>
      <c r="BB33" s="334"/>
      <c r="BC33" s="334"/>
      <c r="BD33" s="334"/>
      <c r="BE33" s="350"/>
      <c r="BU33" s="12">
        <v>-5</v>
      </c>
      <c r="BW33" s="293">
        <f t="shared" si="1"/>
        <v>0.2</v>
      </c>
      <c r="BX33" s="293"/>
      <c r="BY33" s="293"/>
    </row>
    <row r="34" spans="2:77"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AZ34" s="349"/>
      <c r="BA34" s="334"/>
      <c r="BB34" s="334"/>
      <c r="BC34" s="334"/>
      <c r="BD34" s="334"/>
      <c r="BE34" s="350"/>
      <c r="BU34" s="12">
        <v>-6</v>
      </c>
      <c r="BW34" s="293">
        <f t="shared" si="1"/>
        <v>0.2</v>
      </c>
      <c r="BX34" s="293"/>
      <c r="BY34" s="293"/>
    </row>
    <row r="35" spans="2:77"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AZ35" s="351"/>
      <c r="BA35" s="352"/>
      <c r="BB35" s="352"/>
      <c r="BC35" s="352"/>
      <c r="BD35" s="352"/>
      <c r="BE35" s="353"/>
      <c r="BU35" s="12">
        <v>-7</v>
      </c>
      <c r="BW35" s="293">
        <f t="shared" si="1"/>
        <v>0.2</v>
      </c>
      <c r="BX35" s="293"/>
      <c r="BY35" s="293"/>
    </row>
    <row r="36" spans="2:77" ht="13.5" customHeight="1" thickBot="1">
      <c r="BU36" s="12">
        <v>-8</v>
      </c>
      <c r="BW36" s="293">
        <f t="shared" si="1"/>
        <v>0.2</v>
      </c>
      <c r="BX36" s="293"/>
      <c r="BY36" s="293"/>
    </row>
    <row r="37" spans="2:77"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7" ht="13.5" customHeight="1" thickBot="1">
      <c r="B38" s="18"/>
      <c r="C38" s="19" t="s">
        <v>387</v>
      </c>
      <c r="D38" s="19"/>
      <c r="E38" s="19"/>
      <c r="F38" s="19"/>
      <c r="G38" s="19"/>
      <c r="H38" s="19"/>
      <c r="I38" s="294"/>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
      </c>
      <c r="AE38" s="253"/>
      <c r="AF38" s="253"/>
      <c r="AG38" s="253"/>
      <c r="AH38" s="254"/>
      <c r="AI38" s="19"/>
      <c r="AJ38" s="19" t="s">
        <v>403</v>
      </c>
      <c r="AK38" s="19"/>
      <c r="AL38" s="19"/>
      <c r="AM38" s="19"/>
      <c r="AN38" s="19"/>
      <c r="AO38" s="19"/>
      <c r="AP38" s="278"/>
      <c r="AQ38" s="279"/>
      <c r="AR38" s="279"/>
      <c r="AS38" s="280"/>
      <c r="AT38" s="20"/>
      <c r="AZ38" s="147" t="s">
        <v>850</v>
      </c>
      <c r="BA38" s="148"/>
      <c r="BB38" s="148"/>
      <c r="BC38" s="354">
        <f>AP38+AP39-ABS(AP40)</f>
        <v>0</v>
      </c>
      <c r="BD38" s="354"/>
      <c r="BE38" s="355"/>
    </row>
    <row r="39" spans="2:77" ht="13.5" customHeight="1" thickBot="1">
      <c r="B39" s="18"/>
      <c r="C39" s="19" t="s">
        <v>388</v>
      </c>
      <c r="D39" s="19"/>
      <c r="E39" s="19"/>
      <c r="F39" s="19"/>
      <c r="G39" s="19"/>
      <c r="H39" s="19"/>
      <c r="I39" s="305"/>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
      </c>
      <c r="AE39" s="253"/>
      <c r="AF39" s="253"/>
      <c r="AG39" s="253"/>
      <c r="AH39" s="254"/>
      <c r="AI39" s="19"/>
      <c r="AJ39" s="19" t="s">
        <v>404</v>
      </c>
      <c r="AK39" s="19"/>
      <c r="AL39" s="19"/>
      <c r="AM39" s="19"/>
      <c r="AN39" s="19"/>
      <c r="AO39" s="19"/>
      <c r="AP39" s="263"/>
      <c r="AQ39" s="264"/>
      <c r="AR39" s="264"/>
      <c r="AS39" s="265"/>
      <c r="AT39" s="20"/>
      <c r="AZ39" s="149" t="s">
        <v>851</v>
      </c>
      <c r="BA39" s="14"/>
      <c r="BB39" s="14"/>
      <c r="BC39" s="356" t="str">
        <f>IF(I39="Custom","TRUE","FALSE")</f>
        <v>FALSE</v>
      </c>
      <c r="BD39" s="356"/>
      <c r="BE39" s="357"/>
    </row>
    <row r="40" spans="2:77" ht="13.5" customHeight="1" thickBot="1">
      <c r="B40" s="18"/>
      <c r="C40" s="19" t="s">
        <v>394</v>
      </c>
      <c r="D40" s="19"/>
      <c r="E40" s="19"/>
      <c r="F40" s="19"/>
      <c r="G40" s="19"/>
      <c r="H40" s="19"/>
      <c r="I40" s="373" t="str">
        <f>IF(I39="","",VLOOKUP(I39,PowerEffectsChart,33,FALSE))</f>
        <v/>
      </c>
      <c r="J40" s="272"/>
      <c r="K40" s="272"/>
      <c r="L40" s="374"/>
      <c r="M40" s="19"/>
      <c r="N40" s="19"/>
      <c r="O40" s="19"/>
      <c r="P40" s="19"/>
      <c r="Q40" s="19"/>
      <c r="R40" s="19"/>
      <c r="S40" s="19"/>
      <c r="T40" s="19"/>
      <c r="U40" s="19"/>
      <c r="V40" s="19"/>
      <c r="W40" s="19"/>
      <c r="X40" s="19"/>
      <c r="Y40" s="19"/>
      <c r="Z40" s="19" t="s">
        <v>391</v>
      </c>
      <c r="AA40" s="19"/>
      <c r="AB40" s="19"/>
      <c r="AC40" s="19"/>
      <c r="AD40" s="252" t="str">
        <f>IF(I39="","",VLOOKUP(I39,PowerEffectsChart,18,FALSE))</f>
        <v/>
      </c>
      <c r="AE40" s="253"/>
      <c r="AF40" s="253"/>
      <c r="AG40" s="253"/>
      <c r="AH40" s="254"/>
      <c r="AI40" s="19"/>
      <c r="AJ40" s="19" t="s">
        <v>405</v>
      </c>
      <c r="AK40" s="19"/>
      <c r="AL40" s="19"/>
      <c r="AM40" s="19"/>
      <c r="AN40" s="19"/>
      <c r="AO40" s="19"/>
      <c r="AP40" s="278"/>
      <c r="AQ40" s="279"/>
      <c r="AR40" s="279"/>
      <c r="AS40" s="280"/>
      <c r="AT40" s="20"/>
      <c r="AZ40" s="149" t="s">
        <v>852</v>
      </c>
      <c r="BA40" s="14"/>
      <c r="BB40" s="14"/>
      <c r="BC40" s="356" t="str">
        <f>IF(I38="","",IF(BC38&gt;0,BC38,IF(BC39="TRUE",BC38,VLOOKUP(BC38,$BU$28:$BY$36,3,FALSE))))</f>
        <v/>
      </c>
      <c r="BD40" s="356"/>
      <c r="BE40" s="357"/>
    </row>
    <row r="41" spans="2:77" ht="13.5" customHeight="1" thickBot="1">
      <c r="B41" s="18"/>
      <c r="C41" s="19" t="s">
        <v>395</v>
      </c>
      <c r="D41" s="19"/>
      <c r="E41" s="19"/>
      <c r="F41" s="19"/>
      <c r="G41" s="19"/>
      <c r="H41" s="19"/>
      <c r="I41" s="360" t="str">
        <f>IF(I39="","",VLOOKUP(I39,PowerEffectsChart,38,FALSE))</f>
        <v/>
      </c>
      <c r="J41" s="361"/>
      <c r="K41" s="361"/>
      <c r="L41" s="361"/>
      <c r="M41" s="361"/>
      <c r="N41" s="361"/>
      <c r="O41" s="361"/>
      <c r="P41" s="361"/>
      <c r="Q41" s="361"/>
      <c r="R41" s="361"/>
      <c r="S41" s="361"/>
      <c r="T41" s="361"/>
      <c r="U41" s="361"/>
      <c r="V41" s="361"/>
      <c r="W41" s="361"/>
      <c r="X41" s="362"/>
      <c r="Y41" s="19"/>
      <c r="Z41" s="19" t="s">
        <v>392</v>
      </c>
      <c r="AA41" s="19"/>
      <c r="AB41" s="19"/>
      <c r="AC41" s="19"/>
      <c r="AD41" s="252" t="str">
        <f>IF(I39="","",VLOOKUP(I39,PowerEffectsChart,23,FALSE))</f>
        <v/>
      </c>
      <c r="AE41" s="253"/>
      <c r="AF41" s="253"/>
      <c r="AG41" s="253"/>
      <c r="AH41" s="254"/>
      <c r="AI41" s="19"/>
      <c r="AJ41" s="19" t="s">
        <v>406</v>
      </c>
      <c r="AK41" s="19"/>
      <c r="AL41" s="19"/>
      <c r="AM41" s="19"/>
      <c r="AN41" s="19"/>
      <c r="AO41" s="19"/>
      <c r="AP41" s="263"/>
      <c r="AQ41" s="264"/>
      <c r="AR41" s="264"/>
      <c r="AS41" s="265"/>
      <c r="AT41" s="20"/>
      <c r="AZ41" s="149" t="s">
        <v>853</v>
      </c>
      <c r="BA41" s="14"/>
      <c r="BB41" s="14"/>
      <c r="BC41" s="356" t="str">
        <f>IF(I38="","",AP41*BC40)</f>
        <v/>
      </c>
      <c r="BD41" s="356"/>
      <c r="BE41" s="357"/>
    </row>
    <row r="42" spans="2:77" ht="13.5" customHeight="1" thickBot="1">
      <c r="B42" s="18"/>
      <c r="C42" s="19"/>
      <c r="D42" s="19"/>
      <c r="E42" s="19"/>
      <c r="F42" s="19"/>
      <c r="G42" s="19"/>
      <c r="H42" s="19"/>
      <c r="I42" s="363"/>
      <c r="J42" s="364"/>
      <c r="K42" s="364"/>
      <c r="L42" s="364"/>
      <c r="M42" s="364"/>
      <c r="N42" s="364"/>
      <c r="O42" s="364"/>
      <c r="P42" s="364"/>
      <c r="Q42" s="364"/>
      <c r="R42" s="364"/>
      <c r="S42" s="364"/>
      <c r="T42" s="364"/>
      <c r="U42" s="364"/>
      <c r="V42" s="364"/>
      <c r="W42" s="364"/>
      <c r="X42" s="365"/>
      <c r="Y42" s="19"/>
      <c r="Z42" s="19" t="s">
        <v>393</v>
      </c>
      <c r="AA42" s="19"/>
      <c r="AB42" s="19"/>
      <c r="AC42" s="19"/>
      <c r="AD42" s="252" t="str">
        <f>IF(I39="","",VLOOKUP(I39,PowerEffectsChart,28,FALSE))</f>
        <v/>
      </c>
      <c r="AE42" s="253"/>
      <c r="AF42" s="253"/>
      <c r="AG42" s="253"/>
      <c r="AH42" s="254"/>
      <c r="AI42" s="19"/>
      <c r="AJ42" s="19" t="s">
        <v>407</v>
      </c>
      <c r="AK42" s="19"/>
      <c r="AL42" s="19"/>
      <c r="AM42" s="19"/>
      <c r="AN42" s="19"/>
      <c r="AO42" s="19"/>
      <c r="AP42" s="278"/>
      <c r="AQ42" s="279"/>
      <c r="AR42" s="279"/>
      <c r="AS42" s="280"/>
      <c r="AT42" s="20"/>
      <c r="AZ42" s="149" t="s">
        <v>423</v>
      </c>
      <c r="BA42" s="14"/>
      <c r="BB42" s="14"/>
      <c r="BC42" s="356">
        <f>AP42</f>
        <v>0</v>
      </c>
      <c r="BD42" s="356"/>
      <c r="BE42" s="357"/>
    </row>
    <row r="43" spans="2:77" ht="13.5" customHeight="1" thickBot="1">
      <c r="B43" s="18"/>
      <c r="C43" s="19"/>
      <c r="D43" s="19"/>
      <c r="E43" s="19"/>
      <c r="F43" s="19"/>
      <c r="G43" s="19"/>
      <c r="H43" s="19"/>
      <c r="I43" s="363"/>
      <c r="J43" s="364"/>
      <c r="K43" s="364"/>
      <c r="L43" s="364"/>
      <c r="M43" s="364"/>
      <c r="N43" s="364"/>
      <c r="O43" s="364"/>
      <c r="P43" s="364"/>
      <c r="Q43" s="364"/>
      <c r="R43" s="364"/>
      <c r="S43" s="364"/>
      <c r="T43" s="364"/>
      <c r="U43" s="364"/>
      <c r="V43" s="364"/>
      <c r="W43" s="364"/>
      <c r="X43" s="365"/>
      <c r="Y43" s="19"/>
      <c r="Z43" s="19"/>
      <c r="AA43" s="19"/>
      <c r="AB43" s="19"/>
      <c r="AC43" s="19"/>
      <c r="AD43" s="19"/>
      <c r="AE43" s="19"/>
      <c r="AF43" s="19"/>
      <c r="AG43" s="19"/>
      <c r="AH43" s="19"/>
      <c r="AI43" s="19"/>
      <c r="AJ43" s="19"/>
      <c r="AK43" s="19"/>
      <c r="AL43" s="19"/>
      <c r="AM43" s="19"/>
      <c r="AN43" s="19"/>
      <c r="AO43" s="19"/>
      <c r="AP43" s="19"/>
      <c r="AQ43" s="19"/>
      <c r="AR43" s="19"/>
      <c r="AS43" s="19"/>
      <c r="AT43" s="20"/>
      <c r="AZ43" s="149"/>
      <c r="BA43" s="14"/>
      <c r="BB43" s="14"/>
      <c r="BC43" s="14"/>
      <c r="BD43" s="14"/>
      <c r="BE43" s="150"/>
    </row>
    <row r="44" spans="2:77" ht="13.5" customHeight="1" thickBot="1">
      <c r="B44" s="18"/>
      <c r="C44" s="19" t="s">
        <v>396</v>
      </c>
      <c r="D44" s="19"/>
      <c r="E44" s="19"/>
      <c r="F44" s="19"/>
      <c r="G44" s="19"/>
      <c r="H44" s="19"/>
      <c r="I44" s="339" t="str">
        <f>IF(I39="","",VLOOKUP(I39,PowerEffectsChart,58,FALSE))</f>
        <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BC44</f>
        <v>0</v>
      </c>
      <c r="AQ44" s="253"/>
      <c r="AR44" s="253"/>
      <c r="AS44" s="254"/>
      <c r="AT44" s="20"/>
      <c r="AZ44" s="151" t="s">
        <v>37</v>
      </c>
      <c r="BA44" s="152"/>
      <c r="BB44" s="152"/>
      <c r="BC44" s="358">
        <f>IF(I38="",0,BC41+BC42)</f>
        <v>0</v>
      </c>
      <c r="BD44" s="358"/>
      <c r="BE44" s="359"/>
    </row>
    <row r="45" spans="2:77" ht="13.5" customHeight="1" thickBot="1">
      <c r="B45" s="18"/>
      <c r="C45" s="19" t="s">
        <v>397</v>
      </c>
      <c r="D45" s="19"/>
      <c r="E45" s="19"/>
      <c r="F45" s="19"/>
      <c r="G45" s="19"/>
      <c r="H45" s="19"/>
      <c r="I45" s="339" t="str">
        <f>IF(I39="","",VLOOKUP(I39,PowerEffectsChart,78,FALSE))</f>
        <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AZ45" s="12" t="s">
        <v>619</v>
      </c>
    </row>
    <row r="46" spans="2:77" ht="13.5" customHeight="1" thickBot="1">
      <c r="B46" s="18"/>
      <c r="C46" s="19" t="s">
        <v>398</v>
      </c>
      <c r="D46" s="19"/>
      <c r="E46" s="19"/>
      <c r="F46" s="19"/>
      <c r="G46" s="19"/>
      <c r="H46" s="19"/>
      <c r="I46" s="339" t="str">
        <f>IF(I39="","",VLOOKUP(I39,PowerEffectsChart,98,FALSE))</f>
        <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AZ46" s="346" t="str">
        <f>IF(Basics!$U$37="NO",IF(J48="","",J48&amp;"; "),IF(J48="","",J48&amp;"; ")&amp;IF(J49="","",J49&amp;"; ")&amp;IF(J50="","",J50&amp;"; ")&amp;IF(J51="","",J51&amp;"; "))</f>
        <v/>
      </c>
      <c r="BA46" s="347"/>
      <c r="BB46" s="347"/>
      <c r="BC46" s="347"/>
      <c r="BD46" s="347"/>
      <c r="BE46" s="348"/>
    </row>
    <row r="47" spans="2:77"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AZ47" s="349"/>
      <c r="BA47" s="334"/>
      <c r="BB47" s="334"/>
      <c r="BC47" s="334"/>
      <c r="BD47" s="334"/>
      <c r="BE47" s="350"/>
    </row>
    <row r="48" spans="2:77"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AZ48" s="349"/>
      <c r="BA48" s="334"/>
      <c r="BB48" s="334"/>
      <c r="BC48" s="334"/>
      <c r="BD48" s="334"/>
      <c r="BE48" s="350"/>
    </row>
    <row r="49" spans="2:57"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AZ49" s="349"/>
      <c r="BA49" s="334"/>
      <c r="BB49" s="334"/>
      <c r="BC49" s="334"/>
      <c r="BD49" s="334"/>
      <c r="BE49" s="350"/>
    </row>
    <row r="50" spans="2:57"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AZ50" s="349"/>
      <c r="BA50" s="334"/>
      <c r="BB50" s="334"/>
      <c r="BC50" s="334"/>
      <c r="BD50" s="334"/>
      <c r="BE50" s="350"/>
    </row>
    <row r="51" spans="2:57"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AZ51" s="349"/>
      <c r="BA51" s="334"/>
      <c r="BB51" s="334"/>
      <c r="BC51" s="334"/>
      <c r="BD51" s="334"/>
      <c r="BE51" s="350"/>
    </row>
    <row r="52" spans="2:57"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AZ52" s="351"/>
      <c r="BA52" s="352"/>
      <c r="BB52" s="352"/>
      <c r="BC52" s="352"/>
      <c r="BD52" s="352"/>
      <c r="BE52" s="353"/>
    </row>
    <row r="53" spans="2:57" ht="13.5" customHeight="1" thickBot="1"/>
    <row r="54" spans="2:57"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57" ht="13.5" customHeight="1" thickBot="1">
      <c r="B55" s="18"/>
      <c r="C55" s="19" t="s">
        <v>387</v>
      </c>
      <c r="D55" s="19"/>
      <c r="E55" s="19"/>
      <c r="F55" s="19"/>
      <c r="G55" s="19"/>
      <c r="H55" s="19"/>
      <c r="I55" s="294"/>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
      </c>
      <c r="AE55" s="253"/>
      <c r="AF55" s="253"/>
      <c r="AG55" s="253"/>
      <c r="AH55" s="254"/>
      <c r="AI55" s="19"/>
      <c r="AJ55" s="19" t="s">
        <v>403</v>
      </c>
      <c r="AK55" s="19"/>
      <c r="AL55" s="19"/>
      <c r="AM55" s="19"/>
      <c r="AN55" s="19"/>
      <c r="AO55" s="19"/>
      <c r="AP55" s="278"/>
      <c r="AQ55" s="279"/>
      <c r="AR55" s="279"/>
      <c r="AS55" s="280"/>
      <c r="AT55" s="20"/>
      <c r="AZ55" s="147" t="s">
        <v>850</v>
      </c>
      <c r="BA55" s="148"/>
      <c r="BB55" s="148"/>
      <c r="BC55" s="354">
        <f>AP55+AP56-ABS(AP57)</f>
        <v>0</v>
      </c>
      <c r="BD55" s="354"/>
      <c r="BE55" s="355"/>
    </row>
    <row r="56" spans="2:57" ht="13.5" customHeight="1" thickBot="1">
      <c r="B56" s="18"/>
      <c r="C56" s="19" t="s">
        <v>388</v>
      </c>
      <c r="D56" s="19"/>
      <c r="E56" s="19"/>
      <c r="F56" s="19"/>
      <c r="G56" s="19"/>
      <c r="H56" s="19"/>
      <c r="I56" s="305"/>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
      </c>
      <c r="AE56" s="253"/>
      <c r="AF56" s="253"/>
      <c r="AG56" s="253"/>
      <c r="AH56" s="254"/>
      <c r="AI56" s="19"/>
      <c r="AJ56" s="19" t="s">
        <v>404</v>
      </c>
      <c r="AK56" s="19"/>
      <c r="AL56" s="19"/>
      <c r="AM56" s="19"/>
      <c r="AN56" s="19"/>
      <c r="AO56" s="19"/>
      <c r="AP56" s="263"/>
      <c r="AQ56" s="264"/>
      <c r="AR56" s="264"/>
      <c r="AS56" s="265"/>
      <c r="AT56" s="20"/>
      <c r="AZ56" s="149" t="s">
        <v>851</v>
      </c>
      <c r="BA56" s="14"/>
      <c r="BB56" s="14"/>
      <c r="BC56" s="356" t="str">
        <f>IF(I56="Custom","TRUE","FALSE")</f>
        <v>FALSE</v>
      </c>
      <c r="BD56" s="356"/>
      <c r="BE56" s="357"/>
    </row>
    <row r="57" spans="2:57" ht="13.5" customHeight="1" thickBot="1">
      <c r="B57" s="18"/>
      <c r="C57" s="19" t="s">
        <v>394</v>
      </c>
      <c r="D57" s="19"/>
      <c r="E57" s="19"/>
      <c r="F57" s="19"/>
      <c r="G57" s="19"/>
      <c r="H57" s="19"/>
      <c r="I57" s="373" t="str">
        <f>IF(I56="","",VLOOKUP(I56,PowerEffectsChart,33,FALSE))</f>
        <v/>
      </c>
      <c r="J57" s="272"/>
      <c r="K57" s="272"/>
      <c r="L57" s="374"/>
      <c r="M57" s="19"/>
      <c r="N57" s="19"/>
      <c r="O57" s="19"/>
      <c r="P57" s="19"/>
      <c r="Q57" s="19"/>
      <c r="R57" s="19"/>
      <c r="S57" s="19"/>
      <c r="T57" s="19"/>
      <c r="U57" s="19"/>
      <c r="V57" s="19"/>
      <c r="W57" s="19"/>
      <c r="X57" s="19"/>
      <c r="Y57" s="19"/>
      <c r="Z57" s="19" t="s">
        <v>391</v>
      </c>
      <c r="AA57" s="19"/>
      <c r="AB57" s="19"/>
      <c r="AC57" s="19"/>
      <c r="AD57" s="252" t="str">
        <f>IF(I56="","",VLOOKUP(I56,PowerEffectsChart,18,FALSE))</f>
        <v/>
      </c>
      <c r="AE57" s="253"/>
      <c r="AF57" s="253"/>
      <c r="AG57" s="253"/>
      <c r="AH57" s="254"/>
      <c r="AI57" s="19"/>
      <c r="AJ57" s="19" t="s">
        <v>405</v>
      </c>
      <c r="AK57" s="19"/>
      <c r="AL57" s="19"/>
      <c r="AM57" s="19"/>
      <c r="AN57" s="19"/>
      <c r="AO57" s="19"/>
      <c r="AP57" s="278"/>
      <c r="AQ57" s="279"/>
      <c r="AR57" s="279"/>
      <c r="AS57" s="280"/>
      <c r="AT57" s="20"/>
      <c r="AZ57" s="149" t="s">
        <v>852</v>
      </c>
      <c r="BA57" s="14"/>
      <c r="BB57" s="14"/>
      <c r="BC57" s="356" t="str">
        <f>IF(I55="","",IF(BC55&gt;0,BC55,IF(BC56="TRUE",BC55,VLOOKUP(BC55,$BU$28:$BY$36,3,FALSE))))</f>
        <v/>
      </c>
      <c r="BD57" s="356"/>
      <c r="BE57" s="357"/>
    </row>
    <row r="58" spans="2:57" ht="13.5" customHeight="1" thickBot="1">
      <c r="B58" s="18"/>
      <c r="C58" s="19" t="s">
        <v>395</v>
      </c>
      <c r="D58" s="19"/>
      <c r="E58" s="19"/>
      <c r="F58" s="19"/>
      <c r="G58" s="19"/>
      <c r="H58" s="19"/>
      <c r="I58" s="360" t="str">
        <f>IF(I56="","",VLOOKUP(I56,PowerEffectsChart,38,FALSE))</f>
        <v/>
      </c>
      <c r="J58" s="361"/>
      <c r="K58" s="361"/>
      <c r="L58" s="361"/>
      <c r="M58" s="361"/>
      <c r="N58" s="361"/>
      <c r="O58" s="361"/>
      <c r="P58" s="361"/>
      <c r="Q58" s="361"/>
      <c r="R58" s="361"/>
      <c r="S58" s="361"/>
      <c r="T58" s="361"/>
      <c r="U58" s="361"/>
      <c r="V58" s="361"/>
      <c r="W58" s="361"/>
      <c r="X58" s="362"/>
      <c r="Y58" s="19"/>
      <c r="Z58" s="19" t="s">
        <v>392</v>
      </c>
      <c r="AA58" s="19"/>
      <c r="AB58" s="19"/>
      <c r="AC58" s="19"/>
      <c r="AD58" s="252" t="str">
        <f>IF(I56="","",VLOOKUP(I56,PowerEffectsChart,23,FALSE))</f>
        <v/>
      </c>
      <c r="AE58" s="253"/>
      <c r="AF58" s="253"/>
      <c r="AG58" s="253"/>
      <c r="AH58" s="254"/>
      <c r="AI58" s="19"/>
      <c r="AJ58" s="19" t="s">
        <v>406</v>
      </c>
      <c r="AK58" s="19"/>
      <c r="AL58" s="19"/>
      <c r="AM58" s="19"/>
      <c r="AN58" s="19"/>
      <c r="AO58" s="19"/>
      <c r="AP58" s="263"/>
      <c r="AQ58" s="264"/>
      <c r="AR58" s="264"/>
      <c r="AS58" s="265"/>
      <c r="AT58" s="20"/>
      <c r="AZ58" s="149" t="s">
        <v>853</v>
      </c>
      <c r="BA58" s="14"/>
      <c r="BB58" s="14"/>
      <c r="BC58" s="356" t="str">
        <f>IF(I55="","",AP58*BC57)</f>
        <v/>
      </c>
      <c r="BD58" s="356"/>
      <c r="BE58" s="357"/>
    </row>
    <row r="59" spans="2:57" ht="13.5" customHeight="1" thickBot="1">
      <c r="B59" s="18"/>
      <c r="C59" s="19"/>
      <c r="D59" s="19"/>
      <c r="E59" s="19"/>
      <c r="F59" s="19"/>
      <c r="G59" s="19"/>
      <c r="H59" s="19"/>
      <c r="I59" s="363"/>
      <c r="J59" s="364"/>
      <c r="K59" s="364"/>
      <c r="L59" s="364"/>
      <c r="M59" s="364"/>
      <c r="N59" s="364"/>
      <c r="O59" s="364"/>
      <c r="P59" s="364"/>
      <c r="Q59" s="364"/>
      <c r="R59" s="364"/>
      <c r="S59" s="364"/>
      <c r="T59" s="364"/>
      <c r="U59" s="364"/>
      <c r="V59" s="364"/>
      <c r="W59" s="364"/>
      <c r="X59" s="365"/>
      <c r="Y59" s="19"/>
      <c r="Z59" s="19" t="s">
        <v>393</v>
      </c>
      <c r="AA59" s="19"/>
      <c r="AB59" s="19"/>
      <c r="AC59" s="19"/>
      <c r="AD59" s="252" t="str">
        <f>IF(I56="","",VLOOKUP(I56,PowerEffectsChart,28,FALSE))</f>
        <v/>
      </c>
      <c r="AE59" s="253"/>
      <c r="AF59" s="253"/>
      <c r="AG59" s="253"/>
      <c r="AH59" s="254"/>
      <c r="AI59" s="19"/>
      <c r="AJ59" s="19" t="s">
        <v>407</v>
      </c>
      <c r="AK59" s="19"/>
      <c r="AL59" s="19"/>
      <c r="AM59" s="19"/>
      <c r="AN59" s="19"/>
      <c r="AO59" s="19"/>
      <c r="AP59" s="278"/>
      <c r="AQ59" s="279"/>
      <c r="AR59" s="279"/>
      <c r="AS59" s="280"/>
      <c r="AT59" s="20"/>
      <c r="AZ59" s="149" t="s">
        <v>423</v>
      </c>
      <c r="BA59" s="14"/>
      <c r="BB59" s="14"/>
      <c r="BC59" s="356">
        <f>AP59</f>
        <v>0</v>
      </c>
      <c r="BD59" s="356"/>
      <c r="BE59" s="357"/>
    </row>
    <row r="60" spans="2:57" ht="13.5" customHeight="1" thickBot="1">
      <c r="B60" s="18"/>
      <c r="C60" s="19"/>
      <c r="D60" s="19"/>
      <c r="E60" s="19"/>
      <c r="F60" s="19"/>
      <c r="G60" s="19"/>
      <c r="H60" s="19"/>
      <c r="I60" s="363"/>
      <c r="J60" s="364"/>
      <c r="K60" s="364"/>
      <c r="L60" s="364"/>
      <c r="M60" s="364"/>
      <c r="N60" s="364"/>
      <c r="O60" s="364"/>
      <c r="P60" s="364"/>
      <c r="Q60" s="364"/>
      <c r="R60" s="364"/>
      <c r="S60" s="364"/>
      <c r="T60" s="364"/>
      <c r="U60" s="364"/>
      <c r="V60" s="364"/>
      <c r="W60" s="364"/>
      <c r="X60" s="365"/>
      <c r="Y60" s="19"/>
      <c r="Z60" s="19"/>
      <c r="AA60" s="19"/>
      <c r="AB60" s="19"/>
      <c r="AC60" s="19"/>
      <c r="AD60" s="19"/>
      <c r="AE60" s="19"/>
      <c r="AF60" s="19"/>
      <c r="AG60" s="19"/>
      <c r="AH60" s="19"/>
      <c r="AI60" s="19"/>
      <c r="AJ60" s="19"/>
      <c r="AK60" s="19"/>
      <c r="AL60" s="19"/>
      <c r="AM60" s="19"/>
      <c r="AN60" s="19"/>
      <c r="AO60" s="19"/>
      <c r="AP60" s="19"/>
      <c r="AQ60" s="19"/>
      <c r="AR60" s="19"/>
      <c r="AS60" s="19"/>
      <c r="AT60" s="20"/>
      <c r="AZ60" s="149"/>
      <c r="BA60" s="14"/>
      <c r="BB60" s="14"/>
      <c r="BC60" s="14"/>
      <c r="BD60" s="14"/>
      <c r="BE60" s="150"/>
    </row>
    <row r="61" spans="2:57" ht="13.5" customHeight="1" thickBot="1">
      <c r="B61" s="18"/>
      <c r="C61" s="19" t="s">
        <v>396</v>
      </c>
      <c r="D61" s="19"/>
      <c r="E61" s="19"/>
      <c r="F61" s="19"/>
      <c r="G61" s="19"/>
      <c r="H61" s="19"/>
      <c r="I61" s="339" t="str">
        <f>IF(I56="","",VLOOKUP(I56,PowerEffectsChart,58,FALSE))</f>
        <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BC61</f>
        <v>0</v>
      </c>
      <c r="AQ61" s="253"/>
      <c r="AR61" s="253"/>
      <c r="AS61" s="254"/>
      <c r="AT61" s="20"/>
      <c r="AZ61" s="151" t="s">
        <v>37</v>
      </c>
      <c r="BA61" s="152"/>
      <c r="BB61" s="152"/>
      <c r="BC61" s="358">
        <f>IF(I55="",0,BC58+BC59)</f>
        <v>0</v>
      </c>
      <c r="BD61" s="358"/>
      <c r="BE61" s="359"/>
    </row>
    <row r="62" spans="2:57" ht="13.5" customHeight="1" thickBot="1">
      <c r="B62" s="18"/>
      <c r="C62" s="19" t="s">
        <v>397</v>
      </c>
      <c r="D62" s="19"/>
      <c r="E62" s="19"/>
      <c r="F62" s="19"/>
      <c r="G62" s="19"/>
      <c r="H62" s="19"/>
      <c r="I62" s="339" t="str">
        <f>IF(I56="","",VLOOKUP(I56,PowerEffectsChart,78,FALSE))</f>
        <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AZ62" s="12" t="s">
        <v>619</v>
      </c>
    </row>
    <row r="63" spans="2:57" ht="13.5" customHeight="1" thickBot="1">
      <c r="B63" s="18"/>
      <c r="C63" s="19" t="s">
        <v>398</v>
      </c>
      <c r="D63" s="19"/>
      <c r="E63" s="19"/>
      <c r="F63" s="19"/>
      <c r="G63" s="19"/>
      <c r="H63" s="19"/>
      <c r="I63" s="339" t="str">
        <f>IF(I56="","",VLOOKUP(I56,PowerEffectsChart,98,FALSE))</f>
        <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AZ63" s="346" t="str">
        <f>IF(Basics!$U$37="NO",IF(J65="","",J65&amp;"; "),IF(J65="","",J65&amp;"; ")&amp;IF(J66="","",J66&amp;"; ")&amp;IF(J67="","",J67&amp;"; ")&amp;IF(J68="","",J68&amp;"; "))</f>
        <v/>
      </c>
      <c r="BA63" s="347"/>
      <c r="BB63" s="347"/>
      <c r="BC63" s="347"/>
      <c r="BD63" s="347"/>
      <c r="BE63" s="348"/>
    </row>
    <row r="64" spans="2:57"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AZ64" s="349"/>
      <c r="BA64" s="334"/>
      <c r="BB64" s="334"/>
      <c r="BC64" s="334"/>
      <c r="BD64" s="334"/>
      <c r="BE64" s="350"/>
    </row>
    <row r="65" spans="2:57"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AZ65" s="349"/>
      <c r="BA65" s="334"/>
      <c r="BB65" s="334"/>
      <c r="BC65" s="334"/>
      <c r="BD65" s="334"/>
      <c r="BE65" s="350"/>
    </row>
    <row r="66" spans="2:57"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AZ66" s="349"/>
      <c r="BA66" s="334"/>
      <c r="BB66" s="334"/>
      <c r="BC66" s="334"/>
      <c r="BD66" s="334"/>
      <c r="BE66" s="350"/>
    </row>
    <row r="67" spans="2:57"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AZ67" s="349"/>
      <c r="BA67" s="334"/>
      <c r="BB67" s="334"/>
      <c r="BC67" s="334"/>
      <c r="BD67" s="334"/>
      <c r="BE67" s="350"/>
    </row>
    <row r="68" spans="2:57"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AZ68" s="349"/>
      <c r="BA68" s="334"/>
      <c r="BB68" s="334"/>
      <c r="BC68" s="334"/>
      <c r="BD68" s="334"/>
      <c r="BE68" s="350"/>
    </row>
    <row r="69" spans="2:57"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AZ69" s="351"/>
      <c r="BA69" s="352"/>
      <c r="BB69" s="352"/>
      <c r="BC69" s="352"/>
      <c r="BD69" s="352"/>
      <c r="BE69" s="353"/>
    </row>
    <row r="70" spans="2:57" ht="13.5" customHeight="1" thickBot="1"/>
    <row r="71" spans="2:57"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57"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AZ72" s="147" t="s">
        <v>850</v>
      </c>
      <c r="BA72" s="148"/>
      <c r="BB72" s="148"/>
      <c r="BC72" s="354">
        <f>AP72+AP73-ABS(AP74)</f>
        <v>0</v>
      </c>
      <c r="BD72" s="354"/>
      <c r="BE72" s="355"/>
    </row>
    <row r="73" spans="2:57"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AZ73" s="149" t="s">
        <v>851</v>
      </c>
      <c r="BA73" s="14"/>
      <c r="BB73" s="14"/>
      <c r="BC73" s="356" t="str">
        <f>IF(I73="Custom","TRUE","FALSE")</f>
        <v>FALSE</v>
      </c>
      <c r="BD73" s="356"/>
      <c r="BE73" s="357"/>
    </row>
    <row r="74" spans="2:57" ht="13.5" customHeight="1" thickBot="1">
      <c r="B74" s="18"/>
      <c r="C74" s="19" t="s">
        <v>394</v>
      </c>
      <c r="D74" s="19"/>
      <c r="E74" s="19"/>
      <c r="F74" s="19"/>
      <c r="G74" s="19"/>
      <c r="H74" s="19"/>
      <c r="I74" s="373" t="str">
        <f>IF(I73="","",VLOOKUP(I73,PowerEffectsChart,33,FALSE))</f>
        <v/>
      </c>
      <c r="J74" s="272"/>
      <c r="K74" s="272"/>
      <c r="L74" s="374"/>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AZ74" s="149" t="s">
        <v>852</v>
      </c>
      <c r="BA74" s="14"/>
      <c r="BB74" s="14"/>
      <c r="BC74" s="356" t="str">
        <f>IF(I72="","",IF(BC72&gt;0,BC72,IF(BC73="TRUE",BC72,VLOOKUP(BC72,$BU$28:$BY$36,3,FALSE))))</f>
        <v/>
      </c>
      <c r="BD74" s="356"/>
      <c r="BE74" s="357"/>
    </row>
    <row r="75" spans="2:57" ht="13.5" customHeight="1" thickBot="1">
      <c r="B75" s="18"/>
      <c r="C75" s="19" t="s">
        <v>395</v>
      </c>
      <c r="D75" s="19"/>
      <c r="E75" s="19"/>
      <c r="F75" s="19"/>
      <c r="G75" s="19"/>
      <c r="H75" s="19"/>
      <c r="I75" s="360" t="str">
        <f>IF(I73="","",VLOOKUP(I73,PowerEffectsChart,38,FALSE))</f>
        <v/>
      </c>
      <c r="J75" s="361"/>
      <c r="K75" s="361"/>
      <c r="L75" s="361"/>
      <c r="M75" s="361"/>
      <c r="N75" s="361"/>
      <c r="O75" s="361"/>
      <c r="P75" s="361"/>
      <c r="Q75" s="361"/>
      <c r="R75" s="361"/>
      <c r="S75" s="361"/>
      <c r="T75" s="361"/>
      <c r="U75" s="361"/>
      <c r="V75" s="361"/>
      <c r="W75" s="361"/>
      <c r="X75" s="362"/>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AZ75" s="149" t="s">
        <v>853</v>
      </c>
      <c r="BA75" s="14"/>
      <c r="BB75" s="14"/>
      <c r="BC75" s="356" t="str">
        <f>IF(I72="","",AP75*BC74)</f>
        <v/>
      </c>
      <c r="BD75" s="356"/>
      <c r="BE75" s="357"/>
    </row>
    <row r="76" spans="2:57" ht="13.5" customHeight="1" thickBot="1">
      <c r="B76" s="18"/>
      <c r="C76" s="19"/>
      <c r="D76" s="19"/>
      <c r="E76" s="19"/>
      <c r="F76" s="19"/>
      <c r="G76" s="19"/>
      <c r="H76" s="19"/>
      <c r="I76" s="363"/>
      <c r="J76" s="364"/>
      <c r="K76" s="364"/>
      <c r="L76" s="364"/>
      <c r="M76" s="364"/>
      <c r="N76" s="364"/>
      <c r="O76" s="364"/>
      <c r="P76" s="364"/>
      <c r="Q76" s="364"/>
      <c r="R76" s="364"/>
      <c r="S76" s="364"/>
      <c r="T76" s="364"/>
      <c r="U76" s="364"/>
      <c r="V76" s="364"/>
      <c r="W76" s="364"/>
      <c r="X76" s="365"/>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AZ76" s="149" t="s">
        <v>423</v>
      </c>
      <c r="BA76" s="14"/>
      <c r="BB76" s="14"/>
      <c r="BC76" s="356">
        <f>AP76</f>
        <v>0</v>
      </c>
      <c r="BD76" s="356"/>
      <c r="BE76" s="357"/>
    </row>
    <row r="77" spans="2:57" ht="13.5" customHeight="1" thickBot="1">
      <c r="B77" s="18"/>
      <c r="C77" s="19"/>
      <c r="D77" s="19"/>
      <c r="E77" s="19"/>
      <c r="F77" s="19"/>
      <c r="G77" s="19"/>
      <c r="H77" s="19"/>
      <c r="I77" s="363"/>
      <c r="J77" s="364"/>
      <c r="K77" s="364"/>
      <c r="L77" s="364"/>
      <c r="M77" s="364"/>
      <c r="N77" s="364"/>
      <c r="O77" s="364"/>
      <c r="P77" s="364"/>
      <c r="Q77" s="364"/>
      <c r="R77" s="364"/>
      <c r="S77" s="364"/>
      <c r="T77" s="364"/>
      <c r="U77" s="364"/>
      <c r="V77" s="364"/>
      <c r="W77" s="364"/>
      <c r="X77" s="365"/>
      <c r="Y77" s="19"/>
      <c r="Z77" s="19"/>
      <c r="AA77" s="19"/>
      <c r="AB77" s="19"/>
      <c r="AC77" s="19"/>
      <c r="AD77" s="19"/>
      <c r="AE77" s="19"/>
      <c r="AF77" s="19"/>
      <c r="AG77" s="19"/>
      <c r="AH77" s="19"/>
      <c r="AI77" s="19"/>
      <c r="AJ77" s="19"/>
      <c r="AK77" s="19"/>
      <c r="AL77" s="19"/>
      <c r="AM77" s="19"/>
      <c r="AN77" s="19"/>
      <c r="AO77" s="19"/>
      <c r="AP77" s="19"/>
      <c r="AQ77" s="19"/>
      <c r="AR77" s="19"/>
      <c r="AS77" s="19"/>
      <c r="AT77" s="20"/>
      <c r="AZ77" s="149"/>
      <c r="BA77" s="14"/>
      <c r="BB77" s="14"/>
      <c r="BC77" s="14"/>
      <c r="BD77" s="14"/>
      <c r="BE77" s="150"/>
    </row>
    <row r="78" spans="2:57"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BC78</f>
        <v>0</v>
      </c>
      <c r="AQ78" s="253"/>
      <c r="AR78" s="253"/>
      <c r="AS78" s="254"/>
      <c r="AT78" s="20"/>
      <c r="AZ78" s="151" t="s">
        <v>37</v>
      </c>
      <c r="BA78" s="152"/>
      <c r="BB78" s="152"/>
      <c r="BC78" s="358">
        <f>IF(I72="",0,BC75+BC76)</f>
        <v>0</v>
      </c>
      <c r="BD78" s="358"/>
      <c r="BE78" s="359"/>
    </row>
    <row r="79" spans="2:57"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AZ79" s="12" t="s">
        <v>619</v>
      </c>
    </row>
    <row r="80" spans="2:57"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AZ80" s="346" t="str">
        <f>IF(Basics!$U$37="NO",IF(J82="","",J82&amp;"; "),IF(J82="","",J82&amp;"; ")&amp;IF(J83="","",J83&amp;"; ")&amp;IF(J84="","",J84&amp;"; ")&amp;IF(J85="","",J85&amp;"; "))</f>
        <v/>
      </c>
      <c r="BA80" s="347"/>
      <c r="BB80" s="347"/>
      <c r="BC80" s="347"/>
      <c r="BD80" s="347"/>
      <c r="BE80" s="348"/>
    </row>
    <row r="81" spans="2:57"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AZ81" s="349"/>
      <c r="BA81" s="334"/>
      <c r="BB81" s="334"/>
      <c r="BC81" s="334"/>
      <c r="BD81" s="334"/>
      <c r="BE81" s="350"/>
    </row>
    <row r="82" spans="2:57"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AZ82" s="349"/>
      <c r="BA82" s="334"/>
      <c r="BB82" s="334"/>
      <c r="BC82" s="334"/>
      <c r="BD82" s="334"/>
      <c r="BE82" s="350"/>
    </row>
    <row r="83" spans="2:57"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AZ83" s="349"/>
      <c r="BA83" s="334"/>
      <c r="BB83" s="334"/>
      <c r="BC83" s="334"/>
      <c r="BD83" s="334"/>
      <c r="BE83" s="350"/>
    </row>
    <row r="84" spans="2:57"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AZ84" s="349"/>
      <c r="BA84" s="334"/>
      <c r="BB84" s="334"/>
      <c r="BC84" s="334"/>
      <c r="BD84" s="334"/>
      <c r="BE84" s="350"/>
    </row>
    <row r="85" spans="2:57"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AZ85" s="349"/>
      <c r="BA85" s="334"/>
      <c r="BB85" s="334"/>
      <c r="BC85" s="334"/>
      <c r="BD85" s="334"/>
      <c r="BE85" s="350"/>
    </row>
    <row r="86" spans="2:57"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AZ86" s="351"/>
      <c r="BA86" s="352"/>
      <c r="BB86" s="352"/>
      <c r="BC86" s="352"/>
      <c r="BD86" s="352"/>
      <c r="BE86" s="353"/>
    </row>
    <row r="87" spans="2:57" ht="13.5" customHeight="1" thickBot="1"/>
    <row r="88" spans="2:57"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57"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AZ89" s="147" t="s">
        <v>850</v>
      </c>
      <c r="BA89" s="148"/>
      <c r="BB89" s="148"/>
      <c r="BC89" s="354">
        <f>AP89+AP90-ABS(AP91)</f>
        <v>0</v>
      </c>
      <c r="BD89" s="354"/>
      <c r="BE89" s="355"/>
    </row>
    <row r="90" spans="2:57"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AZ90" s="149" t="s">
        <v>851</v>
      </c>
      <c r="BA90" s="14"/>
      <c r="BB90" s="14"/>
      <c r="BC90" s="356" t="str">
        <f>IF(I90="Custom","TRUE","FALSE")</f>
        <v>FALSE</v>
      </c>
      <c r="BD90" s="356"/>
      <c r="BE90" s="357"/>
    </row>
    <row r="91" spans="2:57" ht="13.5" customHeight="1" thickBot="1">
      <c r="B91" s="18"/>
      <c r="C91" s="19" t="s">
        <v>394</v>
      </c>
      <c r="D91" s="19"/>
      <c r="E91" s="19"/>
      <c r="F91" s="19"/>
      <c r="G91" s="19"/>
      <c r="H91" s="19"/>
      <c r="I91" s="373" t="str">
        <f>IF(I90="","",VLOOKUP(I90,PowerEffectsChart,33,FALSE))</f>
        <v/>
      </c>
      <c r="J91" s="272"/>
      <c r="K91" s="272"/>
      <c r="L91" s="374"/>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AZ91" s="149" t="s">
        <v>852</v>
      </c>
      <c r="BA91" s="14"/>
      <c r="BB91" s="14"/>
      <c r="BC91" s="356" t="str">
        <f>IF(I89="","",IF(BC89&gt;0,BC89,IF(BC90="TRUE",BC89,VLOOKUP(BC89,$BU$28:$BY$36,3,FALSE))))</f>
        <v/>
      </c>
      <c r="BD91" s="356"/>
      <c r="BE91" s="357"/>
    </row>
    <row r="92" spans="2:57" ht="13.5" customHeight="1" thickBot="1">
      <c r="B92" s="18"/>
      <c r="C92" s="19" t="s">
        <v>395</v>
      </c>
      <c r="D92" s="19"/>
      <c r="E92" s="19"/>
      <c r="F92" s="19"/>
      <c r="G92" s="19"/>
      <c r="H92" s="19"/>
      <c r="I92" s="360" t="str">
        <f>IF(I90="","",VLOOKUP(I90,PowerEffectsChart,38,FALSE))</f>
        <v/>
      </c>
      <c r="J92" s="361"/>
      <c r="K92" s="361"/>
      <c r="L92" s="361"/>
      <c r="M92" s="361"/>
      <c r="N92" s="361"/>
      <c r="O92" s="361"/>
      <c r="P92" s="361"/>
      <c r="Q92" s="361"/>
      <c r="R92" s="361"/>
      <c r="S92" s="361"/>
      <c r="T92" s="361"/>
      <c r="U92" s="361"/>
      <c r="V92" s="361"/>
      <c r="W92" s="361"/>
      <c r="X92" s="362"/>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AZ92" s="149" t="s">
        <v>853</v>
      </c>
      <c r="BA92" s="14"/>
      <c r="BB92" s="14"/>
      <c r="BC92" s="356" t="str">
        <f>IF(I89="","",AP92*BC91)</f>
        <v/>
      </c>
      <c r="BD92" s="356"/>
      <c r="BE92" s="357"/>
    </row>
    <row r="93" spans="2:57" ht="13.5" customHeight="1" thickBot="1">
      <c r="B93" s="18"/>
      <c r="C93" s="19"/>
      <c r="D93" s="19"/>
      <c r="E93" s="19"/>
      <c r="F93" s="19"/>
      <c r="G93" s="19"/>
      <c r="H93" s="19"/>
      <c r="I93" s="363"/>
      <c r="J93" s="364"/>
      <c r="K93" s="364"/>
      <c r="L93" s="364"/>
      <c r="M93" s="364"/>
      <c r="N93" s="364"/>
      <c r="O93" s="364"/>
      <c r="P93" s="364"/>
      <c r="Q93" s="364"/>
      <c r="R93" s="364"/>
      <c r="S93" s="364"/>
      <c r="T93" s="364"/>
      <c r="U93" s="364"/>
      <c r="V93" s="364"/>
      <c r="W93" s="364"/>
      <c r="X93" s="365"/>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AZ93" s="149" t="s">
        <v>423</v>
      </c>
      <c r="BA93" s="14"/>
      <c r="BB93" s="14"/>
      <c r="BC93" s="356">
        <f>AP93</f>
        <v>0</v>
      </c>
      <c r="BD93" s="356"/>
      <c r="BE93" s="357"/>
    </row>
    <row r="94" spans="2:57" ht="13.5" customHeight="1" thickBot="1">
      <c r="B94" s="18"/>
      <c r="C94" s="19"/>
      <c r="D94" s="19"/>
      <c r="E94" s="19"/>
      <c r="F94" s="19"/>
      <c r="G94" s="19"/>
      <c r="H94" s="19"/>
      <c r="I94" s="363"/>
      <c r="J94" s="364"/>
      <c r="K94" s="364"/>
      <c r="L94" s="364"/>
      <c r="M94" s="364"/>
      <c r="N94" s="364"/>
      <c r="O94" s="364"/>
      <c r="P94" s="364"/>
      <c r="Q94" s="364"/>
      <c r="R94" s="364"/>
      <c r="S94" s="364"/>
      <c r="T94" s="364"/>
      <c r="U94" s="364"/>
      <c r="V94" s="364"/>
      <c r="W94" s="364"/>
      <c r="X94" s="365"/>
      <c r="Y94" s="19"/>
      <c r="Z94" s="19"/>
      <c r="AA94" s="19"/>
      <c r="AB94" s="19"/>
      <c r="AC94" s="19"/>
      <c r="AD94" s="19"/>
      <c r="AE94" s="19"/>
      <c r="AF94" s="19"/>
      <c r="AG94" s="19"/>
      <c r="AH94" s="19"/>
      <c r="AI94" s="19"/>
      <c r="AJ94" s="19"/>
      <c r="AK94" s="19"/>
      <c r="AL94" s="19"/>
      <c r="AM94" s="19"/>
      <c r="AN94" s="19"/>
      <c r="AO94" s="19"/>
      <c r="AP94" s="19"/>
      <c r="AQ94" s="19"/>
      <c r="AR94" s="19"/>
      <c r="AS94" s="19"/>
      <c r="AT94" s="20"/>
      <c r="AZ94" s="149"/>
      <c r="BA94" s="14"/>
      <c r="BB94" s="14"/>
      <c r="BC94" s="14"/>
      <c r="BD94" s="14"/>
      <c r="BE94" s="150"/>
    </row>
    <row r="95" spans="2:57"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BC95</f>
        <v>0</v>
      </c>
      <c r="AQ95" s="253"/>
      <c r="AR95" s="253"/>
      <c r="AS95" s="254"/>
      <c r="AT95" s="20"/>
      <c r="AZ95" s="151" t="s">
        <v>37</v>
      </c>
      <c r="BA95" s="152"/>
      <c r="BB95" s="152"/>
      <c r="BC95" s="358">
        <f>IF(I89="",0,BC92+BC93)</f>
        <v>0</v>
      </c>
      <c r="BD95" s="358"/>
      <c r="BE95" s="359"/>
    </row>
    <row r="96" spans="2:57"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AZ96" s="12" t="s">
        <v>619</v>
      </c>
    </row>
    <row r="97" spans="2:57"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AZ97" s="346" t="str">
        <f>IF(Basics!$U$37="NO",IF(J99="","",J99&amp;"; "),IF(J99="","",J99&amp;"; ")&amp;IF(J100="","",J100&amp;"; ")&amp;IF(J101="","",J101&amp;"; ")&amp;IF(J102="","",J102&amp;"; "))</f>
        <v/>
      </c>
      <c r="BA97" s="347"/>
      <c r="BB97" s="347"/>
      <c r="BC97" s="347"/>
      <c r="BD97" s="347"/>
      <c r="BE97" s="348"/>
    </row>
    <row r="98" spans="2:57"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AZ98" s="349"/>
      <c r="BA98" s="334"/>
      <c r="BB98" s="334"/>
      <c r="BC98" s="334"/>
      <c r="BD98" s="334"/>
      <c r="BE98" s="350"/>
    </row>
    <row r="99" spans="2:57"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AZ99" s="349"/>
      <c r="BA99" s="334"/>
      <c r="BB99" s="334"/>
      <c r="BC99" s="334"/>
      <c r="BD99" s="334"/>
      <c r="BE99" s="350"/>
    </row>
    <row r="100" spans="2:57"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AZ100" s="349"/>
      <c r="BA100" s="334"/>
      <c r="BB100" s="334"/>
      <c r="BC100" s="334"/>
      <c r="BD100" s="334"/>
      <c r="BE100" s="350"/>
    </row>
    <row r="101" spans="2:57"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AZ101" s="349"/>
      <c r="BA101" s="334"/>
      <c r="BB101" s="334"/>
      <c r="BC101" s="334"/>
      <c r="BD101" s="334"/>
      <c r="BE101" s="350"/>
    </row>
    <row r="102" spans="2:57"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AZ102" s="349"/>
      <c r="BA102" s="334"/>
      <c r="BB102" s="334"/>
      <c r="BC102" s="334"/>
      <c r="BD102" s="334"/>
      <c r="BE102" s="350"/>
    </row>
    <row r="103" spans="2:57"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AZ103" s="351"/>
      <c r="BA103" s="352"/>
      <c r="BB103" s="352"/>
      <c r="BC103" s="352"/>
      <c r="BD103" s="352"/>
      <c r="BE103" s="353"/>
    </row>
    <row r="104" spans="2:57" ht="13.5" customHeight="1" thickBot="1"/>
    <row r="105" spans="2:57"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57"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AZ106" s="147" t="s">
        <v>850</v>
      </c>
      <c r="BA106" s="148"/>
      <c r="BB106" s="148"/>
      <c r="BC106" s="354">
        <f>AP106+AP107-ABS(AP108)</f>
        <v>0</v>
      </c>
      <c r="BD106" s="354"/>
      <c r="BE106" s="355"/>
    </row>
    <row r="107" spans="2:57"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AZ107" s="149" t="s">
        <v>851</v>
      </c>
      <c r="BA107" s="14"/>
      <c r="BB107" s="14"/>
      <c r="BC107" s="356" t="str">
        <f>IF(I107="Custom","TRUE","FALSE")</f>
        <v>FALSE</v>
      </c>
      <c r="BD107" s="356"/>
      <c r="BE107" s="357"/>
    </row>
    <row r="108" spans="2:57" ht="13.5" customHeight="1" thickBot="1">
      <c r="B108" s="18"/>
      <c r="C108" s="19" t="s">
        <v>394</v>
      </c>
      <c r="D108" s="19"/>
      <c r="E108" s="19"/>
      <c r="F108" s="19"/>
      <c r="G108" s="19"/>
      <c r="H108" s="19"/>
      <c r="I108" s="373" t="str">
        <f>IF(I107="","",VLOOKUP(I107,PowerEffectsChart,33,FALSE))</f>
        <v/>
      </c>
      <c r="J108" s="272"/>
      <c r="K108" s="272"/>
      <c r="L108" s="374"/>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AZ108" s="149" t="s">
        <v>852</v>
      </c>
      <c r="BA108" s="14"/>
      <c r="BB108" s="14"/>
      <c r="BC108" s="356" t="str">
        <f>IF(I106="","",IF(BC106&gt;0,BC106,IF(BC107="TRUE",BC106,VLOOKUP(BC106,$BU$28:$BY$36,3,FALSE))))</f>
        <v/>
      </c>
      <c r="BD108" s="356"/>
      <c r="BE108" s="357"/>
    </row>
    <row r="109" spans="2:57" ht="13.5" customHeight="1" thickBot="1">
      <c r="B109" s="18"/>
      <c r="C109" s="19" t="s">
        <v>395</v>
      </c>
      <c r="D109" s="19"/>
      <c r="E109" s="19"/>
      <c r="F109" s="19"/>
      <c r="G109" s="19"/>
      <c r="H109" s="19"/>
      <c r="I109" s="360" t="str">
        <f>IF(I107="","",VLOOKUP(I107,PowerEffectsChart,38,FALSE))</f>
        <v/>
      </c>
      <c r="J109" s="361"/>
      <c r="K109" s="361"/>
      <c r="L109" s="361"/>
      <c r="M109" s="361"/>
      <c r="N109" s="361"/>
      <c r="O109" s="361"/>
      <c r="P109" s="361"/>
      <c r="Q109" s="361"/>
      <c r="R109" s="361"/>
      <c r="S109" s="361"/>
      <c r="T109" s="361"/>
      <c r="U109" s="361"/>
      <c r="V109" s="361"/>
      <c r="W109" s="361"/>
      <c r="X109" s="362"/>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AZ109" s="149" t="s">
        <v>853</v>
      </c>
      <c r="BA109" s="14"/>
      <c r="BB109" s="14"/>
      <c r="BC109" s="356" t="str">
        <f>IF(I106="","",AP109*BC108)</f>
        <v/>
      </c>
      <c r="BD109" s="356"/>
      <c r="BE109" s="357"/>
    </row>
    <row r="110" spans="2:57" ht="13.5" customHeight="1" thickBot="1">
      <c r="B110" s="18"/>
      <c r="C110" s="19"/>
      <c r="D110" s="19"/>
      <c r="E110" s="19"/>
      <c r="F110" s="19"/>
      <c r="G110" s="19"/>
      <c r="H110" s="19"/>
      <c r="I110" s="363"/>
      <c r="J110" s="364"/>
      <c r="K110" s="364"/>
      <c r="L110" s="364"/>
      <c r="M110" s="364"/>
      <c r="N110" s="364"/>
      <c r="O110" s="364"/>
      <c r="P110" s="364"/>
      <c r="Q110" s="364"/>
      <c r="R110" s="364"/>
      <c r="S110" s="364"/>
      <c r="T110" s="364"/>
      <c r="U110" s="364"/>
      <c r="V110" s="364"/>
      <c r="W110" s="364"/>
      <c r="X110" s="365"/>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AZ110" s="149" t="s">
        <v>423</v>
      </c>
      <c r="BA110" s="14"/>
      <c r="BB110" s="14"/>
      <c r="BC110" s="356">
        <f>AP110</f>
        <v>0</v>
      </c>
      <c r="BD110" s="356"/>
      <c r="BE110" s="357"/>
    </row>
    <row r="111" spans="2:57" ht="13.5" customHeight="1" thickBot="1">
      <c r="B111" s="18"/>
      <c r="C111" s="19"/>
      <c r="D111" s="19"/>
      <c r="E111" s="19"/>
      <c r="F111" s="19"/>
      <c r="G111" s="19"/>
      <c r="H111" s="19"/>
      <c r="I111" s="363"/>
      <c r="J111" s="364"/>
      <c r="K111" s="364"/>
      <c r="L111" s="364"/>
      <c r="M111" s="364"/>
      <c r="N111" s="364"/>
      <c r="O111" s="364"/>
      <c r="P111" s="364"/>
      <c r="Q111" s="364"/>
      <c r="R111" s="364"/>
      <c r="S111" s="364"/>
      <c r="T111" s="364"/>
      <c r="U111" s="364"/>
      <c r="V111" s="364"/>
      <c r="W111" s="364"/>
      <c r="X111" s="365"/>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AZ111" s="149"/>
      <c r="BA111" s="14"/>
      <c r="BB111" s="14"/>
      <c r="BC111" s="14"/>
      <c r="BD111" s="14"/>
      <c r="BE111" s="150"/>
    </row>
    <row r="112" spans="2:57"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BC112</f>
        <v>0</v>
      </c>
      <c r="AQ112" s="253"/>
      <c r="AR112" s="253"/>
      <c r="AS112" s="254"/>
      <c r="AT112" s="20"/>
      <c r="AZ112" s="151" t="s">
        <v>37</v>
      </c>
      <c r="BA112" s="152"/>
      <c r="BB112" s="152"/>
      <c r="BC112" s="358">
        <f>IF(I106="",0,BC109+BC110)</f>
        <v>0</v>
      </c>
      <c r="BD112" s="358"/>
      <c r="BE112" s="359"/>
    </row>
    <row r="113" spans="2:57"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AZ113" s="12" t="s">
        <v>619</v>
      </c>
    </row>
    <row r="114" spans="2:57"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AZ114" s="346" t="str">
        <f>IF(Basics!$U$37="NO",IF(J116="","",J116&amp;"; "),IF(J116="","",J116&amp;"; ")&amp;IF(J117="","",J117&amp;"; ")&amp;IF(J118="","",J118&amp;"; ")&amp;IF(J119="","",J119&amp;"; "))</f>
        <v/>
      </c>
      <c r="BA114" s="347"/>
      <c r="BB114" s="347"/>
      <c r="BC114" s="347"/>
      <c r="BD114" s="347"/>
      <c r="BE114" s="348"/>
    </row>
    <row r="115" spans="2:57"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AZ115" s="349"/>
      <c r="BA115" s="334"/>
      <c r="BB115" s="334"/>
      <c r="BC115" s="334"/>
      <c r="BD115" s="334"/>
      <c r="BE115" s="350"/>
    </row>
    <row r="116" spans="2:57"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AZ116" s="349"/>
      <c r="BA116" s="334"/>
      <c r="BB116" s="334"/>
      <c r="BC116" s="334"/>
      <c r="BD116" s="334"/>
      <c r="BE116" s="350"/>
    </row>
    <row r="117" spans="2:57"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AZ117" s="349"/>
      <c r="BA117" s="334"/>
      <c r="BB117" s="334"/>
      <c r="BC117" s="334"/>
      <c r="BD117" s="334"/>
      <c r="BE117" s="350"/>
    </row>
    <row r="118" spans="2:57"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AZ118" s="349"/>
      <c r="BA118" s="334"/>
      <c r="BB118" s="334"/>
      <c r="BC118" s="334"/>
      <c r="BD118" s="334"/>
      <c r="BE118" s="350"/>
    </row>
    <row r="119" spans="2:57"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AZ119" s="349"/>
      <c r="BA119" s="334"/>
      <c r="BB119" s="334"/>
      <c r="BC119" s="334"/>
      <c r="BD119" s="334"/>
      <c r="BE119" s="350"/>
    </row>
    <row r="120" spans="2:57"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AZ120" s="351"/>
      <c r="BA120" s="352"/>
      <c r="BB120" s="352"/>
      <c r="BC120" s="352"/>
      <c r="BD120" s="352"/>
      <c r="BE120" s="353"/>
    </row>
    <row r="121" spans="2:57" ht="13.5" customHeight="1" thickBot="1"/>
    <row r="122" spans="2:57"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57"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AZ123" s="147" t="s">
        <v>850</v>
      </c>
      <c r="BA123" s="148"/>
      <c r="BB123" s="148"/>
      <c r="BC123" s="354">
        <f>AP123+AP124-ABS(AP125)</f>
        <v>0</v>
      </c>
      <c r="BD123" s="354"/>
      <c r="BE123" s="355"/>
    </row>
    <row r="124" spans="2:57"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AZ124" s="149" t="s">
        <v>851</v>
      </c>
      <c r="BA124" s="14"/>
      <c r="BB124" s="14"/>
      <c r="BC124" s="356" t="str">
        <f>IF(I124="Custom","TRUE","FALSE")</f>
        <v>FALSE</v>
      </c>
      <c r="BD124" s="356"/>
      <c r="BE124" s="357"/>
    </row>
    <row r="125" spans="2:57" ht="13.5" customHeight="1" thickBot="1">
      <c r="B125" s="18"/>
      <c r="C125" s="19" t="s">
        <v>394</v>
      </c>
      <c r="D125" s="19"/>
      <c r="E125" s="19"/>
      <c r="F125" s="19"/>
      <c r="G125" s="19"/>
      <c r="H125" s="19"/>
      <c r="I125" s="373" t="str">
        <f>IF(I124="","",VLOOKUP(I124,PowerEffectsChart,33,FALSE))</f>
        <v/>
      </c>
      <c r="J125" s="272"/>
      <c r="K125" s="272"/>
      <c r="L125" s="374"/>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AZ125" s="149" t="s">
        <v>852</v>
      </c>
      <c r="BA125" s="14"/>
      <c r="BB125" s="14"/>
      <c r="BC125" s="356" t="str">
        <f>IF(I123="","",IF(BC123&gt;0,BC123,IF(BC124="TRUE",BC123,VLOOKUP(BC123,$BU$28:$BY$36,3,FALSE))))</f>
        <v/>
      </c>
      <c r="BD125" s="356"/>
      <c r="BE125" s="357"/>
    </row>
    <row r="126" spans="2:57" ht="13.5" customHeight="1" thickBot="1">
      <c r="B126" s="18"/>
      <c r="C126" s="19" t="s">
        <v>395</v>
      </c>
      <c r="D126" s="19"/>
      <c r="E126" s="19"/>
      <c r="F126" s="19"/>
      <c r="G126" s="19"/>
      <c r="H126" s="19"/>
      <c r="I126" s="360" t="str">
        <f>IF(I124="","",VLOOKUP(I124,PowerEffectsChart,38,FALSE))</f>
        <v/>
      </c>
      <c r="J126" s="361"/>
      <c r="K126" s="361"/>
      <c r="L126" s="361"/>
      <c r="M126" s="361"/>
      <c r="N126" s="361"/>
      <c r="O126" s="361"/>
      <c r="P126" s="361"/>
      <c r="Q126" s="361"/>
      <c r="R126" s="361"/>
      <c r="S126" s="361"/>
      <c r="T126" s="361"/>
      <c r="U126" s="361"/>
      <c r="V126" s="361"/>
      <c r="W126" s="361"/>
      <c r="X126" s="362"/>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AZ126" s="149" t="s">
        <v>853</v>
      </c>
      <c r="BA126" s="14"/>
      <c r="BB126" s="14"/>
      <c r="BC126" s="356" t="str">
        <f>IF(I123="","",AP126*BC125)</f>
        <v/>
      </c>
      <c r="BD126" s="356"/>
      <c r="BE126" s="357"/>
    </row>
    <row r="127" spans="2:57" ht="13.5" customHeight="1" thickBot="1">
      <c r="B127" s="18"/>
      <c r="C127" s="19"/>
      <c r="D127" s="19"/>
      <c r="E127" s="19"/>
      <c r="F127" s="19"/>
      <c r="G127" s="19"/>
      <c r="H127" s="19"/>
      <c r="I127" s="363"/>
      <c r="J127" s="364"/>
      <c r="K127" s="364"/>
      <c r="L127" s="364"/>
      <c r="M127" s="364"/>
      <c r="N127" s="364"/>
      <c r="O127" s="364"/>
      <c r="P127" s="364"/>
      <c r="Q127" s="364"/>
      <c r="R127" s="364"/>
      <c r="S127" s="364"/>
      <c r="T127" s="364"/>
      <c r="U127" s="364"/>
      <c r="V127" s="364"/>
      <c r="W127" s="364"/>
      <c r="X127" s="365"/>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AZ127" s="149" t="s">
        <v>423</v>
      </c>
      <c r="BA127" s="14"/>
      <c r="BB127" s="14"/>
      <c r="BC127" s="356">
        <f>AP127</f>
        <v>0</v>
      </c>
      <c r="BD127" s="356"/>
      <c r="BE127" s="357"/>
    </row>
    <row r="128" spans="2:57" ht="13.5" customHeight="1" thickBot="1">
      <c r="B128" s="18"/>
      <c r="C128" s="19"/>
      <c r="D128" s="19"/>
      <c r="E128" s="19"/>
      <c r="F128" s="19"/>
      <c r="G128" s="19"/>
      <c r="H128" s="19"/>
      <c r="I128" s="363"/>
      <c r="J128" s="364"/>
      <c r="K128" s="364"/>
      <c r="L128" s="364"/>
      <c r="M128" s="364"/>
      <c r="N128" s="364"/>
      <c r="O128" s="364"/>
      <c r="P128" s="364"/>
      <c r="Q128" s="364"/>
      <c r="R128" s="364"/>
      <c r="S128" s="364"/>
      <c r="T128" s="364"/>
      <c r="U128" s="364"/>
      <c r="V128" s="364"/>
      <c r="W128" s="364"/>
      <c r="X128" s="365"/>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AZ128" s="149"/>
      <c r="BA128" s="14"/>
      <c r="BB128" s="14"/>
      <c r="BC128" s="14"/>
      <c r="BD128" s="14"/>
      <c r="BE128" s="150"/>
    </row>
    <row r="129" spans="2:57"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BC129</f>
        <v>0</v>
      </c>
      <c r="AQ129" s="253"/>
      <c r="AR129" s="253"/>
      <c r="AS129" s="254"/>
      <c r="AT129" s="20"/>
      <c r="AZ129" s="151" t="s">
        <v>37</v>
      </c>
      <c r="BA129" s="152"/>
      <c r="BB129" s="152"/>
      <c r="BC129" s="358">
        <f>IF(I123="",0,BC126+BC127)</f>
        <v>0</v>
      </c>
      <c r="BD129" s="358"/>
      <c r="BE129" s="359"/>
    </row>
    <row r="130" spans="2:57"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AZ130" s="12" t="s">
        <v>619</v>
      </c>
    </row>
    <row r="131" spans="2:57"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AZ131" s="346" t="str">
        <f>IF(Basics!$U$37="NO",IF(J133="","",J133&amp;"; "),IF(J133="","",J133&amp;"; ")&amp;IF(J134="","",J134&amp;"; ")&amp;IF(J135="","",J135&amp;"; ")&amp;IF(J136="","",J136&amp;"; "))</f>
        <v/>
      </c>
      <c r="BA131" s="347"/>
      <c r="BB131" s="347"/>
      <c r="BC131" s="347"/>
      <c r="BD131" s="347"/>
      <c r="BE131" s="348"/>
    </row>
    <row r="132" spans="2:57"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AZ132" s="349"/>
      <c r="BA132" s="334"/>
      <c r="BB132" s="334"/>
      <c r="BC132" s="334"/>
      <c r="BD132" s="334"/>
      <c r="BE132" s="350"/>
    </row>
    <row r="133" spans="2:57"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AZ133" s="349"/>
      <c r="BA133" s="334"/>
      <c r="BB133" s="334"/>
      <c r="BC133" s="334"/>
      <c r="BD133" s="334"/>
      <c r="BE133" s="350"/>
    </row>
    <row r="134" spans="2:57"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AZ134" s="349"/>
      <c r="BA134" s="334"/>
      <c r="BB134" s="334"/>
      <c r="BC134" s="334"/>
      <c r="BD134" s="334"/>
      <c r="BE134" s="350"/>
    </row>
    <row r="135" spans="2:57"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AZ135" s="349"/>
      <c r="BA135" s="334"/>
      <c r="BB135" s="334"/>
      <c r="BC135" s="334"/>
      <c r="BD135" s="334"/>
      <c r="BE135" s="350"/>
    </row>
    <row r="136" spans="2:57"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AZ136" s="349"/>
      <c r="BA136" s="334"/>
      <c r="BB136" s="334"/>
      <c r="BC136" s="334"/>
      <c r="BD136" s="334"/>
      <c r="BE136" s="350"/>
    </row>
    <row r="137" spans="2:57"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AZ137" s="351"/>
      <c r="BA137" s="352"/>
      <c r="BB137" s="352"/>
      <c r="BC137" s="352"/>
      <c r="BD137" s="352"/>
      <c r="BE137" s="353"/>
    </row>
    <row r="138" spans="2:57" ht="13.5" customHeight="1" thickBot="1"/>
    <row r="139" spans="2:57"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57"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AZ140" s="147" t="s">
        <v>850</v>
      </c>
      <c r="BA140" s="148"/>
      <c r="BB140" s="148"/>
      <c r="BC140" s="354">
        <f>AP140+AP141-ABS(AP142)</f>
        <v>0</v>
      </c>
      <c r="BD140" s="354"/>
      <c r="BE140" s="355"/>
    </row>
    <row r="141" spans="2:57"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AZ141" s="149" t="s">
        <v>851</v>
      </c>
      <c r="BA141" s="14"/>
      <c r="BB141" s="14"/>
      <c r="BC141" s="356" t="str">
        <f>IF(I141="Custom","TRUE","FALSE")</f>
        <v>FALSE</v>
      </c>
      <c r="BD141" s="356"/>
      <c r="BE141" s="357"/>
    </row>
    <row r="142" spans="2:57" ht="13.5" customHeight="1" thickBot="1">
      <c r="B142" s="18"/>
      <c r="C142" s="19" t="s">
        <v>394</v>
      </c>
      <c r="D142" s="19"/>
      <c r="E142" s="19"/>
      <c r="F142" s="19"/>
      <c r="G142" s="19"/>
      <c r="H142" s="19"/>
      <c r="I142" s="373" t="str">
        <f>IF(I141="","",VLOOKUP(I141,PowerEffectsChart,33,FALSE))</f>
        <v/>
      </c>
      <c r="J142" s="272"/>
      <c r="K142" s="272"/>
      <c r="L142" s="374"/>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AZ142" s="149" t="s">
        <v>852</v>
      </c>
      <c r="BA142" s="14"/>
      <c r="BB142" s="14"/>
      <c r="BC142" s="356" t="str">
        <f>IF(I140="","",IF(BC140&gt;0,BC140,IF(BC141="TRUE",BC140,VLOOKUP(BC140,$BU$28:$BY$36,3,FALSE))))</f>
        <v/>
      </c>
      <c r="BD142" s="356"/>
      <c r="BE142" s="357"/>
    </row>
    <row r="143" spans="2:57" ht="13.5" customHeight="1" thickBot="1">
      <c r="B143" s="18"/>
      <c r="C143" s="19" t="s">
        <v>395</v>
      </c>
      <c r="D143" s="19"/>
      <c r="E143" s="19"/>
      <c r="F143" s="19"/>
      <c r="G143" s="19"/>
      <c r="H143" s="19"/>
      <c r="I143" s="360" t="str">
        <f>IF(I141="","",VLOOKUP(I141,PowerEffectsChart,38,FALSE))</f>
        <v/>
      </c>
      <c r="J143" s="361"/>
      <c r="K143" s="361"/>
      <c r="L143" s="361"/>
      <c r="M143" s="361"/>
      <c r="N143" s="361"/>
      <c r="O143" s="361"/>
      <c r="P143" s="361"/>
      <c r="Q143" s="361"/>
      <c r="R143" s="361"/>
      <c r="S143" s="361"/>
      <c r="T143" s="361"/>
      <c r="U143" s="361"/>
      <c r="V143" s="361"/>
      <c r="W143" s="361"/>
      <c r="X143" s="362"/>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AZ143" s="149" t="s">
        <v>853</v>
      </c>
      <c r="BA143" s="14"/>
      <c r="BB143" s="14"/>
      <c r="BC143" s="356" t="str">
        <f>IF(I140="","",AP143*BC142)</f>
        <v/>
      </c>
      <c r="BD143" s="356"/>
      <c r="BE143" s="357"/>
    </row>
    <row r="144" spans="2:57" ht="13.5" customHeight="1" thickBot="1">
      <c r="B144" s="18"/>
      <c r="C144" s="19"/>
      <c r="D144" s="19"/>
      <c r="E144" s="19"/>
      <c r="F144" s="19"/>
      <c r="G144" s="19"/>
      <c r="H144" s="19"/>
      <c r="I144" s="363"/>
      <c r="J144" s="364"/>
      <c r="K144" s="364"/>
      <c r="L144" s="364"/>
      <c r="M144" s="364"/>
      <c r="N144" s="364"/>
      <c r="O144" s="364"/>
      <c r="P144" s="364"/>
      <c r="Q144" s="364"/>
      <c r="R144" s="364"/>
      <c r="S144" s="364"/>
      <c r="T144" s="364"/>
      <c r="U144" s="364"/>
      <c r="V144" s="364"/>
      <c r="W144" s="364"/>
      <c r="X144" s="365"/>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AZ144" s="149" t="s">
        <v>423</v>
      </c>
      <c r="BA144" s="14"/>
      <c r="BB144" s="14"/>
      <c r="BC144" s="356">
        <f>AP144</f>
        <v>0</v>
      </c>
      <c r="BD144" s="356"/>
      <c r="BE144" s="357"/>
    </row>
    <row r="145" spans="2:57" ht="13.5" customHeight="1" thickBot="1">
      <c r="B145" s="18"/>
      <c r="C145" s="19"/>
      <c r="D145" s="19"/>
      <c r="E145" s="19"/>
      <c r="F145" s="19"/>
      <c r="G145" s="19"/>
      <c r="H145" s="19"/>
      <c r="I145" s="363"/>
      <c r="J145" s="364"/>
      <c r="K145" s="364"/>
      <c r="L145" s="364"/>
      <c r="M145" s="364"/>
      <c r="N145" s="364"/>
      <c r="O145" s="364"/>
      <c r="P145" s="364"/>
      <c r="Q145" s="364"/>
      <c r="R145" s="364"/>
      <c r="S145" s="364"/>
      <c r="T145" s="364"/>
      <c r="U145" s="364"/>
      <c r="V145" s="364"/>
      <c r="W145" s="364"/>
      <c r="X145" s="365"/>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AZ145" s="149"/>
      <c r="BA145" s="14"/>
      <c r="BB145" s="14"/>
      <c r="BC145" s="14"/>
      <c r="BD145" s="14"/>
      <c r="BE145" s="150"/>
    </row>
    <row r="146" spans="2:57"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BC146</f>
        <v>0</v>
      </c>
      <c r="AQ146" s="253"/>
      <c r="AR146" s="253"/>
      <c r="AS146" s="254"/>
      <c r="AT146" s="20"/>
      <c r="AZ146" s="151" t="s">
        <v>37</v>
      </c>
      <c r="BA146" s="152"/>
      <c r="BB146" s="152"/>
      <c r="BC146" s="358">
        <f>IF(I140="",0,BC143+BC144)</f>
        <v>0</v>
      </c>
      <c r="BD146" s="358"/>
      <c r="BE146" s="359"/>
    </row>
    <row r="147" spans="2:57"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AZ147" s="12" t="s">
        <v>619</v>
      </c>
    </row>
    <row r="148" spans="2:57"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AZ148" s="346" t="str">
        <f>IF(Basics!$U$37="NO",IF(J150="","",J150&amp;"; "),IF(J150="","",J150&amp;"; ")&amp;IF(J151="","",J151&amp;"; ")&amp;IF(J152="","",J152&amp;"; ")&amp;IF(J153="","",J153&amp;"; "))</f>
        <v/>
      </c>
      <c r="BA148" s="347"/>
      <c r="BB148" s="347"/>
      <c r="BC148" s="347"/>
      <c r="BD148" s="347"/>
      <c r="BE148" s="348"/>
    </row>
    <row r="149" spans="2:57"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AZ149" s="349"/>
      <c r="BA149" s="334"/>
      <c r="BB149" s="334"/>
      <c r="BC149" s="334"/>
      <c r="BD149" s="334"/>
      <c r="BE149" s="350"/>
    </row>
    <row r="150" spans="2:57"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AZ150" s="349"/>
      <c r="BA150" s="334"/>
      <c r="BB150" s="334"/>
      <c r="BC150" s="334"/>
      <c r="BD150" s="334"/>
      <c r="BE150" s="350"/>
    </row>
    <row r="151" spans="2:57"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AZ151" s="349"/>
      <c r="BA151" s="334"/>
      <c r="BB151" s="334"/>
      <c r="BC151" s="334"/>
      <c r="BD151" s="334"/>
      <c r="BE151" s="350"/>
    </row>
    <row r="152" spans="2:57"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AZ152" s="349"/>
      <c r="BA152" s="334"/>
      <c r="BB152" s="334"/>
      <c r="BC152" s="334"/>
      <c r="BD152" s="334"/>
      <c r="BE152" s="350"/>
    </row>
    <row r="153" spans="2:57"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AZ153" s="349"/>
      <c r="BA153" s="334"/>
      <c r="BB153" s="334"/>
      <c r="BC153" s="334"/>
      <c r="BD153" s="334"/>
      <c r="BE153" s="350"/>
    </row>
    <row r="154" spans="2:57"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AZ154" s="351"/>
      <c r="BA154" s="352"/>
      <c r="BB154" s="352"/>
      <c r="BC154" s="352"/>
      <c r="BD154" s="352"/>
      <c r="BE154" s="353"/>
    </row>
    <row r="155" spans="2:57" ht="13.5" customHeight="1" thickBot="1"/>
    <row r="156" spans="2:57"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57"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AZ157" s="147" t="s">
        <v>850</v>
      </c>
      <c r="BA157" s="148"/>
      <c r="BB157" s="148"/>
      <c r="BC157" s="354">
        <f>AP157+AP158-ABS(AP159)</f>
        <v>0</v>
      </c>
      <c r="BD157" s="354"/>
      <c r="BE157" s="355"/>
    </row>
    <row r="158" spans="2:57"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AZ158" s="149" t="s">
        <v>851</v>
      </c>
      <c r="BA158" s="14"/>
      <c r="BB158" s="14"/>
      <c r="BC158" s="356" t="str">
        <f>IF(I158="Custom","TRUE","FALSE")</f>
        <v>FALSE</v>
      </c>
      <c r="BD158" s="356"/>
      <c r="BE158" s="357"/>
    </row>
    <row r="159" spans="2:57" ht="13.5" customHeight="1" thickBot="1">
      <c r="B159" s="18"/>
      <c r="C159" s="19" t="s">
        <v>394</v>
      </c>
      <c r="D159" s="19"/>
      <c r="E159" s="19"/>
      <c r="F159" s="19"/>
      <c r="G159" s="19"/>
      <c r="H159" s="19"/>
      <c r="I159" s="373" t="str">
        <f>IF(I158="","",VLOOKUP(I158,PowerEffectsChart,33,FALSE))</f>
        <v/>
      </c>
      <c r="J159" s="272"/>
      <c r="K159" s="272"/>
      <c r="L159" s="374"/>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AZ159" s="149" t="s">
        <v>852</v>
      </c>
      <c r="BA159" s="14"/>
      <c r="BB159" s="14"/>
      <c r="BC159" s="356" t="str">
        <f>IF(I157="","",IF(BC157&gt;0,BC157,IF(BC158="TRUE",BC157,VLOOKUP(BC157,$BU$28:$BY$36,3,FALSE))))</f>
        <v/>
      </c>
      <c r="BD159" s="356"/>
      <c r="BE159" s="357"/>
    </row>
    <row r="160" spans="2:57" ht="13.5" customHeight="1" thickBot="1">
      <c r="B160" s="18"/>
      <c r="C160" s="19" t="s">
        <v>395</v>
      </c>
      <c r="D160" s="19"/>
      <c r="E160" s="19"/>
      <c r="F160" s="19"/>
      <c r="G160" s="19"/>
      <c r="H160" s="19"/>
      <c r="I160" s="360" t="str">
        <f>IF(I158="","",VLOOKUP(I158,PowerEffectsChart,38,FALSE))</f>
        <v/>
      </c>
      <c r="J160" s="361"/>
      <c r="K160" s="361"/>
      <c r="L160" s="361"/>
      <c r="M160" s="361"/>
      <c r="N160" s="361"/>
      <c r="O160" s="361"/>
      <c r="P160" s="361"/>
      <c r="Q160" s="361"/>
      <c r="R160" s="361"/>
      <c r="S160" s="361"/>
      <c r="T160" s="361"/>
      <c r="U160" s="361"/>
      <c r="V160" s="361"/>
      <c r="W160" s="361"/>
      <c r="X160" s="362"/>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AZ160" s="149" t="s">
        <v>853</v>
      </c>
      <c r="BA160" s="14"/>
      <c r="BB160" s="14"/>
      <c r="BC160" s="356" t="str">
        <f>IF(I157="","",AP160*BC159)</f>
        <v/>
      </c>
      <c r="BD160" s="356"/>
      <c r="BE160" s="357"/>
    </row>
    <row r="161" spans="2:57" ht="13.5" customHeight="1" thickBot="1">
      <c r="B161" s="18"/>
      <c r="C161" s="19"/>
      <c r="D161" s="19"/>
      <c r="E161" s="19"/>
      <c r="F161" s="19"/>
      <c r="G161" s="19"/>
      <c r="H161" s="19"/>
      <c r="I161" s="363"/>
      <c r="J161" s="364"/>
      <c r="K161" s="364"/>
      <c r="L161" s="364"/>
      <c r="M161" s="364"/>
      <c r="N161" s="364"/>
      <c r="O161" s="364"/>
      <c r="P161" s="364"/>
      <c r="Q161" s="364"/>
      <c r="R161" s="364"/>
      <c r="S161" s="364"/>
      <c r="T161" s="364"/>
      <c r="U161" s="364"/>
      <c r="V161" s="364"/>
      <c r="W161" s="364"/>
      <c r="X161" s="365"/>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AZ161" s="149" t="s">
        <v>423</v>
      </c>
      <c r="BA161" s="14"/>
      <c r="BB161" s="14"/>
      <c r="BC161" s="356">
        <f>AP161</f>
        <v>0</v>
      </c>
      <c r="BD161" s="356"/>
      <c r="BE161" s="357"/>
    </row>
    <row r="162" spans="2:57" ht="13.5" customHeight="1" thickBot="1">
      <c r="B162" s="18"/>
      <c r="C162" s="19"/>
      <c r="D162" s="19"/>
      <c r="E162" s="19"/>
      <c r="F162" s="19"/>
      <c r="G162" s="19"/>
      <c r="H162" s="19"/>
      <c r="I162" s="363"/>
      <c r="J162" s="364"/>
      <c r="K162" s="364"/>
      <c r="L162" s="364"/>
      <c r="M162" s="364"/>
      <c r="N162" s="364"/>
      <c r="O162" s="364"/>
      <c r="P162" s="364"/>
      <c r="Q162" s="364"/>
      <c r="R162" s="364"/>
      <c r="S162" s="364"/>
      <c r="T162" s="364"/>
      <c r="U162" s="364"/>
      <c r="V162" s="364"/>
      <c r="W162" s="364"/>
      <c r="X162" s="365"/>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AZ162" s="149"/>
      <c r="BA162" s="14"/>
      <c r="BB162" s="14"/>
      <c r="BC162" s="14"/>
      <c r="BD162" s="14"/>
      <c r="BE162" s="150"/>
    </row>
    <row r="163" spans="2:57"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BC163</f>
        <v>0</v>
      </c>
      <c r="AQ163" s="253"/>
      <c r="AR163" s="253"/>
      <c r="AS163" s="254"/>
      <c r="AT163" s="20"/>
      <c r="AZ163" s="151" t="s">
        <v>37</v>
      </c>
      <c r="BA163" s="152"/>
      <c r="BB163" s="152"/>
      <c r="BC163" s="358">
        <f>IF(I157="",0,BC160+BC161)</f>
        <v>0</v>
      </c>
      <c r="BD163" s="358"/>
      <c r="BE163" s="359"/>
    </row>
    <row r="164" spans="2:57"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AZ164" s="12" t="s">
        <v>619</v>
      </c>
    </row>
    <row r="165" spans="2:57"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AZ165" s="346" t="str">
        <f>IF(Basics!$U$37="NO",IF(J167="","",J167&amp;"; "),IF(J167="","",J167&amp;"; ")&amp;IF(J168="","",J168&amp;"; ")&amp;IF(J169="","",J169&amp;"; ")&amp;IF(J170="","",J170&amp;"; "))</f>
        <v/>
      </c>
      <c r="BA165" s="347"/>
      <c r="BB165" s="347"/>
      <c r="BC165" s="347"/>
      <c r="BD165" s="347"/>
      <c r="BE165" s="348"/>
    </row>
    <row r="166" spans="2:57"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AZ166" s="349"/>
      <c r="BA166" s="334"/>
      <c r="BB166" s="334"/>
      <c r="BC166" s="334"/>
      <c r="BD166" s="334"/>
      <c r="BE166" s="350"/>
    </row>
    <row r="167" spans="2:57"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AZ167" s="349"/>
      <c r="BA167" s="334"/>
      <c r="BB167" s="334"/>
      <c r="BC167" s="334"/>
      <c r="BD167" s="334"/>
      <c r="BE167" s="350"/>
    </row>
    <row r="168" spans="2:57"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AZ168" s="349"/>
      <c r="BA168" s="334"/>
      <c r="BB168" s="334"/>
      <c r="BC168" s="334"/>
      <c r="BD168" s="334"/>
      <c r="BE168" s="350"/>
    </row>
    <row r="169" spans="2:57"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AZ169" s="349"/>
      <c r="BA169" s="334"/>
      <c r="BB169" s="334"/>
      <c r="BC169" s="334"/>
      <c r="BD169" s="334"/>
      <c r="BE169" s="350"/>
    </row>
    <row r="170" spans="2:57"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AZ170" s="349"/>
      <c r="BA170" s="334"/>
      <c r="BB170" s="334"/>
      <c r="BC170" s="334"/>
      <c r="BD170" s="334"/>
      <c r="BE170" s="350"/>
    </row>
    <row r="171" spans="2:57"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AZ171" s="351"/>
      <c r="BA171" s="352"/>
      <c r="BB171" s="352"/>
      <c r="BC171" s="352"/>
      <c r="BD171" s="352"/>
      <c r="BE171" s="353"/>
    </row>
    <row r="172" spans="2:57" ht="13.5" customHeight="1" thickBot="1"/>
    <row r="173" spans="2:57"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57"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AZ174" s="147" t="s">
        <v>850</v>
      </c>
      <c r="BA174" s="148"/>
      <c r="BB174" s="148"/>
      <c r="BC174" s="354">
        <f>AP174+AP175-ABS(AP176)</f>
        <v>0</v>
      </c>
      <c r="BD174" s="354"/>
      <c r="BE174" s="355"/>
    </row>
    <row r="175" spans="2:57"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AZ175" s="149" t="s">
        <v>851</v>
      </c>
      <c r="BA175" s="14"/>
      <c r="BB175" s="14"/>
      <c r="BC175" s="356" t="str">
        <f>IF(I175="Custom","TRUE","FALSE")</f>
        <v>FALSE</v>
      </c>
      <c r="BD175" s="356"/>
      <c r="BE175" s="357"/>
    </row>
    <row r="176" spans="2:57" ht="13.5" customHeight="1" thickBot="1">
      <c r="B176" s="18"/>
      <c r="C176" s="19" t="s">
        <v>394</v>
      </c>
      <c r="D176" s="19"/>
      <c r="E176" s="19"/>
      <c r="F176" s="19"/>
      <c r="G176" s="19"/>
      <c r="H176" s="19"/>
      <c r="I176" s="373" t="str">
        <f>IF(I175="","",VLOOKUP(I175,PowerEffectsChart,33,FALSE))</f>
        <v/>
      </c>
      <c r="J176" s="272"/>
      <c r="K176" s="272"/>
      <c r="L176" s="374"/>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AZ176" s="149" t="s">
        <v>852</v>
      </c>
      <c r="BA176" s="14"/>
      <c r="BB176" s="14"/>
      <c r="BC176" s="356" t="str">
        <f>IF(I174="","",IF(BC174&gt;0,BC174,IF(BC175="TRUE",BC174,VLOOKUP(BC174,$BU$28:$BY$36,3,FALSE))))</f>
        <v/>
      </c>
      <c r="BD176" s="356"/>
      <c r="BE176" s="357"/>
    </row>
    <row r="177" spans="2:57" ht="13.5" customHeight="1" thickBot="1">
      <c r="B177" s="18"/>
      <c r="C177" s="19" t="s">
        <v>395</v>
      </c>
      <c r="D177" s="19"/>
      <c r="E177" s="19"/>
      <c r="F177" s="19"/>
      <c r="G177" s="19"/>
      <c r="H177" s="19"/>
      <c r="I177" s="360" t="str">
        <f>IF(I175="","",VLOOKUP(I175,PowerEffectsChart,38,FALSE))</f>
        <v/>
      </c>
      <c r="J177" s="361"/>
      <c r="K177" s="361"/>
      <c r="L177" s="361"/>
      <c r="M177" s="361"/>
      <c r="N177" s="361"/>
      <c r="O177" s="361"/>
      <c r="P177" s="361"/>
      <c r="Q177" s="361"/>
      <c r="R177" s="361"/>
      <c r="S177" s="361"/>
      <c r="T177" s="361"/>
      <c r="U177" s="361"/>
      <c r="V177" s="361"/>
      <c r="W177" s="361"/>
      <c r="X177" s="362"/>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AZ177" s="149" t="s">
        <v>853</v>
      </c>
      <c r="BA177" s="14"/>
      <c r="BB177" s="14"/>
      <c r="BC177" s="356" t="str">
        <f>IF(I174="","",AP177*BC176)</f>
        <v/>
      </c>
      <c r="BD177" s="356"/>
      <c r="BE177" s="357"/>
    </row>
    <row r="178" spans="2:57" ht="13.5" customHeight="1" thickBot="1">
      <c r="B178" s="18"/>
      <c r="C178" s="19"/>
      <c r="D178" s="19"/>
      <c r="E178" s="19"/>
      <c r="F178" s="19"/>
      <c r="G178" s="19"/>
      <c r="H178" s="19"/>
      <c r="I178" s="363"/>
      <c r="J178" s="364"/>
      <c r="K178" s="364"/>
      <c r="L178" s="364"/>
      <c r="M178" s="364"/>
      <c r="N178" s="364"/>
      <c r="O178" s="364"/>
      <c r="P178" s="364"/>
      <c r="Q178" s="364"/>
      <c r="R178" s="364"/>
      <c r="S178" s="364"/>
      <c r="T178" s="364"/>
      <c r="U178" s="364"/>
      <c r="V178" s="364"/>
      <c r="W178" s="364"/>
      <c r="X178" s="365"/>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AZ178" s="149" t="s">
        <v>423</v>
      </c>
      <c r="BA178" s="14"/>
      <c r="BB178" s="14"/>
      <c r="BC178" s="356">
        <f>AP178</f>
        <v>0</v>
      </c>
      <c r="BD178" s="356"/>
      <c r="BE178" s="357"/>
    </row>
    <row r="179" spans="2:57" ht="13.5" customHeight="1" thickBot="1">
      <c r="B179" s="18"/>
      <c r="C179" s="19"/>
      <c r="D179" s="19"/>
      <c r="E179" s="19"/>
      <c r="F179" s="19"/>
      <c r="G179" s="19"/>
      <c r="H179" s="19"/>
      <c r="I179" s="363"/>
      <c r="J179" s="364"/>
      <c r="K179" s="364"/>
      <c r="L179" s="364"/>
      <c r="M179" s="364"/>
      <c r="N179" s="364"/>
      <c r="O179" s="364"/>
      <c r="P179" s="364"/>
      <c r="Q179" s="364"/>
      <c r="R179" s="364"/>
      <c r="S179" s="364"/>
      <c r="T179" s="364"/>
      <c r="U179" s="364"/>
      <c r="V179" s="364"/>
      <c r="W179" s="364"/>
      <c r="X179" s="365"/>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AZ179" s="149"/>
      <c r="BA179" s="14"/>
      <c r="BB179" s="14"/>
      <c r="BC179" s="14"/>
      <c r="BD179" s="14"/>
      <c r="BE179" s="150"/>
    </row>
    <row r="180" spans="2:57"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BC180</f>
        <v>0</v>
      </c>
      <c r="AQ180" s="253"/>
      <c r="AR180" s="253"/>
      <c r="AS180" s="254"/>
      <c r="AT180" s="20"/>
      <c r="AZ180" s="151" t="s">
        <v>37</v>
      </c>
      <c r="BA180" s="152"/>
      <c r="BB180" s="152"/>
      <c r="BC180" s="358">
        <f>IF(I174="",0,BC177+BC178)</f>
        <v>0</v>
      </c>
      <c r="BD180" s="358"/>
      <c r="BE180" s="359"/>
    </row>
    <row r="181" spans="2:57"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AZ181" s="12" t="s">
        <v>619</v>
      </c>
    </row>
    <row r="182" spans="2:57"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AZ182" s="346" t="str">
        <f>IF(Basics!$U$37="NO",IF(J184="","",J184&amp;"; "),IF(J184="","",J184&amp;"; ")&amp;IF(J185="","",J185&amp;"; ")&amp;IF(J186="","",J186&amp;"; ")&amp;IF(J187="","",J187&amp;"; "))</f>
        <v/>
      </c>
      <c r="BA182" s="347"/>
      <c r="BB182" s="347"/>
      <c r="BC182" s="347"/>
      <c r="BD182" s="347"/>
      <c r="BE182" s="348"/>
    </row>
    <row r="183" spans="2:57"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AZ183" s="349"/>
      <c r="BA183" s="334"/>
      <c r="BB183" s="334"/>
      <c r="BC183" s="334"/>
      <c r="BD183" s="334"/>
      <c r="BE183" s="350"/>
    </row>
    <row r="184" spans="2:57"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AZ184" s="349"/>
      <c r="BA184" s="334"/>
      <c r="BB184" s="334"/>
      <c r="BC184" s="334"/>
      <c r="BD184" s="334"/>
      <c r="BE184" s="350"/>
    </row>
    <row r="185" spans="2:57"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AZ185" s="349"/>
      <c r="BA185" s="334"/>
      <c r="BB185" s="334"/>
      <c r="BC185" s="334"/>
      <c r="BD185" s="334"/>
      <c r="BE185" s="350"/>
    </row>
    <row r="186" spans="2:57"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AZ186" s="349"/>
      <c r="BA186" s="334"/>
      <c r="BB186" s="334"/>
      <c r="BC186" s="334"/>
      <c r="BD186" s="334"/>
      <c r="BE186" s="350"/>
    </row>
    <row r="187" spans="2:57"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AZ187" s="349"/>
      <c r="BA187" s="334"/>
      <c r="BB187" s="334"/>
      <c r="BC187" s="334"/>
      <c r="BD187" s="334"/>
      <c r="BE187" s="350"/>
    </row>
    <row r="188" spans="2:57"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AZ188" s="351"/>
      <c r="BA188" s="352"/>
      <c r="BB188" s="352"/>
      <c r="BC188" s="352"/>
      <c r="BD188" s="352"/>
      <c r="BE188" s="353"/>
    </row>
    <row r="189" spans="2:57" ht="13.5" customHeight="1" thickBot="1"/>
    <row r="190" spans="2:57"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57"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AZ191" s="147" t="s">
        <v>850</v>
      </c>
      <c r="BA191" s="148"/>
      <c r="BB191" s="148"/>
      <c r="BC191" s="354">
        <f>AP191+AP192-ABS(AP193)</f>
        <v>0</v>
      </c>
      <c r="BD191" s="354"/>
      <c r="BE191" s="355"/>
    </row>
    <row r="192" spans="2:57"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AZ192" s="149" t="s">
        <v>851</v>
      </c>
      <c r="BA192" s="14"/>
      <c r="BB192" s="14"/>
      <c r="BC192" s="356" t="str">
        <f>IF(I192="Custom","TRUE","FALSE")</f>
        <v>FALSE</v>
      </c>
      <c r="BD192" s="356"/>
      <c r="BE192" s="357"/>
    </row>
    <row r="193" spans="2:57" ht="13.5" customHeight="1" thickBot="1">
      <c r="B193" s="18"/>
      <c r="C193" s="19" t="s">
        <v>394</v>
      </c>
      <c r="D193" s="19"/>
      <c r="E193" s="19"/>
      <c r="F193" s="19"/>
      <c r="G193" s="19"/>
      <c r="H193" s="19"/>
      <c r="I193" s="373" t="str">
        <f>IF(I192="","",VLOOKUP(I192,PowerEffectsChart,33,FALSE))</f>
        <v/>
      </c>
      <c r="J193" s="272"/>
      <c r="K193" s="272"/>
      <c r="L193" s="374"/>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AZ193" s="149" t="s">
        <v>852</v>
      </c>
      <c r="BA193" s="14"/>
      <c r="BB193" s="14"/>
      <c r="BC193" s="356" t="str">
        <f>IF(I191="","",IF(BC191&gt;0,BC191,IF(BC192="TRUE",BC191,VLOOKUP(BC191,$BU$28:$BY$36,3,FALSE))))</f>
        <v/>
      </c>
      <c r="BD193" s="356"/>
      <c r="BE193" s="357"/>
    </row>
    <row r="194" spans="2:57" ht="13.5" customHeight="1" thickBot="1">
      <c r="B194" s="18"/>
      <c r="C194" s="19" t="s">
        <v>395</v>
      </c>
      <c r="D194" s="19"/>
      <c r="E194" s="19"/>
      <c r="F194" s="19"/>
      <c r="G194" s="19"/>
      <c r="H194" s="19"/>
      <c r="I194" s="360" t="str">
        <f>IF(I192="","",VLOOKUP(I192,PowerEffectsChart,38,FALSE))</f>
        <v/>
      </c>
      <c r="J194" s="361"/>
      <c r="K194" s="361"/>
      <c r="L194" s="361"/>
      <c r="M194" s="361"/>
      <c r="N194" s="361"/>
      <c r="O194" s="361"/>
      <c r="P194" s="361"/>
      <c r="Q194" s="361"/>
      <c r="R194" s="361"/>
      <c r="S194" s="361"/>
      <c r="T194" s="361"/>
      <c r="U194" s="361"/>
      <c r="V194" s="361"/>
      <c r="W194" s="361"/>
      <c r="X194" s="362"/>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AZ194" s="149" t="s">
        <v>853</v>
      </c>
      <c r="BA194" s="14"/>
      <c r="BB194" s="14"/>
      <c r="BC194" s="356" t="str">
        <f>IF(I191="","",AP194*BC193)</f>
        <v/>
      </c>
      <c r="BD194" s="356"/>
      <c r="BE194" s="357"/>
    </row>
    <row r="195" spans="2:57" ht="13.5" customHeight="1" thickBot="1">
      <c r="B195" s="18"/>
      <c r="C195" s="19"/>
      <c r="D195" s="19"/>
      <c r="E195" s="19"/>
      <c r="F195" s="19"/>
      <c r="G195" s="19"/>
      <c r="H195" s="19"/>
      <c r="I195" s="363"/>
      <c r="J195" s="364"/>
      <c r="K195" s="364"/>
      <c r="L195" s="364"/>
      <c r="M195" s="364"/>
      <c r="N195" s="364"/>
      <c r="O195" s="364"/>
      <c r="P195" s="364"/>
      <c r="Q195" s="364"/>
      <c r="R195" s="364"/>
      <c r="S195" s="364"/>
      <c r="T195" s="364"/>
      <c r="U195" s="364"/>
      <c r="V195" s="364"/>
      <c r="W195" s="364"/>
      <c r="X195" s="365"/>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AZ195" s="149" t="s">
        <v>423</v>
      </c>
      <c r="BA195" s="14"/>
      <c r="BB195" s="14"/>
      <c r="BC195" s="356">
        <f>AP195</f>
        <v>0</v>
      </c>
      <c r="BD195" s="356"/>
      <c r="BE195" s="357"/>
    </row>
    <row r="196" spans="2:57" ht="13.5" customHeight="1" thickBot="1">
      <c r="B196" s="18"/>
      <c r="C196" s="19"/>
      <c r="D196" s="19"/>
      <c r="E196" s="19"/>
      <c r="F196" s="19"/>
      <c r="G196" s="19"/>
      <c r="H196" s="19"/>
      <c r="I196" s="363"/>
      <c r="J196" s="364"/>
      <c r="K196" s="364"/>
      <c r="L196" s="364"/>
      <c r="M196" s="364"/>
      <c r="N196" s="364"/>
      <c r="O196" s="364"/>
      <c r="P196" s="364"/>
      <c r="Q196" s="364"/>
      <c r="R196" s="364"/>
      <c r="S196" s="364"/>
      <c r="T196" s="364"/>
      <c r="U196" s="364"/>
      <c r="V196" s="364"/>
      <c r="W196" s="364"/>
      <c r="X196" s="365"/>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AZ196" s="149"/>
      <c r="BA196" s="14"/>
      <c r="BB196" s="14"/>
      <c r="BC196" s="14"/>
      <c r="BD196" s="14"/>
      <c r="BE196" s="150"/>
    </row>
    <row r="197" spans="2:57"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BC197</f>
        <v>0</v>
      </c>
      <c r="AQ197" s="253"/>
      <c r="AR197" s="253"/>
      <c r="AS197" s="254"/>
      <c r="AT197" s="20"/>
      <c r="AZ197" s="151" t="s">
        <v>37</v>
      </c>
      <c r="BA197" s="152"/>
      <c r="BB197" s="152"/>
      <c r="BC197" s="358">
        <f>IF(I191="",0,BC194+BC195)</f>
        <v>0</v>
      </c>
      <c r="BD197" s="358"/>
      <c r="BE197" s="359"/>
    </row>
    <row r="198" spans="2:57"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AZ198" s="12" t="s">
        <v>619</v>
      </c>
    </row>
    <row r="199" spans="2:57"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AZ199" s="346" t="str">
        <f>IF(Basics!$U$37="NO",IF(J201="","",J201&amp;"; "),IF(J201="","",J201&amp;"; ")&amp;IF(J202="","",J202&amp;"; ")&amp;IF(J203="","",J203&amp;"; ")&amp;IF(J204="","",J204&amp;"; "))</f>
        <v/>
      </c>
      <c r="BA199" s="347"/>
      <c r="BB199" s="347"/>
      <c r="BC199" s="347"/>
      <c r="BD199" s="347"/>
      <c r="BE199" s="348"/>
    </row>
    <row r="200" spans="2:57"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AZ200" s="349"/>
      <c r="BA200" s="334"/>
      <c r="BB200" s="334"/>
      <c r="BC200" s="334"/>
      <c r="BD200" s="334"/>
      <c r="BE200" s="350"/>
    </row>
    <row r="201" spans="2:57"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AZ201" s="349"/>
      <c r="BA201" s="334"/>
      <c r="BB201" s="334"/>
      <c r="BC201" s="334"/>
      <c r="BD201" s="334"/>
      <c r="BE201" s="350"/>
    </row>
    <row r="202" spans="2:57"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AZ202" s="349"/>
      <c r="BA202" s="334"/>
      <c r="BB202" s="334"/>
      <c r="BC202" s="334"/>
      <c r="BD202" s="334"/>
      <c r="BE202" s="350"/>
    </row>
    <row r="203" spans="2:57"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AZ203" s="349"/>
      <c r="BA203" s="334"/>
      <c r="BB203" s="334"/>
      <c r="BC203" s="334"/>
      <c r="BD203" s="334"/>
      <c r="BE203" s="350"/>
    </row>
    <row r="204" spans="2:57"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AZ204" s="349"/>
      <c r="BA204" s="334"/>
      <c r="BB204" s="334"/>
      <c r="BC204" s="334"/>
      <c r="BD204" s="334"/>
      <c r="BE204" s="350"/>
    </row>
    <row r="205" spans="2:57"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AZ205" s="351"/>
      <c r="BA205" s="352"/>
      <c r="BB205" s="352"/>
      <c r="BC205" s="352"/>
      <c r="BD205" s="352"/>
      <c r="BE205" s="353"/>
    </row>
    <row r="206" spans="2:57" ht="13.5" customHeight="1" thickBot="1"/>
    <row r="207" spans="2:57"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57"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AZ208" s="147" t="s">
        <v>850</v>
      </c>
      <c r="BA208" s="148"/>
      <c r="BB208" s="148"/>
      <c r="BC208" s="354">
        <f>AP208+AP209-ABS(AP210)</f>
        <v>0</v>
      </c>
      <c r="BD208" s="354"/>
      <c r="BE208" s="355"/>
    </row>
    <row r="209" spans="2:57"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AZ209" s="149" t="s">
        <v>851</v>
      </c>
      <c r="BA209" s="14"/>
      <c r="BB209" s="14"/>
      <c r="BC209" s="356" t="str">
        <f>IF(I209="Custom","TRUE","FALSE")</f>
        <v>FALSE</v>
      </c>
      <c r="BD209" s="356"/>
      <c r="BE209" s="357"/>
    </row>
    <row r="210" spans="2:57" ht="13.5" customHeight="1" thickBot="1">
      <c r="B210" s="18"/>
      <c r="C210" s="19" t="s">
        <v>394</v>
      </c>
      <c r="D210" s="19"/>
      <c r="E210" s="19"/>
      <c r="F210" s="19"/>
      <c r="G210" s="19"/>
      <c r="H210" s="19"/>
      <c r="I210" s="373" t="str">
        <f>IF(I209="","",VLOOKUP(I209,PowerEffectsChart,33,FALSE))</f>
        <v/>
      </c>
      <c r="J210" s="272"/>
      <c r="K210" s="272"/>
      <c r="L210" s="374"/>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AZ210" s="149" t="s">
        <v>852</v>
      </c>
      <c r="BA210" s="14"/>
      <c r="BB210" s="14"/>
      <c r="BC210" s="356" t="str">
        <f>IF(I208="","",IF(BC208&gt;0,BC208,IF(BC209="TRUE",BC208,VLOOKUP(BC208,$BU$28:$BY$36,3,FALSE))))</f>
        <v/>
      </c>
      <c r="BD210" s="356"/>
      <c r="BE210" s="357"/>
    </row>
    <row r="211" spans="2:57" ht="13.5" customHeight="1" thickBot="1">
      <c r="B211" s="18"/>
      <c r="C211" s="19" t="s">
        <v>395</v>
      </c>
      <c r="D211" s="19"/>
      <c r="E211" s="19"/>
      <c r="F211" s="19"/>
      <c r="G211" s="19"/>
      <c r="H211" s="19"/>
      <c r="I211" s="360" t="str">
        <f>IF(I209="","",VLOOKUP(I209,PowerEffectsChart,38,FALSE))</f>
        <v/>
      </c>
      <c r="J211" s="361"/>
      <c r="K211" s="361"/>
      <c r="L211" s="361"/>
      <c r="M211" s="361"/>
      <c r="N211" s="361"/>
      <c r="O211" s="361"/>
      <c r="P211" s="361"/>
      <c r="Q211" s="361"/>
      <c r="R211" s="361"/>
      <c r="S211" s="361"/>
      <c r="T211" s="361"/>
      <c r="U211" s="361"/>
      <c r="V211" s="361"/>
      <c r="W211" s="361"/>
      <c r="X211" s="362"/>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AZ211" s="149" t="s">
        <v>853</v>
      </c>
      <c r="BA211" s="14"/>
      <c r="BB211" s="14"/>
      <c r="BC211" s="356" t="str">
        <f>IF(I208="","",AP211*BC210)</f>
        <v/>
      </c>
      <c r="BD211" s="356"/>
      <c r="BE211" s="357"/>
    </row>
    <row r="212" spans="2:57" ht="13.5" customHeight="1" thickBot="1">
      <c r="B212" s="18"/>
      <c r="C212" s="19"/>
      <c r="D212" s="19"/>
      <c r="E212" s="19"/>
      <c r="F212" s="19"/>
      <c r="G212" s="19"/>
      <c r="H212" s="19"/>
      <c r="I212" s="363"/>
      <c r="J212" s="364"/>
      <c r="K212" s="364"/>
      <c r="L212" s="364"/>
      <c r="M212" s="364"/>
      <c r="N212" s="364"/>
      <c r="O212" s="364"/>
      <c r="P212" s="364"/>
      <c r="Q212" s="364"/>
      <c r="R212" s="364"/>
      <c r="S212" s="364"/>
      <c r="T212" s="364"/>
      <c r="U212" s="364"/>
      <c r="V212" s="364"/>
      <c r="W212" s="364"/>
      <c r="X212" s="365"/>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AZ212" s="149" t="s">
        <v>423</v>
      </c>
      <c r="BA212" s="14"/>
      <c r="BB212" s="14"/>
      <c r="BC212" s="356">
        <f>AP212</f>
        <v>0</v>
      </c>
      <c r="BD212" s="356"/>
      <c r="BE212" s="357"/>
    </row>
    <row r="213" spans="2:57" ht="13.5" customHeight="1" thickBot="1">
      <c r="B213" s="18"/>
      <c r="C213" s="19"/>
      <c r="D213" s="19"/>
      <c r="E213" s="19"/>
      <c r="F213" s="19"/>
      <c r="G213" s="19"/>
      <c r="H213" s="19"/>
      <c r="I213" s="363"/>
      <c r="J213" s="364"/>
      <c r="K213" s="364"/>
      <c r="L213" s="364"/>
      <c r="M213" s="364"/>
      <c r="N213" s="364"/>
      <c r="O213" s="364"/>
      <c r="P213" s="364"/>
      <c r="Q213" s="364"/>
      <c r="R213" s="364"/>
      <c r="S213" s="364"/>
      <c r="T213" s="364"/>
      <c r="U213" s="364"/>
      <c r="V213" s="364"/>
      <c r="W213" s="364"/>
      <c r="X213" s="365"/>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AZ213" s="149"/>
      <c r="BA213" s="14"/>
      <c r="BB213" s="14"/>
      <c r="BC213" s="14"/>
      <c r="BD213" s="14"/>
      <c r="BE213" s="150"/>
    </row>
    <row r="214" spans="2:57"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BC214</f>
        <v>0</v>
      </c>
      <c r="AQ214" s="253"/>
      <c r="AR214" s="253"/>
      <c r="AS214" s="254"/>
      <c r="AT214" s="20"/>
      <c r="AZ214" s="151" t="s">
        <v>37</v>
      </c>
      <c r="BA214" s="152"/>
      <c r="BB214" s="152"/>
      <c r="BC214" s="358">
        <f>IF(I208="",0,BC211+BC212)</f>
        <v>0</v>
      </c>
      <c r="BD214" s="358"/>
      <c r="BE214" s="359"/>
    </row>
    <row r="215" spans="2:57"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AZ215" s="12" t="s">
        <v>619</v>
      </c>
    </row>
    <row r="216" spans="2:57"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AZ216" s="346" t="str">
        <f>IF(Basics!$U$37="NO",IF(J218="","",J218&amp;"; "),IF(J218="","",J218&amp;"; ")&amp;IF(J219="","",J219&amp;"; ")&amp;IF(J220="","",J220&amp;"; ")&amp;IF(J221="","",J221&amp;"; "))</f>
        <v/>
      </c>
      <c r="BA216" s="347"/>
      <c r="BB216" s="347"/>
      <c r="BC216" s="347"/>
      <c r="BD216" s="347"/>
      <c r="BE216" s="348"/>
    </row>
    <row r="217" spans="2:57"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AZ217" s="349"/>
      <c r="BA217" s="334"/>
      <c r="BB217" s="334"/>
      <c r="BC217" s="334"/>
      <c r="BD217" s="334"/>
      <c r="BE217" s="350"/>
    </row>
    <row r="218" spans="2:57"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AZ218" s="349"/>
      <c r="BA218" s="334"/>
      <c r="BB218" s="334"/>
      <c r="BC218" s="334"/>
      <c r="BD218" s="334"/>
      <c r="BE218" s="350"/>
    </row>
    <row r="219" spans="2:57"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AZ219" s="349"/>
      <c r="BA219" s="334"/>
      <c r="BB219" s="334"/>
      <c r="BC219" s="334"/>
      <c r="BD219" s="334"/>
      <c r="BE219" s="350"/>
    </row>
    <row r="220" spans="2:57"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AZ220" s="349"/>
      <c r="BA220" s="334"/>
      <c r="BB220" s="334"/>
      <c r="BC220" s="334"/>
      <c r="BD220" s="334"/>
      <c r="BE220" s="350"/>
    </row>
    <row r="221" spans="2:57"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AZ221" s="349"/>
      <c r="BA221" s="334"/>
      <c r="BB221" s="334"/>
      <c r="BC221" s="334"/>
      <c r="BD221" s="334"/>
      <c r="BE221" s="350"/>
    </row>
    <row r="222" spans="2:57"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AZ222" s="351"/>
      <c r="BA222" s="352"/>
      <c r="BB222" s="352"/>
      <c r="BC222" s="352"/>
      <c r="BD222" s="352"/>
      <c r="BE222" s="353"/>
    </row>
    <row r="223" spans="2:57" ht="13.5" customHeight="1" thickBot="1"/>
    <row r="224" spans="2:57"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57"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AZ225" s="147" t="s">
        <v>850</v>
      </c>
      <c r="BA225" s="148"/>
      <c r="BB225" s="148"/>
      <c r="BC225" s="354">
        <f>AP225+AP226-ABS(AP227)</f>
        <v>0</v>
      </c>
      <c r="BD225" s="354"/>
      <c r="BE225" s="355"/>
    </row>
    <row r="226" spans="2:57"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AZ226" s="149" t="s">
        <v>851</v>
      </c>
      <c r="BA226" s="14"/>
      <c r="BB226" s="14"/>
      <c r="BC226" s="356" t="str">
        <f>IF(I226="Custom","TRUE","FALSE")</f>
        <v>FALSE</v>
      </c>
      <c r="BD226" s="356"/>
      <c r="BE226" s="357"/>
    </row>
    <row r="227" spans="2:57" ht="13.5" customHeight="1" thickBot="1">
      <c r="B227" s="18"/>
      <c r="C227" s="19" t="s">
        <v>394</v>
      </c>
      <c r="D227" s="19"/>
      <c r="E227" s="19"/>
      <c r="F227" s="19"/>
      <c r="G227" s="19"/>
      <c r="H227" s="19"/>
      <c r="I227" s="373" t="str">
        <f>IF(I226="","",VLOOKUP(I226,PowerEffectsChart,33,FALSE))</f>
        <v/>
      </c>
      <c r="J227" s="272"/>
      <c r="K227" s="272"/>
      <c r="L227" s="374"/>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AZ227" s="149" t="s">
        <v>852</v>
      </c>
      <c r="BA227" s="14"/>
      <c r="BB227" s="14"/>
      <c r="BC227" s="356" t="str">
        <f>IF(I225="","",IF(BC225&gt;0,BC225,IF(BC226="TRUE",BC225,VLOOKUP(BC225,$BU$28:$BY$36,3,FALSE))))</f>
        <v/>
      </c>
      <c r="BD227" s="356"/>
      <c r="BE227" s="357"/>
    </row>
    <row r="228" spans="2:57" ht="13.5" customHeight="1" thickBot="1">
      <c r="B228" s="18"/>
      <c r="C228" s="19" t="s">
        <v>395</v>
      </c>
      <c r="D228" s="19"/>
      <c r="E228" s="19"/>
      <c r="F228" s="19"/>
      <c r="G228" s="19"/>
      <c r="H228" s="19"/>
      <c r="I228" s="360" t="str">
        <f>IF(I226="","",VLOOKUP(I226,PowerEffectsChart,38,FALSE))</f>
        <v/>
      </c>
      <c r="J228" s="361"/>
      <c r="K228" s="361"/>
      <c r="L228" s="361"/>
      <c r="M228" s="361"/>
      <c r="N228" s="361"/>
      <c r="O228" s="361"/>
      <c r="P228" s="361"/>
      <c r="Q228" s="361"/>
      <c r="R228" s="361"/>
      <c r="S228" s="361"/>
      <c r="T228" s="361"/>
      <c r="U228" s="361"/>
      <c r="V228" s="361"/>
      <c r="W228" s="361"/>
      <c r="X228" s="362"/>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AZ228" s="149" t="s">
        <v>853</v>
      </c>
      <c r="BA228" s="14"/>
      <c r="BB228" s="14"/>
      <c r="BC228" s="356" t="str">
        <f>IF(I225="","",AP228*BC227)</f>
        <v/>
      </c>
      <c r="BD228" s="356"/>
      <c r="BE228" s="357"/>
    </row>
    <row r="229" spans="2:57" ht="13.5" customHeight="1" thickBot="1">
      <c r="B229" s="18"/>
      <c r="C229" s="19"/>
      <c r="D229" s="19"/>
      <c r="E229" s="19"/>
      <c r="F229" s="19"/>
      <c r="G229" s="19"/>
      <c r="H229" s="19"/>
      <c r="I229" s="363"/>
      <c r="J229" s="364"/>
      <c r="K229" s="364"/>
      <c r="L229" s="364"/>
      <c r="M229" s="364"/>
      <c r="N229" s="364"/>
      <c r="O229" s="364"/>
      <c r="P229" s="364"/>
      <c r="Q229" s="364"/>
      <c r="R229" s="364"/>
      <c r="S229" s="364"/>
      <c r="T229" s="364"/>
      <c r="U229" s="364"/>
      <c r="V229" s="364"/>
      <c r="W229" s="364"/>
      <c r="X229" s="365"/>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AZ229" s="149" t="s">
        <v>423</v>
      </c>
      <c r="BA229" s="14"/>
      <c r="BB229" s="14"/>
      <c r="BC229" s="356">
        <f>AP229</f>
        <v>0</v>
      </c>
      <c r="BD229" s="356"/>
      <c r="BE229" s="357"/>
    </row>
    <row r="230" spans="2:57" ht="13.5" customHeight="1" thickBot="1">
      <c r="B230" s="18"/>
      <c r="C230" s="19"/>
      <c r="D230" s="19"/>
      <c r="E230" s="19"/>
      <c r="F230" s="19"/>
      <c r="G230" s="19"/>
      <c r="H230" s="19"/>
      <c r="I230" s="363"/>
      <c r="J230" s="364"/>
      <c r="K230" s="364"/>
      <c r="L230" s="364"/>
      <c r="M230" s="364"/>
      <c r="N230" s="364"/>
      <c r="O230" s="364"/>
      <c r="P230" s="364"/>
      <c r="Q230" s="364"/>
      <c r="R230" s="364"/>
      <c r="S230" s="364"/>
      <c r="T230" s="364"/>
      <c r="U230" s="364"/>
      <c r="V230" s="364"/>
      <c r="W230" s="364"/>
      <c r="X230" s="365"/>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AZ230" s="149"/>
      <c r="BA230" s="14"/>
      <c r="BB230" s="14"/>
      <c r="BC230" s="14"/>
      <c r="BD230" s="14"/>
      <c r="BE230" s="150"/>
    </row>
    <row r="231" spans="2:57"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BC231</f>
        <v>0</v>
      </c>
      <c r="AQ231" s="253"/>
      <c r="AR231" s="253"/>
      <c r="AS231" s="254"/>
      <c r="AT231" s="20"/>
      <c r="AZ231" s="151" t="s">
        <v>37</v>
      </c>
      <c r="BA231" s="152"/>
      <c r="BB231" s="152"/>
      <c r="BC231" s="358">
        <f>IF(I225="",0,BC228+BC229)</f>
        <v>0</v>
      </c>
      <c r="BD231" s="358"/>
      <c r="BE231" s="359"/>
    </row>
    <row r="232" spans="2:57"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AZ232" s="12" t="s">
        <v>619</v>
      </c>
    </row>
    <row r="233" spans="2:57"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AZ233" s="346" t="str">
        <f>IF(Basics!$U$37="NO",IF(J235="","",J235&amp;"; "),IF(J235="","",J235&amp;"; ")&amp;IF(J236="","",J236&amp;"; ")&amp;IF(J237="","",J237&amp;"; ")&amp;IF(J238="","",J238&amp;"; "))</f>
        <v/>
      </c>
      <c r="BA233" s="347"/>
      <c r="BB233" s="347"/>
      <c r="BC233" s="347"/>
      <c r="BD233" s="347"/>
      <c r="BE233" s="348"/>
    </row>
    <row r="234" spans="2:57"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64"/>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AZ234" s="349"/>
      <c r="BA234" s="334"/>
      <c r="BB234" s="334"/>
      <c r="BC234" s="334"/>
      <c r="BD234" s="334"/>
      <c r="BE234" s="350"/>
    </row>
    <row r="235" spans="2:57"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AZ235" s="349"/>
      <c r="BA235" s="334"/>
      <c r="BB235" s="334"/>
      <c r="BC235" s="334"/>
      <c r="BD235" s="334"/>
      <c r="BE235" s="350"/>
    </row>
    <row r="236" spans="2:57"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AZ236" s="349"/>
      <c r="BA236" s="334"/>
      <c r="BB236" s="334"/>
      <c r="BC236" s="334"/>
      <c r="BD236" s="334"/>
      <c r="BE236" s="350"/>
    </row>
    <row r="237" spans="2:57"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AZ237" s="349"/>
      <c r="BA237" s="334"/>
      <c r="BB237" s="334"/>
      <c r="BC237" s="334"/>
      <c r="BD237" s="334"/>
      <c r="BE237" s="350"/>
    </row>
    <row r="238" spans="2:57"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AZ238" s="349"/>
      <c r="BA238" s="334"/>
      <c r="BB238" s="334"/>
      <c r="BC238" s="334"/>
      <c r="BD238" s="334"/>
      <c r="BE238" s="350"/>
    </row>
    <row r="239" spans="2:57"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AZ239" s="351"/>
      <c r="BA239" s="352"/>
      <c r="BB239" s="352"/>
      <c r="BC239" s="352"/>
      <c r="BD239" s="352"/>
      <c r="BE239" s="353"/>
    </row>
    <row r="240" spans="2:57" ht="13.5" customHeight="1" thickBot="1"/>
    <row r="241" spans="2:57"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57"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AZ242" s="147" t="s">
        <v>850</v>
      </c>
      <c r="BA242" s="148"/>
      <c r="BB242" s="148"/>
      <c r="BC242" s="354">
        <f>AP242+AP243-ABS(AP244)</f>
        <v>0</v>
      </c>
      <c r="BD242" s="354"/>
      <c r="BE242" s="355"/>
    </row>
    <row r="243" spans="2:57"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AZ243" s="149" t="s">
        <v>851</v>
      </c>
      <c r="BA243" s="14"/>
      <c r="BB243" s="14"/>
      <c r="BC243" s="356" t="str">
        <f>IF(I243="Custom","TRUE","FALSE")</f>
        <v>FALSE</v>
      </c>
      <c r="BD243" s="356"/>
      <c r="BE243" s="357"/>
    </row>
    <row r="244" spans="2:57" ht="13.5" customHeight="1" thickBot="1">
      <c r="B244" s="18"/>
      <c r="C244" s="19" t="s">
        <v>394</v>
      </c>
      <c r="D244" s="19"/>
      <c r="E244" s="19"/>
      <c r="F244" s="19"/>
      <c r="G244" s="19"/>
      <c r="H244" s="19"/>
      <c r="I244" s="373" t="str">
        <f>IF(I243="","",VLOOKUP(I243,PowerEffectsChart,33,FALSE))</f>
        <v/>
      </c>
      <c r="J244" s="272"/>
      <c r="K244" s="272"/>
      <c r="L244" s="374"/>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AZ244" s="149" t="s">
        <v>852</v>
      </c>
      <c r="BA244" s="14"/>
      <c r="BB244" s="14"/>
      <c r="BC244" s="356" t="str">
        <f>IF(I242="","",IF(BC242&gt;0,BC242,IF(BC243="TRUE",BC242,VLOOKUP(BC242,$BU$28:$BY$36,3,FALSE))))</f>
        <v/>
      </c>
      <c r="BD244" s="356"/>
      <c r="BE244" s="357"/>
    </row>
    <row r="245" spans="2:57" ht="13.5" customHeight="1" thickBot="1">
      <c r="B245" s="18"/>
      <c r="C245" s="19" t="s">
        <v>395</v>
      </c>
      <c r="D245" s="19"/>
      <c r="E245" s="19"/>
      <c r="F245" s="19"/>
      <c r="G245" s="19"/>
      <c r="H245" s="19"/>
      <c r="I245" s="360" t="str">
        <f>IF(I243="","",VLOOKUP(I243,PowerEffectsChart,38,FALSE))</f>
        <v/>
      </c>
      <c r="J245" s="361"/>
      <c r="K245" s="361"/>
      <c r="L245" s="361"/>
      <c r="M245" s="361"/>
      <c r="N245" s="361"/>
      <c r="O245" s="361"/>
      <c r="P245" s="361"/>
      <c r="Q245" s="361"/>
      <c r="R245" s="361"/>
      <c r="S245" s="361"/>
      <c r="T245" s="361"/>
      <c r="U245" s="361"/>
      <c r="V245" s="361"/>
      <c r="W245" s="361"/>
      <c r="X245" s="362"/>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AZ245" s="149" t="s">
        <v>853</v>
      </c>
      <c r="BA245" s="14"/>
      <c r="BB245" s="14"/>
      <c r="BC245" s="356" t="str">
        <f>IF(I242="","",AP245*BC244)</f>
        <v/>
      </c>
      <c r="BD245" s="356"/>
      <c r="BE245" s="357"/>
    </row>
    <row r="246" spans="2:57" ht="13.5" customHeight="1" thickBot="1">
      <c r="B246" s="18"/>
      <c r="C246" s="19"/>
      <c r="D246" s="19"/>
      <c r="E246" s="19"/>
      <c r="F246" s="19"/>
      <c r="G246" s="19"/>
      <c r="H246" s="19"/>
      <c r="I246" s="363"/>
      <c r="J246" s="364"/>
      <c r="K246" s="364"/>
      <c r="L246" s="364"/>
      <c r="M246" s="364"/>
      <c r="N246" s="364"/>
      <c r="O246" s="364"/>
      <c r="P246" s="364"/>
      <c r="Q246" s="364"/>
      <c r="R246" s="364"/>
      <c r="S246" s="364"/>
      <c r="T246" s="364"/>
      <c r="U246" s="364"/>
      <c r="V246" s="364"/>
      <c r="W246" s="364"/>
      <c r="X246" s="365"/>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AZ246" s="149" t="s">
        <v>423</v>
      </c>
      <c r="BA246" s="14"/>
      <c r="BB246" s="14"/>
      <c r="BC246" s="356">
        <f>AP246</f>
        <v>0</v>
      </c>
      <c r="BD246" s="356"/>
      <c r="BE246" s="357"/>
    </row>
    <row r="247" spans="2:57" ht="13.5" customHeight="1" thickBot="1">
      <c r="B247" s="18"/>
      <c r="C247" s="19"/>
      <c r="D247" s="19"/>
      <c r="E247" s="19"/>
      <c r="F247" s="19"/>
      <c r="G247" s="19"/>
      <c r="H247" s="19"/>
      <c r="I247" s="363"/>
      <c r="J247" s="364"/>
      <c r="K247" s="364"/>
      <c r="L247" s="364"/>
      <c r="M247" s="364"/>
      <c r="N247" s="364"/>
      <c r="O247" s="364"/>
      <c r="P247" s="364"/>
      <c r="Q247" s="364"/>
      <c r="R247" s="364"/>
      <c r="S247" s="364"/>
      <c r="T247" s="364"/>
      <c r="U247" s="364"/>
      <c r="V247" s="364"/>
      <c r="W247" s="364"/>
      <c r="X247" s="365"/>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AZ247" s="149"/>
      <c r="BA247" s="14"/>
      <c r="BB247" s="14"/>
      <c r="BC247" s="14"/>
      <c r="BD247" s="14"/>
      <c r="BE247" s="150"/>
    </row>
    <row r="248" spans="2:57"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BC248</f>
        <v>0</v>
      </c>
      <c r="AQ248" s="253"/>
      <c r="AR248" s="253"/>
      <c r="AS248" s="254"/>
      <c r="AT248" s="20"/>
      <c r="AZ248" s="151" t="s">
        <v>37</v>
      </c>
      <c r="BA248" s="152"/>
      <c r="BB248" s="152"/>
      <c r="BC248" s="358">
        <f>IF(I242="",0,BC245+BC246)</f>
        <v>0</v>
      </c>
      <c r="BD248" s="358"/>
      <c r="BE248" s="359"/>
    </row>
    <row r="249" spans="2:57"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AZ249" s="12" t="s">
        <v>619</v>
      </c>
    </row>
    <row r="250" spans="2:57"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AZ250" s="346" t="str">
        <f>IF(Basics!$U$37="NO",IF(J252="","",J252&amp;"; "),IF(J252="","",J252&amp;"; ")&amp;IF(J253="","",J253&amp;"; ")&amp;IF(J254="","",J254&amp;"; ")&amp;IF(J255="","",J255&amp;"; "))</f>
        <v/>
      </c>
      <c r="BA250" s="347"/>
      <c r="BB250" s="347"/>
      <c r="BC250" s="347"/>
      <c r="BD250" s="347"/>
      <c r="BE250" s="348"/>
    </row>
    <row r="251" spans="2:57"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AZ251" s="349"/>
      <c r="BA251" s="334"/>
      <c r="BB251" s="334"/>
      <c r="BC251" s="334"/>
      <c r="BD251" s="334"/>
      <c r="BE251" s="350"/>
    </row>
    <row r="252" spans="2:57"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AZ252" s="349"/>
      <c r="BA252" s="334"/>
      <c r="BB252" s="334"/>
      <c r="BC252" s="334"/>
      <c r="BD252" s="334"/>
      <c r="BE252" s="350"/>
    </row>
    <row r="253" spans="2:57"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AZ253" s="349"/>
      <c r="BA253" s="334"/>
      <c r="BB253" s="334"/>
      <c r="BC253" s="334"/>
      <c r="BD253" s="334"/>
      <c r="BE253" s="350"/>
    </row>
    <row r="254" spans="2:57"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AZ254" s="349"/>
      <c r="BA254" s="334"/>
      <c r="BB254" s="334"/>
      <c r="BC254" s="334"/>
      <c r="BD254" s="334"/>
      <c r="BE254" s="350"/>
    </row>
    <row r="255" spans="2:57"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AZ255" s="349"/>
      <c r="BA255" s="334"/>
      <c r="BB255" s="334"/>
      <c r="BC255" s="334"/>
      <c r="BD255" s="334"/>
      <c r="BE255" s="350"/>
    </row>
    <row r="256" spans="2:57"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AZ256" s="351"/>
      <c r="BA256" s="352"/>
      <c r="BB256" s="352"/>
      <c r="BC256" s="352"/>
      <c r="BD256" s="352"/>
      <c r="BE256" s="353"/>
    </row>
    <row r="257" spans="2:57" ht="13.5" customHeight="1" thickBot="1"/>
    <row r="258" spans="2:57" ht="13.5" customHeight="1" thickBot="1">
      <c r="B258" s="15"/>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57"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AZ259" s="147" t="s">
        <v>850</v>
      </c>
      <c r="BA259" s="148"/>
      <c r="BB259" s="148"/>
      <c r="BC259" s="354">
        <f>AP259+AP260-ABS(AP261)</f>
        <v>0</v>
      </c>
      <c r="BD259" s="354"/>
      <c r="BE259" s="355"/>
    </row>
    <row r="260" spans="2:57"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AZ260" s="149" t="s">
        <v>851</v>
      </c>
      <c r="BA260" s="14"/>
      <c r="BB260" s="14"/>
      <c r="BC260" s="356" t="str">
        <f>IF(I260="Custom","TRUE","FALSE")</f>
        <v>FALSE</v>
      </c>
      <c r="BD260" s="356"/>
      <c r="BE260" s="357"/>
    </row>
    <row r="261" spans="2:57" ht="13.5" customHeight="1" thickBot="1">
      <c r="B261" s="18"/>
      <c r="C261" s="19" t="s">
        <v>394</v>
      </c>
      <c r="D261" s="19"/>
      <c r="E261" s="19"/>
      <c r="F261" s="19"/>
      <c r="G261" s="19"/>
      <c r="H261" s="19"/>
      <c r="I261" s="373" t="str">
        <f>IF(I260="","",VLOOKUP(I260,PowerEffectsChart,33,FALSE))</f>
        <v/>
      </c>
      <c r="J261" s="272"/>
      <c r="K261" s="272"/>
      <c r="L261" s="374"/>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AZ261" s="149" t="s">
        <v>852</v>
      </c>
      <c r="BA261" s="14"/>
      <c r="BB261" s="14"/>
      <c r="BC261" s="356" t="str">
        <f>IF(I259="","",IF(BC259&gt;0,BC259,IF(BC260="TRUE",BC259,VLOOKUP(BC259,$BU$28:$BY$36,3,FALSE))))</f>
        <v/>
      </c>
      <c r="BD261" s="356"/>
      <c r="BE261" s="357"/>
    </row>
    <row r="262" spans="2:57" ht="13.5" customHeight="1" thickBot="1">
      <c r="B262" s="18"/>
      <c r="C262" s="19" t="s">
        <v>395</v>
      </c>
      <c r="D262" s="19"/>
      <c r="E262" s="19"/>
      <c r="F262" s="19"/>
      <c r="G262" s="19"/>
      <c r="H262" s="19"/>
      <c r="I262" s="360" t="str">
        <f>IF(I260="","",VLOOKUP(I260,PowerEffectsChart,38,FALSE))</f>
        <v/>
      </c>
      <c r="J262" s="361"/>
      <c r="K262" s="361"/>
      <c r="L262" s="361"/>
      <c r="M262" s="361"/>
      <c r="N262" s="361"/>
      <c r="O262" s="361"/>
      <c r="P262" s="361"/>
      <c r="Q262" s="361"/>
      <c r="R262" s="361"/>
      <c r="S262" s="361"/>
      <c r="T262" s="361"/>
      <c r="U262" s="361"/>
      <c r="V262" s="361"/>
      <c r="W262" s="361"/>
      <c r="X262" s="362"/>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AZ262" s="149" t="s">
        <v>853</v>
      </c>
      <c r="BA262" s="14"/>
      <c r="BB262" s="14"/>
      <c r="BC262" s="356" t="str">
        <f>IF(I259="","",AP262*BC261)</f>
        <v/>
      </c>
      <c r="BD262" s="356"/>
      <c r="BE262" s="357"/>
    </row>
    <row r="263" spans="2:57" ht="13.5" customHeight="1" thickBot="1">
      <c r="B263" s="18"/>
      <c r="C263" s="19"/>
      <c r="D263" s="19"/>
      <c r="E263" s="19"/>
      <c r="F263" s="19"/>
      <c r="G263" s="19"/>
      <c r="H263" s="19"/>
      <c r="I263" s="363"/>
      <c r="J263" s="364"/>
      <c r="K263" s="364"/>
      <c r="L263" s="364"/>
      <c r="M263" s="364"/>
      <c r="N263" s="364"/>
      <c r="O263" s="364"/>
      <c r="P263" s="364"/>
      <c r="Q263" s="364"/>
      <c r="R263" s="364"/>
      <c r="S263" s="364"/>
      <c r="T263" s="364"/>
      <c r="U263" s="364"/>
      <c r="V263" s="364"/>
      <c r="W263" s="364"/>
      <c r="X263" s="365"/>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AZ263" s="149" t="s">
        <v>423</v>
      </c>
      <c r="BA263" s="14"/>
      <c r="BB263" s="14"/>
      <c r="BC263" s="356">
        <f>AP263</f>
        <v>0</v>
      </c>
      <c r="BD263" s="356"/>
      <c r="BE263" s="357"/>
    </row>
    <row r="264" spans="2:57" ht="13.5" customHeight="1" thickBot="1">
      <c r="B264" s="18"/>
      <c r="C264" s="19"/>
      <c r="D264" s="19"/>
      <c r="E264" s="19"/>
      <c r="F264" s="19"/>
      <c r="G264" s="19"/>
      <c r="H264" s="19"/>
      <c r="I264" s="363"/>
      <c r="J264" s="364"/>
      <c r="K264" s="364"/>
      <c r="L264" s="364"/>
      <c r="M264" s="364"/>
      <c r="N264" s="364"/>
      <c r="O264" s="364"/>
      <c r="P264" s="364"/>
      <c r="Q264" s="364"/>
      <c r="R264" s="364"/>
      <c r="S264" s="364"/>
      <c r="T264" s="364"/>
      <c r="U264" s="364"/>
      <c r="V264" s="364"/>
      <c r="W264" s="364"/>
      <c r="X264" s="365"/>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AZ264" s="149"/>
      <c r="BA264" s="14"/>
      <c r="BB264" s="14"/>
      <c r="BC264" s="14"/>
      <c r="BD264" s="14"/>
      <c r="BE264" s="150"/>
    </row>
    <row r="265" spans="2:57"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BC265</f>
        <v>0</v>
      </c>
      <c r="AQ265" s="253"/>
      <c r="AR265" s="253"/>
      <c r="AS265" s="254"/>
      <c r="AT265" s="20"/>
      <c r="AZ265" s="151" t="s">
        <v>37</v>
      </c>
      <c r="BA265" s="152"/>
      <c r="BB265" s="152"/>
      <c r="BC265" s="358">
        <f>IF(I259="",0,BC262+BC263)</f>
        <v>0</v>
      </c>
      <c r="BD265" s="358"/>
      <c r="BE265" s="359"/>
    </row>
    <row r="266" spans="2:57"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AZ266" s="12" t="s">
        <v>619</v>
      </c>
    </row>
    <row r="267" spans="2:57"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AZ267" s="346" t="str">
        <f>IF(Basics!$U$37="NO",IF(J269="","",J269&amp;"; "),IF(J269="","",J269&amp;"; ")&amp;IF(J270="","",J270&amp;"; ")&amp;IF(J271="","",J271&amp;"; ")&amp;IF(J272="","",J272&amp;"; "))</f>
        <v/>
      </c>
      <c r="BA267" s="347"/>
      <c r="BB267" s="347"/>
      <c r="BC267" s="347"/>
      <c r="BD267" s="347"/>
      <c r="BE267" s="348"/>
    </row>
    <row r="268" spans="2:57"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AZ268" s="349"/>
      <c r="BA268" s="334"/>
      <c r="BB268" s="334"/>
      <c r="BC268" s="334"/>
      <c r="BD268" s="334"/>
      <c r="BE268" s="350"/>
    </row>
    <row r="269" spans="2:57"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AZ269" s="349"/>
      <c r="BA269" s="334"/>
      <c r="BB269" s="334"/>
      <c r="BC269" s="334"/>
      <c r="BD269" s="334"/>
      <c r="BE269" s="350"/>
    </row>
    <row r="270" spans="2:57"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AZ270" s="349"/>
      <c r="BA270" s="334"/>
      <c r="BB270" s="334"/>
      <c r="BC270" s="334"/>
      <c r="BD270" s="334"/>
      <c r="BE270" s="350"/>
    </row>
    <row r="271" spans="2:57"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AZ271" s="349"/>
      <c r="BA271" s="334"/>
      <c r="BB271" s="334"/>
      <c r="BC271" s="334"/>
      <c r="BD271" s="334"/>
      <c r="BE271" s="350"/>
    </row>
    <row r="272" spans="2:57"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AZ272" s="349"/>
      <c r="BA272" s="334"/>
      <c r="BB272" s="334"/>
      <c r="BC272" s="334"/>
      <c r="BD272" s="334"/>
      <c r="BE272" s="350"/>
    </row>
    <row r="273" spans="2:57"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AZ273" s="351"/>
      <c r="BA273" s="352"/>
      <c r="BB273" s="352"/>
      <c r="BC273" s="352"/>
      <c r="BD273" s="352"/>
      <c r="BE273" s="353"/>
    </row>
    <row r="274" spans="2:57" ht="13.5" customHeight="1" thickBot="1"/>
    <row r="275" spans="2:57"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57"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AZ276" s="147" t="s">
        <v>850</v>
      </c>
      <c r="BA276" s="148"/>
      <c r="BB276" s="148"/>
      <c r="BC276" s="354">
        <f>AP276+AP277-ABS(AP278)</f>
        <v>0</v>
      </c>
      <c r="BD276" s="354"/>
      <c r="BE276" s="355"/>
    </row>
    <row r="277" spans="2:57"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AZ277" s="149" t="s">
        <v>851</v>
      </c>
      <c r="BA277" s="14"/>
      <c r="BB277" s="14"/>
      <c r="BC277" s="356" t="str">
        <f>IF(I277="Custom","TRUE","FALSE")</f>
        <v>FALSE</v>
      </c>
      <c r="BD277" s="356"/>
      <c r="BE277" s="357"/>
    </row>
    <row r="278" spans="2:57" ht="13.5" customHeight="1" thickBot="1">
      <c r="B278" s="18"/>
      <c r="C278" s="19" t="s">
        <v>394</v>
      </c>
      <c r="D278" s="19"/>
      <c r="E278" s="19"/>
      <c r="F278" s="19"/>
      <c r="G278" s="19"/>
      <c r="H278" s="19"/>
      <c r="I278" s="373" t="str">
        <f>IF(I277="","",VLOOKUP(I277,PowerEffectsChart,33,FALSE))</f>
        <v/>
      </c>
      <c r="J278" s="272"/>
      <c r="K278" s="272"/>
      <c r="L278" s="374"/>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AZ278" s="149" t="s">
        <v>852</v>
      </c>
      <c r="BA278" s="14"/>
      <c r="BB278" s="14"/>
      <c r="BC278" s="356" t="str">
        <f>IF(I276="","",IF(BC276&gt;0,BC276,IF(BC277="TRUE",BC276,VLOOKUP(BC276,$BU$28:$BY$36,3,FALSE))))</f>
        <v/>
      </c>
      <c r="BD278" s="356"/>
      <c r="BE278" s="357"/>
    </row>
    <row r="279" spans="2:57" ht="13.5" customHeight="1" thickBot="1">
      <c r="B279" s="18"/>
      <c r="C279" s="19" t="s">
        <v>395</v>
      </c>
      <c r="D279" s="19"/>
      <c r="E279" s="19"/>
      <c r="F279" s="19"/>
      <c r="G279" s="19"/>
      <c r="H279" s="19"/>
      <c r="I279" s="360" t="str">
        <f>IF(I277="","",VLOOKUP(I277,PowerEffectsChart,38,FALSE))</f>
        <v/>
      </c>
      <c r="J279" s="361"/>
      <c r="K279" s="361"/>
      <c r="L279" s="361"/>
      <c r="M279" s="361"/>
      <c r="N279" s="361"/>
      <c r="O279" s="361"/>
      <c r="P279" s="361"/>
      <c r="Q279" s="361"/>
      <c r="R279" s="361"/>
      <c r="S279" s="361"/>
      <c r="T279" s="361"/>
      <c r="U279" s="361"/>
      <c r="V279" s="361"/>
      <c r="W279" s="361"/>
      <c r="X279" s="362"/>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AZ279" s="149" t="s">
        <v>853</v>
      </c>
      <c r="BA279" s="14"/>
      <c r="BB279" s="14"/>
      <c r="BC279" s="356" t="str">
        <f>IF(I276="","",AP279*BC278)</f>
        <v/>
      </c>
      <c r="BD279" s="356"/>
      <c r="BE279" s="357"/>
    </row>
    <row r="280" spans="2:57" ht="13.5" customHeight="1" thickBot="1">
      <c r="B280" s="18"/>
      <c r="C280" s="19"/>
      <c r="D280" s="19"/>
      <c r="E280" s="19"/>
      <c r="F280" s="19"/>
      <c r="G280" s="19"/>
      <c r="H280" s="19"/>
      <c r="I280" s="363"/>
      <c r="J280" s="364"/>
      <c r="K280" s="364"/>
      <c r="L280" s="364"/>
      <c r="M280" s="364"/>
      <c r="N280" s="364"/>
      <c r="O280" s="364"/>
      <c r="P280" s="364"/>
      <c r="Q280" s="364"/>
      <c r="R280" s="364"/>
      <c r="S280" s="364"/>
      <c r="T280" s="364"/>
      <c r="U280" s="364"/>
      <c r="V280" s="364"/>
      <c r="W280" s="364"/>
      <c r="X280" s="365"/>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AZ280" s="149" t="s">
        <v>423</v>
      </c>
      <c r="BA280" s="14"/>
      <c r="BB280" s="14"/>
      <c r="BC280" s="356">
        <f>AP280</f>
        <v>0</v>
      </c>
      <c r="BD280" s="356"/>
      <c r="BE280" s="357"/>
    </row>
    <row r="281" spans="2:57" ht="13.5" customHeight="1" thickBot="1">
      <c r="B281" s="18"/>
      <c r="C281" s="19"/>
      <c r="D281" s="19"/>
      <c r="E281" s="19"/>
      <c r="F281" s="19"/>
      <c r="G281" s="19"/>
      <c r="H281" s="19"/>
      <c r="I281" s="363"/>
      <c r="J281" s="364"/>
      <c r="K281" s="364"/>
      <c r="L281" s="364"/>
      <c r="M281" s="364"/>
      <c r="N281" s="364"/>
      <c r="O281" s="364"/>
      <c r="P281" s="364"/>
      <c r="Q281" s="364"/>
      <c r="R281" s="364"/>
      <c r="S281" s="364"/>
      <c r="T281" s="364"/>
      <c r="U281" s="364"/>
      <c r="V281" s="364"/>
      <c r="W281" s="364"/>
      <c r="X281" s="365"/>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AZ281" s="149"/>
      <c r="BA281" s="14"/>
      <c r="BB281" s="14"/>
      <c r="BC281" s="14"/>
      <c r="BD281" s="14"/>
      <c r="BE281" s="150"/>
    </row>
    <row r="282" spans="2:57"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BC282</f>
        <v>0</v>
      </c>
      <c r="AQ282" s="253"/>
      <c r="AR282" s="253"/>
      <c r="AS282" s="254"/>
      <c r="AT282" s="20"/>
      <c r="AZ282" s="151" t="s">
        <v>37</v>
      </c>
      <c r="BA282" s="152"/>
      <c r="BB282" s="152"/>
      <c r="BC282" s="358">
        <f>IF(I276="",0,BC279+BC280)</f>
        <v>0</v>
      </c>
      <c r="BD282" s="358"/>
      <c r="BE282" s="359"/>
    </row>
    <row r="283" spans="2:57"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AZ283" s="12" t="s">
        <v>619</v>
      </c>
    </row>
    <row r="284" spans="2:57"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AZ284" s="346" t="str">
        <f>IF(Basics!$U$37="NO",IF(J286="","",J286&amp;"; "),IF(J286="","",J286&amp;"; ")&amp;IF(J287="","",J287&amp;"; ")&amp;IF(J288="","",J288&amp;"; ")&amp;IF(J289="","",J289&amp;"; "))</f>
        <v/>
      </c>
      <c r="BA284" s="347"/>
      <c r="BB284" s="347"/>
      <c r="BC284" s="347"/>
      <c r="BD284" s="347"/>
      <c r="BE284" s="348"/>
    </row>
    <row r="285" spans="2:57"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AZ285" s="349"/>
      <c r="BA285" s="334"/>
      <c r="BB285" s="334"/>
      <c r="BC285" s="334"/>
      <c r="BD285" s="334"/>
      <c r="BE285" s="350"/>
    </row>
    <row r="286" spans="2:57"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AZ286" s="349"/>
      <c r="BA286" s="334"/>
      <c r="BB286" s="334"/>
      <c r="BC286" s="334"/>
      <c r="BD286" s="334"/>
      <c r="BE286" s="350"/>
    </row>
    <row r="287" spans="2:57"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AZ287" s="349"/>
      <c r="BA287" s="334"/>
      <c r="BB287" s="334"/>
      <c r="BC287" s="334"/>
      <c r="BD287" s="334"/>
      <c r="BE287" s="350"/>
    </row>
    <row r="288" spans="2:57"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AZ288" s="349"/>
      <c r="BA288" s="334"/>
      <c r="BB288" s="334"/>
      <c r="BC288" s="334"/>
      <c r="BD288" s="334"/>
      <c r="BE288" s="350"/>
    </row>
    <row r="289" spans="2:57"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AZ289" s="349"/>
      <c r="BA289" s="334"/>
      <c r="BB289" s="334"/>
      <c r="BC289" s="334"/>
      <c r="BD289" s="334"/>
      <c r="BE289" s="350"/>
    </row>
    <row r="290" spans="2:57"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AZ290" s="351"/>
      <c r="BA290" s="352"/>
      <c r="BB290" s="352"/>
      <c r="BC290" s="352"/>
      <c r="BD290" s="352"/>
      <c r="BE290" s="353"/>
    </row>
    <row r="291" spans="2:57" ht="13.5" customHeight="1" thickBot="1"/>
    <row r="292" spans="2:57"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57"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AZ293" s="147" t="s">
        <v>850</v>
      </c>
      <c r="BA293" s="148"/>
      <c r="BB293" s="148"/>
      <c r="BC293" s="354">
        <f>AP293+AP294-ABS(AP295)</f>
        <v>0</v>
      </c>
      <c r="BD293" s="354"/>
      <c r="BE293" s="355"/>
    </row>
    <row r="294" spans="2:57"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AZ294" s="149" t="s">
        <v>851</v>
      </c>
      <c r="BA294" s="14"/>
      <c r="BB294" s="14"/>
      <c r="BC294" s="356" t="str">
        <f>IF(I294="Custom","TRUE","FALSE")</f>
        <v>FALSE</v>
      </c>
      <c r="BD294" s="356"/>
      <c r="BE294" s="357"/>
    </row>
    <row r="295" spans="2:57" ht="13.5" customHeight="1" thickBot="1">
      <c r="B295" s="18"/>
      <c r="C295" s="19" t="s">
        <v>394</v>
      </c>
      <c r="D295" s="19"/>
      <c r="E295" s="19"/>
      <c r="F295" s="19"/>
      <c r="G295" s="19"/>
      <c r="H295" s="19"/>
      <c r="I295" s="373" t="str">
        <f>IF(I294="","",VLOOKUP(I294,PowerEffectsChart,33,FALSE))</f>
        <v/>
      </c>
      <c r="J295" s="272"/>
      <c r="K295" s="272"/>
      <c r="L295" s="374"/>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AZ295" s="149" t="s">
        <v>852</v>
      </c>
      <c r="BA295" s="14"/>
      <c r="BB295" s="14"/>
      <c r="BC295" s="356" t="str">
        <f>IF(I293="","",IF(BC293&gt;0,BC293,IF(BC294="TRUE",BC293,VLOOKUP(BC293,$BU$28:$BY$36,3,FALSE))))</f>
        <v/>
      </c>
      <c r="BD295" s="356"/>
      <c r="BE295" s="357"/>
    </row>
    <row r="296" spans="2:57" ht="13.5" customHeight="1" thickBot="1">
      <c r="B296" s="18"/>
      <c r="C296" s="19" t="s">
        <v>395</v>
      </c>
      <c r="D296" s="19"/>
      <c r="E296" s="19"/>
      <c r="F296" s="19"/>
      <c r="G296" s="19"/>
      <c r="H296" s="19"/>
      <c r="I296" s="360" t="str">
        <f>IF(I294="","",VLOOKUP(I294,PowerEffectsChart,38,FALSE))</f>
        <v/>
      </c>
      <c r="J296" s="361"/>
      <c r="K296" s="361"/>
      <c r="L296" s="361"/>
      <c r="M296" s="361"/>
      <c r="N296" s="361"/>
      <c r="O296" s="361"/>
      <c r="P296" s="361"/>
      <c r="Q296" s="361"/>
      <c r="R296" s="361"/>
      <c r="S296" s="361"/>
      <c r="T296" s="361"/>
      <c r="U296" s="361"/>
      <c r="V296" s="361"/>
      <c r="W296" s="361"/>
      <c r="X296" s="362"/>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AZ296" s="149" t="s">
        <v>853</v>
      </c>
      <c r="BA296" s="14"/>
      <c r="BB296" s="14"/>
      <c r="BC296" s="356" t="str">
        <f>IF(I293="","",AP296*BC295)</f>
        <v/>
      </c>
      <c r="BD296" s="356"/>
      <c r="BE296" s="357"/>
    </row>
    <row r="297" spans="2:57" ht="13.5" customHeight="1" thickBot="1">
      <c r="B297" s="18"/>
      <c r="C297" s="19"/>
      <c r="D297" s="19"/>
      <c r="E297" s="19"/>
      <c r="F297" s="19"/>
      <c r="G297" s="19"/>
      <c r="H297" s="19"/>
      <c r="I297" s="363"/>
      <c r="J297" s="364"/>
      <c r="K297" s="364"/>
      <c r="L297" s="364"/>
      <c r="M297" s="364"/>
      <c r="N297" s="364"/>
      <c r="O297" s="364"/>
      <c r="P297" s="364"/>
      <c r="Q297" s="364"/>
      <c r="R297" s="364"/>
      <c r="S297" s="364"/>
      <c r="T297" s="364"/>
      <c r="U297" s="364"/>
      <c r="V297" s="364"/>
      <c r="W297" s="364"/>
      <c r="X297" s="365"/>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AZ297" s="149" t="s">
        <v>423</v>
      </c>
      <c r="BA297" s="14"/>
      <c r="BB297" s="14"/>
      <c r="BC297" s="356">
        <f>AP297</f>
        <v>0</v>
      </c>
      <c r="BD297" s="356"/>
      <c r="BE297" s="357"/>
    </row>
    <row r="298" spans="2:57" ht="13.5" customHeight="1" thickBot="1">
      <c r="B298" s="18"/>
      <c r="C298" s="19"/>
      <c r="D298" s="19"/>
      <c r="E298" s="19"/>
      <c r="F298" s="19"/>
      <c r="G298" s="19"/>
      <c r="H298" s="19"/>
      <c r="I298" s="363"/>
      <c r="J298" s="364"/>
      <c r="K298" s="364"/>
      <c r="L298" s="364"/>
      <c r="M298" s="364"/>
      <c r="N298" s="364"/>
      <c r="O298" s="364"/>
      <c r="P298" s="364"/>
      <c r="Q298" s="364"/>
      <c r="R298" s="364"/>
      <c r="S298" s="364"/>
      <c r="T298" s="364"/>
      <c r="U298" s="364"/>
      <c r="V298" s="364"/>
      <c r="W298" s="364"/>
      <c r="X298" s="365"/>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AZ298" s="149"/>
      <c r="BA298" s="14"/>
      <c r="BB298" s="14"/>
      <c r="BC298" s="14"/>
      <c r="BD298" s="14"/>
      <c r="BE298" s="150"/>
    </row>
    <row r="299" spans="2:57"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BC299</f>
        <v>0</v>
      </c>
      <c r="AQ299" s="253"/>
      <c r="AR299" s="253"/>
      <c r="AS299" s="254"/>
      <c r="AT299" s="20"/>
      <c r="AZ299" s="151" t="s">
        <v>37</v>
      </c>
      <c r="BA299" s="152"/>
      <c r="BB299" s="152"/>
      <c r="BC299" s="358">
        <f>IF(I293="",0,BC296+BC297)</f>
        <v>0</v>
      </c>
      <c r="BD299" s="358"/>
      <c r="BE299" s="359"/>
    </row>
    <row r="300" spans="2:57"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AZ300" s="12" t="s">
        <v>619</v>
      </c>
    </row>
    <row r="301" spans="2:57"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AZ301" s="346" t="str">
        <f>IF(Basics!$U$37="NO",IF(J303="","",J303&amp;"; "),IF(J303="","",J303&amp;"; ")&amp;IF(J304="","",J304&amp;"; ")&amp;IF(J305="","",J305&amp;"; ")&amp;IF(J306="","",J306&amp;"; "))</f>
        <v/>
      </c>
      <c r="BA301" s="347"/>
      <c r="BB301" s="347"/>
      <c r="BC301" s="347"/>
      <c r="BD301" s="347"/>
      <c r="BE301" s="348"/>
    </row>
    <row r="302" spans="2:57"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AZ302" s="349"/>
      <c r="BA302" s="334"/>
      <c r="BB302" s="334"/>
      <c r="BC302" s="334"/>
      <c r="BD302" s="334"/>
      <c r="BE302" s="350"/>
    </row>
    <row r="303" spans="2:57"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AZ303" s="349"/>
      <c r="BA303" s="334"/>
      <c r="BB303" s="334"/>
      <c r="BC303" s="334"/>
      <c r="BD303" s="334"/>
      <c r="BE303" s="350"/>
    </row>
    <row r="304" spans="2:57"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AZ304" s="349"/>
      <c r="BA304" s="334"/>
      <c r="BB304" s="334"/>
      <c r="BC304" s="334"/>
      <c r="BD304" s="334"/>
      <c r="BE304" s="350"/>
    </row>
    <row r="305" spans="2:57"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AZ305" s="349"/>
      <c r="BA305" s="334"/>
      <c r="BB305" s="334"/>
      <c r="BC305" s="334"/>
      <c r="BD305" s="334"/>
      <c r="BE305" s="350"/>
    </row>
    <row r="306" spans="2:57"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AZ306" s="349"/>
      <c r="BA306" s="334"/>
      <c r="BB306" s="334"/>
      <c r="BC306" s="334"/>
      <c r="BD306" s="334"/>
      <c r="BE306" s="350"/>
    </row>
    <row r="307" spans="2:57"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AZ307" s="351"/>
      <c r="BA307" s="352"/>
      <c r="BB307" s="352"/>
      <c r="BC307" s="352"/>
      <c r="BD307" s="352"/>
      <c r="BE307" s="353"/>
    </row>
    <row r="308" spans="2:57" ht="13.5" customHeight="1" thickBot="1"/>
    <row r="309" spans="2:57"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57"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AZ310" s="147" t="s">
        <v>850</v>
      </c>
      <c r="BA310" s="148"/>
      <c r="BB310" s="148"/>
      <c r="BC310" s="354">
        <f>AP310+AP311-ABS(AP312)</f>
        <v>0</v>
      </c>
      <c r="BD310" s="354"/>
      <c r="BE310" s="355"/>
    </row>
    <row r="311" spans="2:57"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AZ311" s="149" t="s">
        <v>851</v>
      </c>
      <c r="BA311" s="14"/>
      <c r="BB311" s="14"/>
      <c r="BC311" s="356" t="str">
        <f>IF(I311="Custom","TRUE","FALSE")</f>
        <v>FALSE</v>
      </c>
      <c r="BD311" s="356"/>
      <c r="BE311" s="357"/>
    </row>
    <row r="312" spans="2:57" ht="13.5" customHeight="1" thickBot="1">
      <c r="B312" s="18"/>
      <c r="C312" s="19" t="s">
        <v>394</v>
      </c>
      <c r="D312" s="19"/>
      <c r="E312" s="19"/>
      <c r="F312" s="19"/>
      <c r="G312" s="19"/>
      <c r="H312" s="19"/>
      <c r="I312" s="373" t="str">
        <f>IF(I311="","",VLOOKUP(I311,PowerEffectsChart,33,FALSE))</f>
        <v/>
      </c>
      <c r="J312" s="272"/>
      <c r="K312" s="272"/>
      <c r="L312" s="374"/>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AZ312" s="149" t="s">
        <v>852</v>
      </c>
      <c r="BA312" s="14"/>
      <c r="BB312" s="14"/>
      <c r="BC312" s="356" t="str">
        <f>IF(I310="","",IF(BC310&gt;0,BC310,IF(BC311="TRUE",BC310,VLOOKUP(BC310,$BU$28:$BY$36,3,FALSE))))</f>
        <v/>
      </c>
      <c r="BD312" s="356"/>
      <c r="BE312" s="357"/>
    </row>
    <row r="313" spans="2:57" ht="13.5" customHeight="1" thickBot="1">
      <c r="B313" s="18"/>
      <c r="C313" s="19" t="s">
        <v>395</v>
      </c>
      <c r="D313" s="19"/>
      <c r="E313" s="19"/>
      <c r="F313" s="19"/>
      <c r="G313" s="19"/>
      <c r="H313" s="19"/>
      <c r="I313" s="360" t="str">
        <f>IF(I311="","",VLOOKUP(I311,PowerEffectsChart,38,FALSE))</f>
        <v/>
      </c>
      <c r="J313" s="361"/>
      <c r="K313" s="361"/>
      <c r="L313" s="361"/>
      <c r="M313" s="361"/>
      <c r="N313" s="361"/>
      <c r="O313" s="361"/>
      <c r="P313" s="361"/>
      <c r="Q313" s="361"/>
      <c r="R313" s="361"/>
      <c r="S313" s="361"/>
      <c r="T313" s="361"/>
      <c r="U313" s="361"/>
      <c r="V313" s="361"/>
      <c r="W313" s="361"/>
      <c r="X313" s="362"/>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AZ313" s="149" t="s">
        <v>853</v>
      </c>
      <c r="BA313" s="14"/>
      <c r="BB313" s="14"/>
      <c r="BC313" s="356" t="str">
        <f>IF(I310="","",AP313*BC312)</f>
        <v/>
      </c>
      <c r="BD313" s="356"/>
      <c r="BE313" s="357"/>
    </row>
    <row r="314" spans="2:57" ht="13.5" customHeight="1" thickBot="1">
      <c r="B314" s="18"/>
      <c r="C314" s="19"/>
      <c r="D314" s="19"/>
      <c r="E314" s="19"/>
      <c r="F314" s="19"/>
      <c r="G314" s="19"/>
      <c r="H314" s="19"/>
      <c r="I314" s="363"/>
      <c r="J314" s="364"/>
      <c r="K314" s="364"/>
      <c r="L314" s="364"/>
      <c r="M314" s="364"/>
      <c r="N314" s="364"/>
      <c r="O314" s="364"/>
      <c r="P314" s="364"/>
      <c r="Q314" s="364"/>
      <c r="R314" s="364"/>
      <c r="S314" s="364"/>
      <c r="T314" s="364"/>
      <c r="U314" s="364"/>
      <c r="V314" s="364"/>
      <c r="W314" s="364"/>
      <c r="X314" s="365"/>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AZ314" s="149" t="s">
        <v>423</v>
      </c>
      <c r="BA314" s="14"/>
      <c r="BB314" s="14"/>
      <c r="BC314" s="356">
        <f>AP314</f>
        <v>0</v>
      </c>
      <c r="BD314" s="356"/>
      <c r="BE314" s="357"/>
    </row>
    <row r="315" spans="2:57" ht="13.5" customHeight="1" thickBot="1">
      <c r="B315" s="18"/>
      <c r="C315" s="19"/>
      <c r="D315" s="19"/>
      <c r="E315" s="19"/>
      <c r="F315" s="19"/>
      <c r="G315" s="19"/>
      <c r="H315" s="19"/>
      <c r="I315" s="363"/>
      <c r="J315" s="364"/>
      <c r="K315" s="364"/>
      <c r="L315" s="364"/>
      <c r="M315" s="364"/>
      <c r="N315" s="364"/>
      <c r="O315" s="364"/>
      <c r="P315" s="364"/>
      <c r="Q315" s="364"/>
      <c r="R315" s="364"/>
      <c r="S315" s="364"/>
      <c r="T315" s="364"/>
      <c r="U315" s="364"/>
      <c r="V315" s="364"/>
      <c r="W315" s="364"/>
      <c r="X315" s="365"/>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AZ315" s="149"/>
      <c r="BA315" s="14"/>
      <c r="BB315" s="14"/>
      <c r="BC315" s="14"/>
      <c r="BD315" s="14"/>
      <c r="BE315" s="150"/>
    </row>
    <row r="316" spans="2:57"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BC316</f>
        <v>0</v>
      </c>
      <c r="AQ316" s="253"/>
      <c r="AR316" s="253"/>
      <c r="AS316" s="254"/>
      <c r="AT316" s="20"/>
      <c r="AZ316" s="151" t="s">
        <v>37</v>
      </c>
      <c r="BA316" s="152"/>
      <c r="BB316" s="152"/>
      <c r="BC316" s="358">
        <f>IF(I310="",0,BC313+BC314)</f>
        <v>0</v>
      </c>
      <c r="BD316" s="358"/>
      <c r="BE316" s="359"/>
    </row>
    <row r="317" spans="2:57"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AZ317" s="12" t="s">
        <v>619</v>
      </c>
    </row>
    <row r="318" spans="2:57"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AZ318" s="346" t="str">
        <f>IF(Basics!$U$37="NO",IF(J320="","",J320&amp;"; "),IF(J320="","",J320&amp;"; ")&amp;IF(J321="","",J321&amp;"; ")&amp;IF(J322="","",J322&amp;"; ")&amp;IF(J323="","",J323&amp;"; "))</f>
        <v/>
      </c>
      <c r="BA318" s="347"/>
      <c r="BB318" s="347"/>
      <c r="BC318" s="347"/>
      <c r="BD318" s="347"/>
      <c r="BE318" s="348"/>
    </row>
    <row r="319" spans="2:57"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AZ319" s="349"/>
      <c r="BA319" s="334"/>
      <c r="BB319" s="334"/>
      <c r="BC319" s="334"/>
      <c r="BD319" s="334"/>
      <c r="BE319" s="350"/>
    </row>
    <row r="320" spans="2:57"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AZ320" s="349"/>
      <c r="BA320" s="334"/>
      <c r="BB320" s="334"/>
      <c r="BC320" s="334"/>
      <c r="BD320" s="334"/>
      <c r="BE320" s="350"/>
    </row>
    <row r="321" spans="2:57"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AZ321" s="349"/>
      <c r="BA321" s="334"/>
      <c r="BB321" s="334"/>
      <c r="BC321" s="334"/>
      <c r="BD321" s="334"/>
      <c r="BE321" s="350"/>
    </row>
    <row r="322" spans="2:57"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AZ322" s="349"/>
      <c r="BA322" s="334"/>
      <c r="BB322" s="334"/>
      <c r="BC322" s="334"/>
      <c r="BD322" s="334"/>
      <c r="BE322" s="350"/>
    </row>
    <row r="323" spans="2:57"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AZ323" s="349"/>
      <c r="BA323" s="334"/>
      <c r="BB323" s="334"/>
      <c r="BC323" s="334"/>
      <c r="BD323" s="334"/>
      <c r="BE323" s="350"/>
    </row>
    <row r="324" spans="2:57"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AZ324" s="351"/>
      <c r="BA324" s="352"/>
      <c r="BB324" s="352"/>
      <c r="BC324" s="352"/>
      <c r="BD324" s="352"/>
      <c r="BE324" s="353"/>
    </row>
    <row r="325" spans="2:57" ht="13.5" customHeight="1" thickBot="1"/>
    <row r="326" spans="2:57"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57"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AZ327" s="147" t="s">
        <v>850</v>
      </c>
      <c r="BA327" s="148"/>
      <c r="BB327" s="148"/>
      <c r="BC327" s="354">
        <f>AP327+AP328-ABS(AP329)</f>
        <v>0</v>
      </c>
      <c r="BD327" s="354"/>
      <c r="BE327" s="355"/>
    </row>
    <row r="328" spans="2:57"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AZ328" s="149" t="s">
        <v>851</v>
      </c>
      <c r="BA328" s="14"/>
      <c r="BB328" s="14"/>
      <c r="BC328" s="356" t="str">
        <f>IF(I328="Custom","TRUE","FALSE")</f>
        <v>FALSE</v>
      </c>
      <c r="BD328" s="356"/>
      <c r="BE328" s="357"/>
    </row>
    <row r="329" spans="2:57" ht="13.5" customHeight="1" thickBot="1">
      <c r="B329" s="18"/>
      <c r="C329" s="19" t="s">
        <v>394</v>
      </c>
      <c r="D329" s="19"/>
      <c r="E329" s="19"/>
      <c r="F329" s="19"/>
      <c r="G329" s="19"/>
      <c r="H329" s="19"/>
      <c r="I329" s="373" t="str">
        <f>IF(I328="","",VLOOKUP(I328,PowerEffectsChart,33,FALSE))</f>
        <v/>
      </c>
      <c r="J329" s="272"/>
      <c r="K329" s="272"/>
      <c r="L329" s="374"/>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AZ329" s="149" t="s">
        <v>852</v>
      </c>
      <c r="BA329" s="14"/>
      <c r="BB329" s="14"/>
      <c r="BC329" s="356" t="str">
        <f>IF(I327="","",IF(BC327&gt;0,BC327,IF(BC328="TRUE",BC327,VLOOKUP(BC327,$BU$28:$BY$36,3,FALSE))))</f>
        <v/>
      </c>
      <c r="BD329" s="356"/>
      <c r="BE329" s="357"/>
    </row>
    <row r="330" spans="2:57" ht="13.5" customHeight="1" thickBot="1">
      <c r="B330" s="18"/>
      <c r="C330" s="19" t="s">
        <v>395</v>
      </c>
      <c r="D330" s="19"/>
      <c r="E330" s="19"/>
      <c r="F330" s="19"/>
      <c r="G330" s="19"/>
      <c r="H330" s="19"/>
      <c r="I330" s="360" t="str">
        <f>IF(I328="","",VLOOKUP(I328,PowerEffectsChart,38,FALSE))</f>
        <v/>
      </c>
      <c r="J330" s="361"/>
      <c r="K330" s="361"/>
      <c r="L330" s="361"/>
      <c r="M330" s="361"/>
      <c r="N330" s="361"/>
      <c r="O330" s="361"/>
      <c r="P330" s="361"/>
      <c r="Q330" s="361"/>
      <c r="R330" s="361"/>
      <c r="S330" s="361"/>
      <c r="T330" s="361"/>
      <c r="U330" s="361"/>
      <c r="V330" s="361"/>
      <c r="W330" s="361"/>
      <c r="X330" s="362"/>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AZ330" s="149" t="s">
        <v>853</v>
      </c>
      <c r="BA330" s="14"/>
      <c r="BB330" s="14"/>
      <c r="BC330" s="356" t="str">
        <f>IF(I327="","",AP330*BC329)</f>
        <v/>
      </c>
      <c r="BD330" s="356"/>
      <c r="BE330" s="357"/>
    </row>
    <row r="331" spans="2:57" ht="13.5" customHeight="1" thickBot="1">
      <c r="B331" s="18"/>
      <c r="C331" s="19"/>
      <c r="D331" s="19"/>
      <c r="E331" s="19"/>
      <c r="F331" s="19"/>
      <c r="G331" s="19"/>
      <c r="H331" s="19"/>
      <c r="I331" s="363"/>
      <c r="J331" s="364"/>
      <c r="K331" s="364"/>
      <c r="L331" s="364"/>
      <c r="M331" s="364"/>
      <c r="N331" s="364"/>
      <c r="O331" s="364"/>
      <c r="P331" s="364"/>
      <c r="Q331" s="364"/>
      <c r="R331" s="364"/>
      <c r="S331" s="364"/>
      <c r="T331" s="364"/>
      <c r="U331" s="364"/>
      <c r="V331" s="364"/>
      <c r="W331" s="364"/>
      <c r="X331" s="365"/>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AZ331" s="149" t="s">
        <v>423</v>
      </c>
      <c r="BA331" s="14"/>
      <c r="BB331" s="14"/>
      <c r="BC331" s="356">
        <f>AP331</f>
        <v>0</v>
      </c>
      <c r="BD331" s="356"/>
      <c r="BE331" s="357"/>
    </row>
    <row r="332" spans="2:57" ht="13.5" customHeight="1" thickBot="1">
      <c r="B332" s="18"/>
      <c r="C332" s="19"/>
      <c r="D332" s="19"/>
      <c r="E332" s="19"/>
      <c r="F332" s="19"/>
      <c r="G332" s="19"/>
      <c r="H332" s="19"/>
      <c r="I332" s="363"/>
      <c r="J332" s="364"/>
      <c r="K332" s="364"/>
      <c r="L332" s="364"/>
      <c r="M332" s="364"/>
      <c r="N332" s="364"/>
      <c r="O332" s="364"/>
      <c r="P332" s="364"/>
      <c r="Q332" s="364"/>
      <c r="R332" s="364"/>
      <c r="S332" s="364"/>
      <c r="T332" s="364"/>
      <c r="U332" s="364"/>
      <c r="V332" s="364"/>
      <c r="W332" s="364"/>
      <c r="X332" s="365"/>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AZ332" s="149"/>
      <c r="BA332" s="14"/>
      <c r="BB332" s="14"/>
      <c r="BC332" s="14"/>
      <c r="BD332" s="14"/>
      <c r="BE332" s="150"/>
    </row>
    <row r="333" spans="2:57"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BC333</f>
        <v>0</v>
      </c>
      <c r="AQ333" s="253"/>
      <c r="AR333" s="253"/>
      <c r="AS333" s="254"/>
      <c r="AT333" s="20"/>
      <c r="AZ333" s="151" t="s">
        <v>37</v>
      </c>
      <c r="BA333" s="152"/>
      <c r="BB333" s="152"/>
      <c r="BC333" s="358">
        <f>IF(I327="",0,BC330+BC331)</f>
        <v>0</v>
      </c>
      <c r="BD333" s="358"/>
      <c r="BE333" s="359"/>
    </row>
    <row r="334" spans="2:57"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AZ334" s="12" t="s">
        <v>619</v>
      </c>
    </row>
    <row r="335" spans="2:57"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AZ335" s="346" t="str">
        <f>IF(Basics!$U$37="NO",IF(J337="","",J337&amp;"; "),IF(J337="","",J337&amp;"; ")&amp;IF(J338="","",J338&amp;"; ")&amp;IF(J339="","",J339&amp;"; ")&amp;IF(J340="","",J340&amp;"; "))</f>
        <v/>
      </c>
      <c r="BA335" s="347"/>
      <c r="BB335" s="347"/>
      <c r="BC335" s="347"/>
      <c r="BD335" s="347"/>
      <c r="BE335" s="348"/>
    </row>
    <row r="336" spans="2:57"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AZ336" s="349"/>
      <c r="BA336" s="334"/>
      <c r="BB336" s="334"/>
      <c r="BC336" s="334"/>
      <c r="BD336" s="334"/>
      <c r="BE336" s="350"/>
    </row>
    <row r="337" spans="2:57"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AZ337" s="349"/>
      <c r="BA337" s="334"/>
      <c r="BB337" s="334"/>
      <c r="BC337" s="334"/>
      <c r="BD337" s="334"/>
      <c r="BE337" s="350"/>
    </row>
    <row r="338" spans="2:57"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AZ338" s="349"/>
      <c r="BA338" s="334"/>
      <c r="BB338" s="334"/>
      <c r="BC338" s="334"/>
      <c r="BD338" s="334"/>
      <c r="BE338" s="350"/>
    </row>
    <row r="339" spans="2:57"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AZ339" s="349"/>
      <c r="BA339" s="334"/>
      <c r="BB339" s="334"/>
      <c r="BC339" s="334"/>
      <c r="BD339" s="334"/>
      <c r="BE339" s="350"/>
    </row>
    <row r="340" spans="2:57"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AZ340" s="349"/>
      <c r="BA340" s="334"/>
      <c r="BB340" s="334"/>
      <c r="BC340" s="334"/>
      <c r="BD340" s="334"/>
      <c r="BE340" s="350"/>
    </row>
    <row r="341" spans="2:57"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AZ341" s="351"/>
      <c r="BA341" s="352"/>
      <c r="BB341" s="352"/>
      <c r="BC341" s="352"/>
      <c r="BD341" s="352"/>
      <c r="BE341" s="353"/>
    </row>
    <row r="342" spans="2:57" ht="13.5" customHeight="1" thickBot="1"/>
    <row r="343" spans="2:57"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57"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AZ344" s="147" t="s">
        <v>850</v>
      </c>
      <c r="BA344" s="148"/>
      <c r="BB344" s="148"/>
      <c r="BC344" s="354">
        <f>AP344+AP345-ABS(AP346)</f>
        <v>0</v>
      </c>
      <c r="BD344" s="354"/>
      <c r="BE344" s="355"/>
    </row>
    <row r="345" spans="2:57"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AZ345" s="149" t="s">
        <v>851</v>
      </c>
      <c r="BA345" s="14"/>
      <c r="BB345" s="14"/>
      <c r="BC345" s="356" t="str">
        <f>IF(I345="Custom","TRUE","FALSE")</f>
        <v>FALSE</v>
      </c>
      <c r="BD345" s="356"/>
      <c r="BE345" s="357"/>
    </row>
    <row r="346" spans="2:57" ht="13.5" customHeight="1" thickBot="1">
      <c r="B346" s="18"/>
      <c r="C346" s="19" t="s">
        <v>394</v>
      </c>
      <c r="D346" s="19"/>
      <c r="E346" s="19"/>
      <c r="F346" s="19"/>
      <c r="G346" s="19"/>
      <c r="H346" s="19"/>
      <c r="I346" s="373" t="str">
        <f>IF(I345="","",VLOOKUP(I345,PowerEffectsChart,33,FALSE))</f>
        <v/>
      </c>
      <c r="J346" s="272"/>
      <c r="K346" s="272"/>
      <c r="L346" s="374"/>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AZ346" s="149" t="s">
        <v>852</v>
      </c>
      <c r="BA346" s="14"/>
      <c r="BB346" s="14"/>
      <c r="BC346" s="356" t="str">
        <f>IF(I344="","",IF(BC344&gt;0,BC344,IF(BC345="TRUE",BC344,VLOOKUP(BC344,$BU$28:$BY$36,3,FALSE))))</f>
        <v/>
      </c>
      <c r="BD346" s="356"/>
      <c r="BE346" s="357"/>
    </row>
    <row r="347" spans="2:57" ht="13.5" customHeight="1" thickBot="1">
      <c r="B347" s="18"/>
      <c r="C347" s="19" t="s">
        <v>395</v>
      </c>
      <c r="D347" s="19"/>
      <c r="E347" s="19"/>
      <c r="F347" s="19"/>
      <c r="G347" s="19"/>
      <c r="H347" s="19"/>
      <c r="I347" s="360" t="str">
        <f>IF(I345="","",VLOOKUP(I345,PowerEffectsChart,38,FALSE))</f>
        <v/>
      </c>
      <c r="J347" s="361"/>
      <c r="K347" s="361"/>
      <c r="L347" s="361"/>
      <c r="M347" s="361"/>
      <c r="N347" s="361"/>
      <c r="O347" s="361"/>
      <c r="P347" s="361"/>
      <c r="Q347" s="361"/>
      <c r="R347" s="361"/>
      <c r="S347" s="361"/>
      <c r="T347" s="361"/>
      <c r="U347" s="361"/>
      <c r="V347" s="361"/>
      <c r="W347" s="361"/>
      <c r="X347" s="362"/>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AZ347" s="149" t="s">
        <v>853</v>
      </c>
      <c r="BA347" s="14"/>
      <c r="BB347" s="14"/>
      <c r="BC347" s="356" t="str">
        <f>IF(I344="","",AP347*BC346)</f>
        <v/>
      </c>
      <c r="BD347" s="356"/>
      <c r="BE347" s="357"/>
    </row>
    <row r="348" spans="2:57" ht="13.5" customHeight="1" thickBot="1">
      <c r="B348" s="18"/>
      <c r="C348" s="19"/>
      <c r="D348" s="19"/>
      <c r="E348" s="19"/>
      <c r="F348" s="19"/>
      <c r="G348" s="19"/>
      <c r="H348" s="19"/>
      <c r="I348" s="363"/>
      <c r="J348" s="364"/>
      <c r="K348" s="364"/>
      <c r="L348" s="364"/>
      <c r="M348" s="364"/>
      <c r="N348" s="364"/>
      <c r="O348" s="364"/>
      <c r="P348" s="364"/>
      <c r="Q348" s="364"/>
      <c r="R348" s="364"/>
      <c r="S348" s="364"/>
      <c r="T348" s="364"/>
      <c r="U348" s="364"/>
      <c r="V348" s="364"/>
      <c r="W348" s="364"/>
      <c r="X348" s="365"/>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AZ348" s="149" t="s">
        <v>423</v>
      </c>
      <c r="BA348" s="14"/>
      <c r="BB348" s="14"/>
      <c r="BC348" s="356">
        <f>AP348</f>
        <v>0</v>
      </c>
      <c r="BD348" s="356"/>
      <c r="BE348" s="357"/>
    </row>
    <row r="349" spans="2:57" ht="13.5" customHeight="1" thickBot="1">
      <c r="B349" s="18"/>
      <c r="C349" s="19"/>
      <c r="D349" s="19"/>
      <c r="E349" s="19"/>
      <c r="F349" s="19"/>
      <c r="G349" s="19"/>
      <c r="H349" s="19"/>
      <c r="I349" s="363"/>
      <c r="J349" s="364"/>
      <c r="K349" s="364"/>
      <c r="L349" s="364"/>
      <c r="M349" s="364"/>
      <c r="N349" s="364"/>
      <c r="O349" s="364"/>
      <c r="P349" s="364"/>
      <c r="Q349" s="364"/>
      <c r="R349" s="364"/>
      <c r="S349" s="364"/>
      <c r="T349" s="364"/>
      <c r="U349" s="364"/>
      <c r="V349" s="364"/>
      <c r="W349" s="364"/>
      <c r="X349" s="365"/>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AZ349" s="149"/>
      <c r="BA349" s="14"/>
      <c r="BB349" s="14"/>
      <c r="BC349" s="14"/>
      <c r="BD349" s="14"/>
      <c r="BE349" s="150"/>
    </row>
    <row r="350" spans="2:57"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BC350</f>
        <v>0</v>
      </c>
      <c r="AQ350" s="253"/>
      <c r="AR350" s="253"/>
      <c r="AS350" s="254"/>
      <c r="AT350" s="20"/>
      <c r="AZ350" s="151" t="s">
        <v>37</v>
      </c>
      <c r="BA350" s="152"/>
      <c r="BB350" s="152"/>
      <c r="BC350" s="358">
        <f>IF(I344="",0,BC347+BC348)</f>
        <v>0</v>
      </c>
      <c r="BD350" s="358"/>
      <c r="BE350" s="359"/>
    </row>
    <row r="351" spans="2:57"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AZ351" s="12" t="s">
        <v>619</v>
      </c>
    </row>
    <row r="352" spans="2:57"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AZ352" s="346" t="str">
        <f>IF(Basics!$U$37="NO",IF(J354="","",J354&amp;"; "),IF(J354="","",J354&amp;"; ")&amp;IF(J355="","",J355&amp;"; ")&amp;IF(J356="","",J356&amp;"; ")&amp;IF(J357="","",J357&amp;"; "))</f>
        <v/>
      </c>
      <c r="BA352" s="347"/>
      <c r="BB352" s="347"/>
      <c r="BC352" s="347"/>
      <c r="BD352" s="347"/>
      <c r="BE352" s="348"/>
    </row>
    <row r="353" spans="2:57"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AZ353" s="349"/>
      <c r="BA353" s="334"/>
      <c r="BB353" s="334"/>
      <c r="BC353" s="334"/>
      <c r="BD353" s="334"/>
      <c r="BE353" s="350"/>
    </row>
    <row r="354" spans="2:57"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AZ354" s="349"/>
      <c r="BA354" s="334"/>
      <c r="BB354" s="334"/>
      <c r="BC354" s="334"/>
      <c r="BD354" s="334"/>
      <c r="BE354" s="350"/>
    </row>
    <row r="355" spans="2:57"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AZ355" s="349"/>
      <c r="BA355" s="334"/>
      <c r="BB355" s="334"/>
      <c r="BC355" s="334"/>
      <c r="BD355" s="334"/>
      <c r="BE355" s="350"/>
    </row>
    <row r="356" spans="2:57"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AZ356" s="349"/>
      <c r="BA356" s="334"/>
      <c r="BB356" s="334"/>
      <c r="BC356" s="334"/>
      <c r="BD356" s="334"/>
      <c r="BE356" s="350"/>
    </row>
    <row r="357" spans="2:57"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AZ357" s="349"/>
      <c r="BA357" s="334"/>
      <c r="BB357" s="334"/>
      <c r="BC357" s="334"/>
      <c r="BD357" s="334"/>
      <c r="BE357" s="350"/>
    </row>
    <row r="358" spans="2:57"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AZ358" s="351"/>
      <c r="BA358" s="352"/>
      <c r="BB358" s="352"/>
      <c r="BC358" s="352"/>
      <c r="BD358" s="352"/>
      <c r="BE358" s="353"/>
    </row>
  </sheetData>
  <mergeCells count="698">
    <mergeCell ref="CH4:CK4"/>
    <mergeCell ref="BL5:BM5"/>
    <mergeCell ref="BN5:BO5"/>
    <mergeCell ref="BP5:BU5"/>
    <mergeCell ref="BV5:CA5"/>
    <mergeCell ref="CH5:CK5"/>
    <mergeCell ref="CH25:CK27"/>
    <mergeCell ref="BL3:BM3"/>
    <mergeCell ref="BN3:BO3"/>
    <mergeCell ref="BP3:BU3"/>
    <mergeCell ref="BV3:CA3"/>
    <mergeCell ref="CH3:CK3"/>
    <mergeCell ref="BL4:BM4"/>
    <mergeCell ref="BN4:BO4"/>
    <mergeCell ref="BP4:BU4"/>
    <mergeCell ref="BV4:CA4"/>
    <mergeCell ref="CH7:CK7"/>
    <mergeCell ref="BL8:BM8"/>
    <mergeCell ref="BN8:BO8"/>
    <mergeCell ref="BP8:BU8"/>
    <mergeCell ref="BV8:CA8"/>
    <mergeCell ref="CH8:CK8"/>
    <mergeCell ref="CH11:CK11"/>
    <mergeCell ref="BL12:BM12"/>
    <mergeCell ref="C6:AH17"/>
    <mergeCell ref="BL6:BM6"/>
    <mergeCell ref="BN6:BO6"/>
    <mergeCell ref="BP6:BU6"/>
    <mergeCell ref="BV6:CA6"/>
    <mergeCell ref="CH6:CK6"/>
    <mergeCell ref="BL7:BM7"/>
    <mergeCell ref="BN7:BO7"/>
    <mergeCell ref="BP7:BU7"/>
    <mergeCell ref="BV7:CA7"/>
    <mergeCell ref="BL9:BM9"/>
    <mergeCell ref="BN9:BO9"/>
    <mergeCell ref="BP9:BU9"/>
    <mergeCell ref="BV9:CA9"/>
    <mergeCell ref="CH9:CK9"/>
    <mergeCell ref="BL10:BM10"/>
    <mergeCell ref="BN10:BO10"/>
    <mergeCell ref="BP10:BU10"/>
    <mergeCell ref="BV10:CA10"/>
    <mergeCell ref="CH10:CK10"/>
    <mergeCell ref="BL11:BM11"/>
    <mergeCell ref="BN11:BO11"/>
    <mergeCell ref="BP11:BU11"/>
    <mergeCell ref="BV11:CA11"/>
    <mergeCell ref="BN12:BO12"/>
    <mergeCell ref="BP12:BU12"/>
    <mergeCell ref="BV12:CA12"/>
    <mergeCell ref="CH12:CK12"/>
    <mergeCell ref="CH15:CK15"/>
    <mergeCell ref="CH16:CK16"/>
    <mergeCell ref="BN15:BO15"/>
    <mergeCell ref="BP15:BU15"/>
    <mergeCell ref="BV15:CA15"/>
    <mergeCell ref="CH17:CK17"/>
    <mergeCell ref="BL13:BM13"/>
    <mergeCell ref="BN13:BO13"/>
    <mergeCell ref="BP13:BU13"/>
    <mergeCell ref="BV13:CA13"/>
    <mergeCell ref="CH13:CK13"/>
    <mergeCell ref="CH14:CK14"/>
    <mergeCell ref="BN14:BO14"/>
    <mergeCell ref="BP14:BU14"/>
    <mergeCell ref="BV14:CA14"/>
    <mergeCell ref="BL16:BM16"/>
    <mergeCell ref="BN16:BO16"/>
    <mergeCell ref="BP16:BU16"/>
    <mergeCell ref="BV16:CA16"/>
    <mergeCell ref="BN17:BO17"/>
    <mergeCell ref="BP17:BU17"/>
    <mergeCell ref="BV17:CA17"/>
    <mergeCell ref="CH18:CK18"/>
    <mergeCell ref="CH19:CK19"/>
    <mergeCell ref="CH20:CK20"/>
    <mergeCell ref="I21:X21"/>
    <mergeCell ref="AD21:AH21"/>
    <mergeCell ref="AP21:AS21"/>
    <mergeCell ref="CH21:CK21"/>
    <mergeCell ref="BL18:BM18"/>
    <mergeCell ref="BN18:BO18"/>
    <mergeCell ref="BP18:BU18"/>
    <mergeCell ref="BV18:CA18"/>
    <mergeCell ref="BN19:BO19"/>
    <mergeCell ref="BP19:BU19"/>
    <mergeCell ref="BV19:CA19"/>
    <mergeCell ref="BL20:BM20"/>
    <mergeCell ref="BN20:BO20"/>
    <mergeCell ref="BP20:BU20"/>
    <mergeCell ref="BV20:CA20"/>
    <mergeCell ref="I22:X22"/>
    <mergeCell ref="AD22:AH22"/>
    <mergeCell ref="AP22:AS22"/>
    <mergeCell ref="CH22:CK22"/>
    <mergeCell ref="BN21:BO21"/>
    <mergeCell ref="BP21:BU21"/>
    <mergeCell ref="BL22:BM22"/>
    <mergeCell ref="BN22:BO22"/>
    <mergeCell ref="BP22:BU22"/>
    <mergeCell ref="BV22:CA22"/>
    <mergeCell ref="I23:L23"/>
    <mergeCell ref="AD23:AH23"/>
    <mergeCell ref="AP23:AS23"/>
    <mergeCell ref="CH23:CK23"/>
    <mergeCell ref="I24:X26"/>
    <mergeCell ref="AD24:AH24"/>
    <mergeCell ref="AP24:AS24"/>
    <mergeCell ref="CH24:CK24"/>
    <mergeCell ref="AD25:AH25"/>
    <mergeCell ref="AP25:AS25"/>
    <mergeCell ref="J33:AH33"/>
    <mergeCell ref="J34:AH34"/>
    <mergeCell ref="I38:X38"/>
    <mergeCell ref="AD38:AH38"/>
    <mergeCell ref="AP38:AS38"/>
    <mergeCell ref="I39:X39"/>
    <mergeCell ref="AD39:AH39"/>
    <mergeCell ref="AP39:AS39"/>
    <mergeCell ref="I27:AH27"/>
    <mergeCell ref="AP27:AS27"/>
    <mergeCell ref="I28:AH28"/>
    <mergeCell ref="I29:AH29"/>
    <mergeCell ref="J31:AH31"/>
    <mergeCell ref="J32:AH32"/>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39:AH339"/>
    <mergeCell ref="J340:AH340"/>
    <mergeCell ref="I344:X344"/>
    <mergeCell ref="AD344:AH344"/>
    <mergeCell ref="AP344:AS344"/>
    <mergeCell ref="I345:X345"/>
    <mergeCell ref="AD345:AH345"/>
    <mergeCell ref="AP345:AS345"/>
    <mergeCell ref="I333:AH333"/>
    <mergeCell ref="AP333:AS333"/>
    <mergeCell ref="I334:AH334"/>
    <mergeCell ref="I335:AH335"/>
    <mergeCell ref="J337:AH337"/>
    <mergeCell ref="J338:AH338"/>
    <mergeCell ref="J356:AH356"/>
    <mergeCell ref="J357:AH357"/>
    <mergeCell ref="C3:T4"/>
    <mergeCell ref="BL14:BM14"/>
    <mergeCell ref="BL15:BM15"/>
    <mergeCell ref="BL17:BM17"/>
    <mergeCell ref="BL19:BM19"/>
    <mergeCell ref="BL21:BM21"/>
    <mergeCell ref="BC38:BE38"/>
    <mergeCell ref="BC39:BE39"/>
    <mergeCell ref="I350:AH350"/>
    <mergeCell ref="AP350:AS350"/>
    <mergeCell ref="I351:AH351"/>
    <mergeCell ref="I352:AH352"/>
    <mergeCell ref="J354:AH354"/>
    <mergeCell ref="J355:AH355"/>
    <mergeCell ref="I346:L346"/>
    <mergeCell ref="AD346:AH346"/>
    <mergeCell ref="AP346:AS346"/>
    <mergeCell ref="I347:X349"/>
    <mergeCell ref="AD347:AH347"/>
    <mergeCell ref="AP347:AS347"/>
    <mergeCell ref="AD348:AH348"/>
    <mergeCell ref="AP348:AS348"/>
    <mergeCell ref="BC55:BE55"/>
    <mergeCell ref="BC56:BE56"/>
    <mergeCell ref="BW36:BY36"/>
    <mergeCell ref="BC21:BE21"/>
    <mergeCell ref="BC22:BE22"/>
    <mergeCell ref="BC23:BE23"/>
    <mergeCell ref="BC24:BE24"/>
    <mergeCell ref="BC25:BE25"/>
    <mergeCell ref="BC27:BE27"/>
    <mergeCell ref="BW28:BY28"/>
    <mergeCell ref="BW31:BY31"/>
    <mergeCell ref="BW32:BY32"/>
    <mergeCell ref="BW33:BY33"/>
    <mergeCell ref="BV21:CA21"/>
    <mergeCell ref="BW34:BY34"/>
    <mergeCell ref="BW35:BY35"/>
    <mergeCell ref="BL23:BM23"/>
    <mergeCell ref="BN23:BO23"/>
    <mergeCell ref="BP23:BU23"/>
    <mergeCell ref="BV23:CA23"/>
    <mergeCell ref="BW29:BY29"/>
    <mergeCell ref="BW30:BY30"/>
    <mergeCell ref="BC92:BE92"/>
    <mergeCell ref="BC93:BE93"/>
    <mergeCell ref="BC89:BE89"/>
    <mergeCell ref="BC95:BE95"/>
    <mergeCell ref="AZ29:BE35"/>
    <mergeCell ref="AZ46:BE52"/>
    <mergeCell ref="AZ63:BE69"/>
    <mergeCell ref="AZ80:BE86"/>
    <mergeCell ref="BC74:BE74"/>
    <mergeCell ref="BC75:BE75"/>
    <mergeCell ref="BC76:BE76"/>
    <mergeCell ref="BC78:BE78"/>
    <mergeCell ref="BC90:BE90"/>
    <mergeCell ref="BC91:BE91"/>
    <mergeCell ref="BC57:BE57"/>
    <mergeCell ref="BC58:BE58"/>
    <mergeCell ref="BC59:BE59"/>
    <mergeCell ref="BC61:BE61"/>
    <mergeCell ref="BC72:BE72"/>
    <mergeCell ref="BC73:BE73"/>
    <mergeCell ref="BC40:BE40"/>
    <mergeCell ref="BC41:BE41"/>
    <mergeCell ref="BC42:BE42"/>
    <mergeCell ref="BC44:BE44"/>
    <mergeCell ref="BC123:BE123"/>
    <mergeCell ref="BC124:BE124"/>
    <mergeCell ref="BC125:BE125"/>
    <mergeCell ref="BC126:BE126"/>
    <mergeCell ref="BC127:BE127"/>
    <mergeCell ref="BC129:BE129"/>
    <mergeCell ref="BC106:BE106"/>
    <mergeCell ref="BC107:BE107"/>
    <mergeCell ref="BC108:BE108"/>
    <mergeCell ref="BC109:BE109"/>
    <mergeCell ref="BC110:BE110"/>
    <mergeCell ref="BC112:BE112"/>
    <mergeCell ref="BC208:BE208"/>
    <mergeCell ref="BC209:BE209"/>
    <mergeCell ref="BC210:BE210"/>
    <mergeCell ref="BC211:BE211"/>
    <mergeCell ref="BC212:BE212"/>
    <mergeCell ref="BC214:BE214"/>
    <mergeCell ref="BC191:BE191"/>
    <mergeCell ref="BC192:BE192"/>
    <mergeCell ref="BC193:BE193"/>
    <mergeCell ref="BC194:BE194"/>
    <mergeCell ref="BC195:BE195"/>
    <mergeCell ref="BC197:BE197"/>
    <mergeCell ref="BC242:BE242"/>
    <mergeCell ref="BC243:BE243"/>
    <mergeCell ref="BC244:BE244"/>
    <mergeCell ref="BC245:BE245"/>
    <mergeCell ref="BC246:BE246"/>
    <mergeCell ref="BC248:BE248"/>
    <mergeCell ref="BC225:BE225"/>
    <mergeCell ref="BC226:BE226"/>
    <mergeCell ref="BC227:BE227"/>
    <mergeCell ref="BC228:BE228"/>
    <mergeCell ref="BC229:BE229"/>
    <mergeCell ref="BC231:BE231"/>
    <mergeCell ref="BC276:BE276"/>
    <mergeCell ref="BC277:BE277"/>
    <mergeCell ref="BC278:BE278"/>
    <mergeCell ref="BC279:BE279"/>
    <mergeCell ref="BC280:BE280"/>
    <mergeCell ref="BC282:BE282"/>
    <mergeCell ref="BC259:BE259"/>
    <mergeCell ref="BC260:BE260"/>
    <mergeCell ref="BC261:BE261"/>
    <mergeCell ref="BC262:BE262"/>
    <mergeCell ref="BC263:BE263"/>
    <mergeCell ref="BC265:BE265"/>
    <mergeCell ref="BC313:BE313"/>
    <mergeCell ref="BC314:BE314"/>
    <mergeCell ref="BC316:BE316"/>
    <mergeCell ref="BC293:BE293"/>
    <mergeCell ref="BC294:BE294"/>
    <mergeCell ref="BC295:BE295"/>
    <mergeCell ref="BC296:BE296"/>
    <mergeCell ref="BC297:BE297"/>
    <mergeCell ref="BC299:BE299"/>
    <mergeCell ref="AZ301:BE307"/>
    <mergeCell ref="AZ97:BE103"/>
    <mergeCell ref="AZ114:BE120"/>
    <mergeCell ref="AZ131:BE137"/>
    <mergeCell ref="AZ148:BE154"/>
    <mergeCell ref="AZ165:BE171"/>
    <mergeCell ref="AZ182:BE188"/>
    <mergeCell ref="BC174:BE174"/>
    <mergeCell ref="BC175:BE175"/>
    <mergeCell ref="BC176:BE176"/>
    <mergeCell ref="BC177:BE177"/>
    <mergeCell ref="BC178:BE178"/>
    <mergeCell ref="BC180:BE180"/>
    <mergeCell ref="BC157:BE157"/>
    <mergeCell ref="BC158:BE158"/>
    <mergeCell ref="BC159:BE159"/>
    <mergeCell ref="BC160:BE160"/>
    <mergeCell ref="BC161:BE161"/>
    <mergeCell ref="BC163:BE163"/>
    <mergeCell ref="BC140:BE140"/>
    <mergeCell ref="BC141:BE141"/>
    <mergeCell ref="BC142:BE142"/>
    <mergeCell ref="BC143:BE143"/>
    <mergeCell ref="BC144:BE144"/>
    <mergeCell ref="BC146:BE146"/>
    <mergeCell ref="AZ318:BE324"/>
    <mergeCell ref="AZ335:BE341"/>
    <mergeCell ref="AZ352:BE358"/>
    <mergeCell ref="AZ199:BE205"/>
    <mergeCell ref="AZ216:BE222"/>
    <mergeCell ref="AZ233:BE239"/>
    <mergeCell ref="AZ250:BE256"/>
    <mergeCell ref="AZ267:BE273"/>
    <mergeCell ref="AZ284:BE290"/>
    <mergeCell ref="BC344:BE344"/>
    <mergeCell ref="BC345:BE345"/>
    <mergeCell ref="BC346:BE346"/>
    <mergeCell ref="BC347:BE347"/>
    <mergeCell ref="BC348:BE348"/>
    <mergeCell ref="BC350:BE350"/>
    <mergeCell ref="BC327:BE327"/>
    <mergeCell ref="BC328:BE328"/>
    <mergeCell ref="BC329:BE329"/>
    <mergeCell ref="BC330:BE330"/>
    <mergeCell ref="BC331:BE331"/>
    <mergeCell ref="BC333:BE333"/>
    <mergeCell ref="BC310:BE310"/>
    <mergeCell ref="BC311:BE311"/>
    <mergeCell ref="BC312:BE312"/>
  </mergeCells>
  <dataValidations count="1">
    <dataValidation type="list" allowBlank="1" showInputMessage="1" showErrorMessage="1" sqref="I22:X22 I39:X39 I56:X56 I73:X73 I90:X90 I107:X107 I124:X124 I141:X141 I158:X158 I175:X175 I192:X192 I209:X209 I226:X226 I243:X243 I260:X260 I277:X277 I294:X294 I311:X311 I328:X328 I345:X345">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learEqComponents">
                <anchor moveWithCells="1" sizeWithCells="1">
                  <from>
                    <xdr:col>36</xdr:col>
                    <xdr:colOff>60960</xdr:colOff>
                    <xdr:row>13</xdr:row>
                    <xdr:rowOff>45720</xdr:rowOff>
                  </from>
                  <to>
                    <xdr:col>41</xdr:col>
                    <xdr:colOff>68580</xdr:colOff>
                    <xdr:row>15</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B1:GK180"/>
  <sheetViews>
    <sheetView showGridLines="0" zoomScaleNormal="100" workbookViewId="0"/>
  </sheetViews>
  <sheetFormatPr defaultColWidth="2.6640625" defaultRowHeight="13.5" customHeight="1"/>
  <cols>
    <col min="1" max="16384" width="2.6640625" style="12"/>
  </cols>
  <sheetData>
    <row r="1" spans="2:193" ht="13.5" customHeight="1" thickBot="1"/>
    <row r="2" spans="2:193"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193" ht="13.5" customHeight="1">
      <c r="B3" s="18"/>
      <c r="C3" s="224" t="s">
        <v>626</v>
      </c>
      <c r="D3" s="406"/>
      <c r="E3" s="406"/>
      <c r="F3" s="406"/>
      <c r="G3" s="406"/>
      <c r="H3" s="406"/>
      <c r="I3" s="406"/>
      <c r="J3" s="406"/>
      <c r="K3" s="406"/>
      <c r="L3" s="406"/>
      <c r="M3" s="406"/>
      <c r="N3" s="19"/>
      <c r="O3" s="19"/>
      <c r="P3" s="19"/>
      <c r="Q3" s="19"/>
      <c r="R3" s="19"/>
      <c r="S3" s="19"/>
      <c r="T3" s="19"/>
      <c r="U3" s="19"/>
      <c r="V3" s="19"/>
      <c r="W3" s="19"/>
      <c r="X3" s="19"/>
      <c r="Y3" s="19"/>
      <c r="Z3" s="19"/>
      <c r="AA3" s="19"/>
      <c r="AB3" s="19"/>
      <c r="AC3" s="19"/>
      <c r="AD3" s="19"/>
      <c r="AE3" s="19"/>
      <c r="AF3" s="19"/>
      <c r="AG3" s="19"/>
      <c r="AH3" s="19"/>
      <c r="AI3" s="20"/>
      <c r="AK3" s="18"/>
      <c r="AL3" s="224" t="s">
        <v>627</v>
      </c>
      <c r="AM3" s="406"/>
      <c r="AN3" s="406"/>
      <c r="AO3" s="406"/>
      <c r="AP3" s="406"/>
      <c r="AQ3" s="406"/>
      <c r="AR3" s="406"/>
      <c r="AS3" s="406"/>
      <c r="AT3" s="406"/>
      <c r="AU3" s="406"/>
      <c r="AV3" s="406"/>
      <c r="AW3" s="20"/>
    </row>
    <row r="4" spans="2:193" ht="13.5" customHeight="1">
      <c r="B4" s="18"/>
      <c r="C4" s="409"/>
      <c r="D4" s="409"/>
      <c r="E4" s="409"/>
      <c r="F4" s="409"/>
      <c r="G4" s="409"/>
      <c r="H4" s="409"/>
      <c r="I4" s="409"/>
      <c r="J4" s="409"/>
      <c r="K4" s="409"/>
      <c r="L4" s="409"/>
      <c r="M4" s="409"/>
      <c r="N4" s="19"/>
      <c r="O4" s="19"/>
      <c r="P4" s="19"/>
      <c r="Q4" s="19"/>
      <c r="R4" s="19"/>
      <c r="S4" s="19"/>
      <c r="T4" s="19"/>
      <c r="U4" s="19"/>
      <c r="V4" s="19"/>
      <c r="W4" s="19"/>
      <c r="X4" s="19"/>
      <c r="Y4" s="19"/>
      <c r="Z4" s="19"/>
      <c r="AA4" s="19"/>
      <c r="AB4" s="19"/>
      <c r="AC4" s="19"/>
      <c r="AD4" s="19"/>
      <c r="AE4" s="19"/>
      <c r="AF4" s="19"/>
      <c r="AG4" s="19"/>
      <c r="AH4" s="19"/>
      <c r="AI4" s="20"/>
      <c r="AK4" s="18"/>
      <c r="AL4" s="409"/>
      <c r="AM4" s="409"/>
      <c r="AN4" s="409"/>
      <c r="AO4" s="409"/>
      <c r="AP4" s="409"/>
      <c r="AQ4" s="409"/>
      <c r="AR4" s="409"/>
      <c r="AS4" s="409"/>
      <c r="AT4" s="409"/>
      <c r="AU4" s="409"/>
      <c r="AV4" s="409"/>
      <c r="AW4" s="20"/>
    </row>
    <row r="5" spans="2:193"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193" ht="13.5" customHeight="1" thickBot="1">
      <c r="B6" s="18"/>
      <c r="C6" s="375" t="s">
        <v>778</v>
      </c>
      <c r="D6" s="403"/>
      <c r="E6" s="403"/>
      <c r="F6" s="403"/>
      <c r="G6" s="403"/>
      <c r="H6" s="403"/>
      <c r="I6" s="403"/>
      <c r="J6" s="403"/>
      <c r="K6" s="403"/>
      <c r="L6" s="403"/>
      <c r="M6" s="403"/>
      <c r="N6" s="403"/>
      <c r="O6" s="403"/>
      <c r="P6" s="403"/>
      <c r="Q6" s="403"/>
      <c r="R6" s="403"/>
      <c r="S6" s="403"/>
      <c r="T6" s="403"/>
      <c r="U6" s="403"/>
      <c r="V6" s="403"/>
      <c r="W6" s="403"/>
      <c r="X6" s="403"/>
      <c r="Y6" s="403"/>
      <c r="Z6" s="403"/>
      <c r="AA6" s="403"/>
      <c r="AB6" s="403"/>
      <c r="AC6" s="403"/>
      <c r="AD6" s="403"/>
      <c r="AE6" s="403"/>
      <c r="AF6" s="403"/>
      <c r="AG6" s="403"/>
      <c r="AH6" s="404"/>
      <c r="AI6" s="20"/>
      <c r="AK6" s="18"/>
      <c r="AL6" s="19" t="s">
        <v>628</v>
      </c>
      <c r="AM6" s="19"/>
      <c r="AN6" s="19"/>
      <c r="AO6" s="19"/>
      <c r="AP6" s="19"/>
      <c r="AQ6" s="19"/>
      <c r="AR6" s="19"/>
      <c r="AS6" s="19"/>
      <c r="AT6" s="252">
        <f>Adv!CD40</f>
        <v>0</v>
      </c>
      <c r="AU6" s="418"/>
      <c r="AV6" s="419"/>
      <c r="AW6" s="20"/>
    </row>
    <row r="7" spans="2:193" ht="13.5" customHeight="1" thickBot="1">
      <c r="B7" s="18"/>
      <c r="C7" s="405"/>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7"/>
      <c r="AI7" s="20"/>
      <c r="AK7" s="18"/>
      <c r="AL7" s="19" t="s">
        <v>627</v>
      </c>
      <c r="AM7" s="19"/>
      <c r="AN7" s="19"/>
      <c r="AO7" s="19"/>
      <c r="AP7" s="19"/>
      <c r="AQ7" s="19"/>
      <c r="AR7" s="19"/>
      <c r="AS7" s="19"/>
      <c r="AT7" s="252">
        <f>AT6*5</f>
        <v>0</v>
      </c>
      <c r="AU7" s="418"/>
      <c r="AV7" s="419"/>
      <c r="AW7" s="20"/>
    </row>
    <row r="8" spans="2:193" ht="13.5" customHeight="1" thickBot="1">
      <c r="B8" s="18"/>
      <c r="C8" s="405"/>
      <c r="D8" s="406"/>
      <c r="E8" s="406"/>
      <c r="F8" s="406"/>
      <c r="G8" s="406"/>
      <c r="H8" s="406"/>
      <c r="I8" s="406"/>
      <c r="J8" s="406"/>
      <c r="K8" s="406"/>
      <c r="L8" s="406"/>
      <c r="M8" s="406"/>
      <c r="N8" s="406"/>
      <c r="O8" s="406"/>
      <c r="P8" s="406"/>
      <c r="Q8" s="406"/>
      <c r="R8" s="406"/>
      <c r="S8" s="406"/>
      <c r="T8" s="406"/>
      <c r="U8" s="406"/>
      <c r="V8" s="406"/>
      <c r="W8" s="406"/>
      <c r="X8" s="406"/>
      <c r="Y8" s="406"/>
      <c r="Z8" s="406"/>
      <c r="AA8" s="406"/>
      <c r="AB8" s="406"/>
      <c r="AC8" s="406"/>
      <c r="AD8" s="406"/>
      <c r="AE8" s="406"/>
      <c r="AF8" s="406"/>
      <c r="AG8" s="406"/>
      <c r="AH8" s="407"/>
      <c r="AI8" s="20"/>
      <c r="AK8" s="18"/>
      <c r="AL8" s="19" t="s">
        <v>629</v>
      </c>
      <c r="AM8" s="19"/>
      <c r="AN8" s="19"/>
      <c r="AO8" s="19"/>
      <c r="AP8" s="19"/>
      <c r="AQ8" s="19"/>
      <c r="AR8" s="19"/>
      <c r="AS8" s="19"/>
      <c r="AT8" s="395">
        <f>SUM(AL26:AR162)+BS27</f>
        <v>0</v>
      </c>
      <c r="AU8" s="418"/>
      <c r="AV8" s="419"/>
      <c r="AW8" s="20"/>
    </row>
    <row r="9" spans="2:193" ht="13.5" customHeight="1" thickBot="1">
      <c r="B9" s="18"/>
      <c r="C9" s="405"/>
      <c r="D9" s="406"/>
      <c r="E9" s="406"/>
      <c r="F9" s="406"/>
      <c r="G9" s="406"/>
      <c r="H9" s="406"/>
      <c r="I9" s="406"/>
      <c r="J9" s="406"/>
      <c r="K9" s="406"/>
      <c r="L9" s="406"/>
      <c r="M9" s="406"/>
      <c r="N9" s="406"/>
      <c r="O9" s="406"/>
      <c r="P9" s="406"/>
      <c r="Q9" s="406"/>
      <c r="R9" s="406"/>
      <c r="S9" s="406"/>
      <c r="T9" s="406"/>
      <c r="U9" s="406"/>
      <c r="V9" s="406"/>
      <c r="W9" s="406"/>
      <c r="X9" s="406"/>
      <c r="Y9" s="406"/>
      <c r="Z9" s="406"/>
      <c r="AA9" s="406"/>
      <c r="AB9" s="406"/>
      <c r="AC9" s="406"/>
      <c r="AD9" s="406"/>
      <c r="AE9" s="406"/>
      <c r="AF9" s="406"/>
      <c r="AG9" s="406"/>
      <c r="AH9" s="407"/>
      <c r="AI9" s="20"/>
      <c r="AK9" s="18"/>
      <c r="AL9" s="19" t="s">
        <v>630</v>
      </c>
      <c r="AM9" s="19"/>
      <c r="AN9" s="19"/>
      <c r="AO9" s="19"/>
      <c r="AP9" s="19"/>
      <c r="AQ9" s="19"/>
      <c r="AR9" s="19"/>
      <c r="AS9" s="19"/>
      <c r="AT9" s="252">
        <f>AT7-AT8</f>
        <v>0</v>
      </c>
      <c r="AU9" s="418"/>
      <c r="AV9" s="419"/>
      <c r="AW9" s="20"/>
    </row>
    <row r="10" spans="2:193" ht="13.5" customHeight="1" thickBot="1">
      <c r="B10" s="18"/>
      <c r="C10" s="408"/>
      <c r="D10" s="409"/>
      <c r="E10" s="409"/>
      <c r="F10" s="409"/>
      <c r="G10" s="409"/>
      <c r="H10" s="409"/>
      <c r="I10" s="409"/>
      <c r="J10" s="409"/>
      <c r="K10" s="409"/>
      <c r="L10" s="409"/>
      <c r="M10" s="409"/>
      <c r="N10" s="409"/>
      <c r="O10" s="409"/>
      <c r="P10" s="409"/>
      <c r="Q10" s="409"/>
      <c r="R10" s="409"/>
      <c r="S10" s="409"/>
      <c r="T10" s="409"/>
      <c r="U10" s="409"/>
      <c r="V10" s="409"/>
      <c r="W10" s="409"/>
      <c r="X10" s="409"/>
      <c r="Y10" s="409"/>
      <c r="Z10" s="409"/>
      <c r="AA10" s="409"/>
      <c r="AB10" s="409"/>
      <c r="AC10" s="409"/>
      <c r="AD10" s="409"/>
      <c r="AE10" s="409"/>
      <c r="AF10" s="409"/>
      <c r="AG10" s="409"/>
      <c r="AH10" s="410"/>
      <c r="AI10" s="20"/>
      <c r="AK10" s="21"/>
      <c r="AL10" s="137"/>
      <c r="AM10" s="137"/>
      <c r="AN10" s="137"/>
      <c r="AO10" s="137"/>
      <c r="AP10" s="137"/>
      <c r="AQ10" s="137"/>
      <c r="AR10" s="137"/>
      <c r="AS10" s="137"/>
      <c r="AT10" s="137"/>
      <c r="AU10" s="137"/>
      <c r="AV10" s="137"/>
      <c r="AW10" s="23"/>
    </row>
    <row r="11" spans="2:193" ht="13.5" customHeight="1" thickBot="1">
      <c r="B11" s="21"/>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3"/>
    </row>
    <row r="12" spans="2:193" ht="13.5" customHeight="1" thickBot="1">
      <c r="CL12" s="44"/>
      <c r="CM12" s="44"/>
      <c r="CN12" s="44"/>
      <c r="CO12" s="44"/>
      <c r="CP12" s="44"/>
      <c r="CQ12" s="44"/>
      <c r="CR12" s="44"/>
      <c r="CS12" s="44"/>
      <c r="CT12" s="44"/>
    </row>
    <row r="13" spans="2:193" ht="13.5" customHeight="1" thickBot="1">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7"/>
      <c r="BK13" s="12" t="s">
        <v>620</v>
      </c>
      <c r="BT13" s="12" t="s">
        <v>621</v>
      </c>
      <c r="CC13" s="12" t="s">
        <v>790</v>
      </c>
      <c r="CL13" s="44"/>
      <c r="CM13" s="44"/>
      <c r="CN13" s="44"/>
      <c r="CO13" s="44"/>
      <c r="CP13" s="44"/>
      <c r="CQ13" s="44"/>
      <c r="CR13" s="44"/>
      <c r="CS13" s="44"/>
      <c r="CT13" s="44"/>
      <c r="CV13" s="12" t="s">
        <v>779</v>
      </c>
      <c r="DO13" s="12" t="s">
        <v>787</v>
      </c>
      <c r="EH13" s="12" t="s">
        <v>1264</v>
      </c>
      <c r="FA13" s="12" t="s">
        <v>1265</v>
      </c>
      <c r="FT13" s="12" t="s">
        <v>1266</v>
      </c>
    </row>
    <row r="14" spans="2:193" ht="13.5" customHeight="1" thickBot="1">
      <c r="B14" s="18"/>
      <c r="C14" s="19" t="s">
        <v>631</v>
      </c>
      <c r="D14" s="19"/>
      <c r="E14" s="19"/>
      <c r="F14" s="19"/>
      <c r="G14" s="19"/>
      <c r="H14" s="249"/>
      <c r="I14" s="418"/>
      <c r="J14" s="418"/>
      <c r="K14" s="418"/>
      <c r="L14" s="418"/>
      <c r="M14" s="418"/>
      <c r="N14" s="418"/>
      <c r="O14" s="418"/>
      <c r="P14" s="418"/>
      <c r="Q14" s="418"/>
      <c r="R14" s="419"/>
      <c r="S14" s="401" t="s">
        <v>505</v>
      </c>
      <c r="T14" s="425"/>
      <c r="U14" s="425"/>
      <c r="V14" s="425"/>
      <c r="W14" s="425"/>
      <c r="X14" s="425"/>
      <c r="Y14" s="262" t="s">
        <v>37</v>
      </c>
      <c r="Z14" s="262"/>
      <c r="AA14" s="262"/>
      <c r="AB14" s="262" t="s">
        <v>36</v>
      </c>
      <c r="AC14" s="262"/>
      <c r="AD14" s="262"/>
      <c r="AE14" s="262" t="s">
        <v>506</v>
      </c>
      <c r="AF14" s="262"/>
      <c r="AG14" s="262"/>
      <c r="AH14" s="262"/>
      <c r="AI14" s="262"/>
      <c r="AJ14" s="262"/>
      <c r="AK14" s="262"/>
      <c r="AL14" s="262" t="s">
        <v>507</v>
      </c>
      <c r="AM14" s="262"/>
      <c r="AN14" s="262"/>
      <c r="AO14" s="262"/>
      <c r="AP14" s="262"/>
      <c r="AQ14" s="262"/>
      <c r="AR14" s="262"/>
      <c r="AS14" s="20"/>
      <c r="BK14" s="384" t="str">
        <f>IF(H14="","",H14&amp;IF(H26="",""," ["&amp;H26&amp;"]"))</f>
        <v/>
      </c>
      <c r="BL14" s="414"/>
      <c r="BM14" s="414"/>
      <c r="BN14" s="414"/>
      <c r="BO14" s="414"/>
      <c r="BP14" s="414"/>
      <c r="BQ14" s="414"/>
      <c r="BR14" s="414"/>
      <c r="BS14" s="415"/>
      <c r="BT14" s="384"/>
      <c r="BU14" s="385"/>
      <c r="BV14" s="385"/>
      <c r="BW14" s="385"/>
      <c r="BX14" s="385"/>
      <c r="BY14" s="385"/>
      <c r="BZ14" s="385"/>
      <c r="CA14" s="385"/>
      <c r="CB14" s="386"/>
      <c r="CC14" s="346" t="str">
        <f>IF($BK14="","",CHAR(149)&amp;" "&amp;$BK14&amp;CHAR(10)&amp;$BT24)</f>
        <v/>
      </c>
      <c r="CD14" s="403"/>
      <c r="CE14" s="403"/>
      <c r="CF14" s="403"/>
      <c r="CG14" s="403"/>
      <c r="CH14" s="403"/>
      <c r="CI14" s="403"/>
      <c r="CJ14" s="403"/>
      <c r="CK14" s="403"/>
      <c r="CL14" s="403"/>
      <c r="CM14" s="403"/>
      <c r="CN14" s="403"/>
      <c r="CO14" s="403"/>
      <c r="CP14" s="403"/>
      <c r="CQ14" s="403"/>
      <c r="CR14" s="403"/>
      <c r="CS14" s="403"/>
      <c r="CT14" s="404"/>
      <c r="CV14" s="346" t="str">
        <f>IF(AV19="","",CHAR(10)&amp;CHAR(149)&amp;" 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CW14" s="403"/>
      <c r="CX14" s="403"/>
      <c r="CY14" s="403"/>
      <c r="CZ14" s="403"/>
      <c r="DA14" s="403"/>
      <c r="DB14" s="403"/>
      <c r="DC14" s="403"/>
      <c r="DD14" s="403"/>
      <c r="DE14" s="403"/>
      <c r="DF14" s="403"/>
      <c r="DG14" s="403"/>
      <c r="DH14" s="403"/>
      <c r="DI14" s="403"/>
      <c r="DJ14" s="403"/>
      <c r="DK14" s="403"/>
      <c r="DL14" s="403"/>
      <c r="DM14" s="404"/>
      <c r="DO14" s="346" t="str">
        <f>IF($BK14="","","[b]"&amp;$BK14&amp;"[/b]"&amp;CHAR(10)&amp;$BT24)</f>
        <v/>
      </c>
      <c r="DP14" s="403"/>
      <c r="DQ14" s="403"/>
      <c r="DR14" s="403"/>
      <c r="DS14" s="403"/>
      <c r="DT14" s="403"/>
      <c r="DU14" s="403"/>
      <c r="DV14" s="403"/>
      <c r="DW14" s="403"/>
      <c r="DX14" s="403"/>
      <c r="DY14" s="403"/>
      <c r="DZ14" s="403"/>
      <c r="EA14" s="403"/>
      <c r="EB14" s="403"/>
      <c r="EC14" s="403"/>
      <c r="ED14" s="403"/>
      <c r="EE14" s="403"/>
      <c r="EF14" s="404"/>
      <c r="EH14" s="346" t="str">
        <f>IF(AV19="","",CHAR(10)&amp;"[b]Standard Equipment[/b]"&amp;CHAR(10)&amp;"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EI14" s="403"/>
      <c r="EJ14" s="403"/>
      <c r="EK14" s="403"/>
      <c r="EL14" s="403"/>
      <c r="EM14" s="403"/>
      <c r="EN14" s="403"/>
      <c r="EO14" s="403"/>
      <c r="EP14" s="403"/>
      <c r="EQ14" s="403"/>
      <c r="ER14" s="403"/>
      <c r="ES14" s="403"/>
      <c r="ET14" s="403"/>
      <c r="EU14" s="403"/>
      <c r="EV14" s="403"/>
      <c r="EW14" s="403"/>
      <c r="EX14" s="403"/>
      <c r="EY14" s="404"/>
      <c r="FA14" s="346" t="str">
        <f>IF(AV19="","",CHAR(10)&amp;"**Standard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FB14" s="403"/>
      <c r="FC14" s="403"/>
      <c r="FD14" s="403"/>
      <c r="FE14" s="403"/>
      <c r="FF14" s="403"/>
      <c r="FG14" s="403"/>
      <c r="FH14" s="403"/>
      <c r="FI14" s="403"/>
      <c r="FJ14" s="403"/>
      <c r="FK14" s="403"/>
      <c r="FL14" s="403"/>
      <c r="FM14" s="403"/>
      <c r="FN14" s="403"/>
      <c r="FO14" s="403"/>
      <c r="FP14" s="403"/>
      <c r="FQ14" s="403"/>
      <c r="FR14" s="404"/>
      <c r="FT14" s="346" t="str">
        <f>IF($BK14="","","**"&amp;$BK14&amp;"**"&amp;CHAR(10)&amp;$BT24)</f>
        <v/>
      </c>
      <c r="FU14" s="403"/>
      <c r="FV14" s="403"/>
      <c r="FW14" s="403"/>
      <c r="FX14" s="403"/>
      <c r="FY14" s="403"/>
      <c r="FZ14" s="403"/>
      <c r="GA14" s="403"/>
      <c r="GB14" s="403"/>
      <c r="GC14" s="403"/>
      <c r="GD14" s="403"/>
      <c r="GE14" s="403"/>
      <c r="GF14" s="403"/>
      <c r="GG14" s="403"/>
      <c r="GH14" s="403"/>
      <c r="GI14" s="403"/>
      <c r="GJ14" s="403"/>
      <c r="GK14" s="404"/>
    </row>
    <row r="15" spans="2:193" ht="13.5" customHeight="1" thickTop="1" thickBot="1">
      <c r="B15" s="18"/>
      <c r="C15" s="19" t="s">
        <v>495</v>
      </c>
      <c r="D15" s="19"/>
      <c r="E15" s="19"/>
      <c r="F15" s="19"/>
      <c r="G15" s="19"/>
      <c r="H15" s="395"/>
      <c r="I15" s="418"/>
      <c r="J15" s="418"/>
      <c r="K15" s="418"/>
      <c r="L15" s="418"/>
      <c r="M15" s="418"/>
      <c r="N15" s="418"/>
      <c r="O15" s="418"/>
      <c r="P15" s="418"/>
      <c r="Q15" s="418"/>
      <c r="R15" s="419"/>
      <c r="S15" s="395"/>
      <c r="T15" s="418"/>
      <c r="U15" s="418"/>
      <c r="V15" s="418"/>
      <c r="W15" s="418"/>
      <c r="X15" s="419"/>
      <c r="Y15" s="252" t="str">
        <f t="shared" ref="Y15:Y24" si="0">IF($H15="","",IF($S15="Normal",VLOOKUP($H15,EqCompMatrix,7,FALSE),IF($S15="Alternate",1,IF($S15="Dynamic",2,IF($S15="None",0,"")))))</f>
        <v/>
      </c>
      <c r="Z15" s="418"/>
      <c r="AA15" s="419"/>
      <c r="AB15" s="252" t="str">
        <f t="shared" ref="AB15:AB24" si="1">IF($H15="","",VLOOKUP($H15,EqCompMatrix,5,FALSE))</f>
        <v/>
      </c>
      <c r="AC15" s="418"/>
      <c r="AD15" s="419"/>
      <c r="AE15" s="252" t="str">
        <f t="shared" ref="AE15:AE24" si="2">IF($H15="","",VLOOKUP($H15,EqCompMatrix,9,FALSE))</f>
        <v/>
      </c>
      <c r="AF15" s="418"/>
      <c r="AG15" s="418"/>
      <c r="AH15" s="418"/>
      <c r="AI15" s="418"/>
      <c r="AJ15" s="418"/>
      <c r="AK15" s="419"/>
      <c r="AL15" s="398" t="str">
        <f t="shared" ref="AL15:AL24" si="3">IF($H15="","",VLOOKUP($H15,EqCompMatrix,15,FALSE))</f>
        <v/>
      </c>
      <c r="AM15" s="418"/>
      <c r="AN15" s="418"/>
      <c r="AO15" s="418"/>
      <c r="AP15" s="418"/>
      <c r="AQ15" s="418"/>
      <c r="AR15" s="419"/>
      <c r="AS15" s="20"/>
      <c r="AU15" s="140"/>
      <c r="AV15" s="141"/>
      <c r="AW15" s="141"/>
      <c r="AX15" s="141"/>
      <c r="AY15" s="141"/>
      <c r="AZ15" s="141"/>
      <c r="BA15" s="141"/>
      <c r="BB15" s="141"/>
      <c r="BC15" s="141"/>
      <c r="BD15" s="141"/>
      <c r="BE15" s="141"/>
      <c r="BF15" s="141"/>
      <c r="BG15" s="141"/>
      <c r="BH15" s="141"/>
      <c r="BI15" s="142"/>
      <c r="BK15" s="413" t="str">
        <f>IF(H15="","",IF(S15="Alternate","Alt: ","")&amp;IF(S15="Dynamic","Dyn: ","")&amp;IF(H15=AE15,AE15&amp;" "&amp;AB15&amp;IF(AL15="",""," ["&amp;AL15&amp;"]"),IF(AE15="Custom",H15&amp;" ("&amp;Y15&amp;" points)"&amp;CHAR(10),H15&amp;": "&amp;AE15&amp;" "&amp;AB15&amp;IF(AL15="",""," ["&amp;AL15&amp;"]"))))</f>
        <v/>
      </c>
      <c r="BL15" s="414"/>
      <c r="BM15" s="414"/>
      <c r="BN15" s="414"/>
      <c r="BO15" s="414"/>
      <c r="BP15" s="414"/>
      <c r="BQ15" s="414"/>
      <c r="BR15" s="414"/>
      <c r="BS15" s="415"/>
      <c r="BT15" s="384" t="str">
        <f>IF(BK15="","","     "&amp;BK15)</f>
        <v/>
      </c>
      <c r="BU15" s="385"/>
      <c r="BV15" s="385"/>
      <c r="BW15" s="385"/>
      <c r="BX15" s="385"/>
      <c r="BY15" s="385"/>
      <c r="BZ15" s="385"/>
      <c r="CA15" s="385"/>
      <c r="CB15" s="386"/>
      <c r="CC15" s="405"/>
      <c r="CD15" s="406"/>
      <c r="CE15" s="406"/>
      <c r="CF15" s="406"/>
      <c r="CG15" s="406"/>
      <c r="CH15" s="406"/>
      <c r="CI15" s="406"/>
      <c r="CJ15" s="406"/>
      <c r="CK15" s="406"/>
      <c r="CL15" s="406"/>
      <c r="CM15" s="406"/>
      <c r="CN15" s="406"/>
      <c r="CO15" s="406"/>
      <c r="CP15" s="406"/>
      <c r="CQ15" s="406"/>
      <c r="CR15" s="406"/>
      <c r="CS15" s="406"/>
      <c r="CT15" s="407"/>
      <c r="CV15" s="405"/>
      <c r="CW15" s="406"/>
      <c r="CX15" s="406"/>
      <c r="CY15" s="406"/>
      <c r="CZ15" s="406"/>
      <c r="DA15" s="406"/>
      <c r="DB15" s="406"/>
      <c r="DC15" s="406"/>
      <c r="DD15" s="406"/>
      <c r="DE15" s="406"/>
      <c r="DF15" s="406"/>
      <c r="DG15" s="406"/>
      <c r="DH15" s="406"/>
      <c r="DI15" s="406"/>
      <c r="DJ15" s="406"/>
      <c r="DK15" s="406"/>
      <c r="DL15" s="406"/>
      <c r="DM15" s="407"/>
      <c r="DO15" s="405"/>
      <c r="DP15" s="406"/>
      <c r="DQ15" s="406"/>
      <c r="DR15" s="406"/>
      <c r="DS15" s="406"/>
      <c r="DT15" s="406"/>
      <c r="DU15" s="406"/>
      <c r="DV15" s="406"/>
      <c r="DW15" s="406"/>
      <c r="DX15" s="406"/>
      <c r="DY15" s="406"/>
      <c r="DZ15" s="406"/>
      <c r="EA15" s="406"/>
      <c r="EB15" s="406"/>
      <c r="EC15" s="406"/>
      <c r="ED15" s="406"/>
      <c r="EE15" s="406"/>
      <c r="EF15" s="407"/>
      <c r="EH15" s="405"/>
      <c r="EI15" s="406"/>
      <c r="EJ15" s="406"/>
      <c r="EK15" s="406"/>
      <c r="EL15" s="406"/>
      <c r="EM15" s="406"/>
      <c r="EN15" s="406"/>
      <c r="EO15" s="406"/>
      <c r="EP15" s="406"/>
      <c r="EQ15" s="406"/>
      <c r="ER15" s="406"/>
      <c r="ES15" s="406"/>
      <c r="ET15" s="406"/>
      <c r="EU15" s="406"/>
      <c r="EV15" s="406"/>
      <c r="EW15" s="406"/>
      <c r="EX15" s="406"/>
      <c r="EY15" s="407"/>
      <c r="FA15" s="405"/>
      <c r="FB15" s="406"/>
      <c r="FC15" s="406"/>
      <c r="FD15" s="406"/>
      <c r="FE15" s="406"/>
      <c r="FF15" s="406"/>
      <c r="FG15" s="406"/>
      <c r="FH15" s="406"/>
      <c r="FI15" s="406"/>
      <c r="FJ15" s="406"/>
      <c r="FK15" s="406"/>
      <c r="FL15" s="406"/>
      <c r="FM15" s="406"/>
      <c r="FN15" s="406"/>
      <c r="FO15" s="406"/>
      <c r="FP15" s="406"/>
      <c r="FQ15" s="406"/>
      <c r="FR15" s="407"/>
      <c r="FT15" s="405"/>
      <c r="FU15" s="406"/>
      <c r="FV15" s="406"/>
      <c r="FW15" s="406"/>
      <c r="FX15" s="406"/>
      <c r="FY15" s="406"/>
      <c r="FZ15" s="406"/>
      <c r="GA15" s="406"/>
      <c r="GB15" s="406"/>
      <c r="GC15" s="406"/>
      <c r="GD15" s="406"/>
      <c r="GE15" s="406"/>
      <c r="GF15" s="406"/>
      <c r="GG15" s="406"/>
      <c r="GH15" s="406"/>
      <c r="GI15" s="406"/>
      <c r="GJ15" s="406"/>
      <c r="GK15" s="407"/>
    </row>
    <row r="16" spans="2:193" ht="13.5" customHeight="1" thickBot="1">
      <c r="B16" s="18"/>
      <c r="C16" s="19" t="s">
        <v>496</v>
      </c>
      <c r="D16" s="19"/>
      <c r="E16" s="19"/>
      <c r="F16" s="19"/>
      <c r="G16" s="19"/>
      <c r="H16" s="395"/>
      <c r="I16" s="418"/>
      <c r="J16" s="418"/>
      <c r="K16" s="418"/>
      <c r="L16" s="418"/>
      <c r="M16" s="418"/>
      <c r="N16" s="418"/>
      <c r="O16" s="418"/>
      <c r="P16" s="418"/>
      <c r="Q16" s="418"/>
      <c r="R16" s="419"/>
      <c r="S16" s="395"/>
      <c r="T16" s="418"/>
      <c r="U16" s="418"/>
      <c r="V16" s="418"/>
      <c r="W16" s="418"/>
      <c r="X16" s="419"/>
      <c r="Y16" s="252" t="str">
        <f t="shared" si="0"/>
        <v/>
      </c>
      <c r="Z16" s="418"/>
      <c r="AA16" s="419"/>
      <c r="AB16" s="252" t="str">
        <f t="shared" si="1"/>
        <v/>
      </c>
      <c r="AC16" s="418"/>
      <c r="AD16" s="419"/>
      <c r="AE16" s="252" t="str">
        <f t="shared" si="2"/>
        <v/>
      </c>
      <c r="AF16" s="418"/>
      <c r="AG16" s="418"/>
      <c r="AH16" s="418"/>
      <c r="AI16" s="418"/>
      <c r="AJ16" s="418"/>
      <c r="AK16" s="419"/>
      <c r="AL16" s="398" t="str">
        <f t="shared" si="3"/>
        <v/>
      </c>
      <c r="AM16" s="418"/>
      <c r="AN16" s="418"/>
      <c r="AO16" s="418"/>
      <c r="AP16" s="418"/>
      <c r="AQ16" s="418"/>
      <c r="AR16" s="419"/>
      <c r="AS16" s="20"/>
      <c r="AU16" s="138"/>
      <c r="AV16" s="226" t="s">
        <v>777</v>
      </c>
      <c r="AW16" s="406"/>
      <c r="AX16" s="406"/>
      <c r="AY16" s="406"/>
      <c r="AZ16" s="406"/>
      <c r="BA16" s="406"/>
      <c r="BB16" s="406"/>
      <c r="BC16" s="406"/>
      <c r="BD16" s="406"/>
      <c r="BE16" s="406"/>
      <c r="BF16" s="406"/>
      <c r="BG16" s="406"/>
      <c r="BH16" s="19"/>
      <c r="BI16" s="139"/>
      <c r="BK16" s="413" t="str">
        <f t="shared" ref="BK16:BK24" si="4">IF(H16="","",IF(S16="Alternate","Alt: ","")&amp;IF(S16="Dynamic","Dyn: ","")&amp;IF(H16=AE16,AE16&amp;" "&amp;AB16&amp;IF(AL16="",""," ["&amp;AL16&amp;"]"),IF(AE16="Custom",H16&amp;" ("&amp;Y16&amp;" points)"&amp;CHAR(10),H16&amp;": "&amp;AE16&amp;" "&amp;AB16&amp;IF(AL16="",""," ["&amp;AL16&amp;"]"))))</f>
        <v/>
      </c>
      <c r="BL16" s="414"/>
      <c r="BM16" s="414"/>
      <c r="BN16" s="414"/>
      <c r="BO16" s="414"/>
      <c r="BP16" s="414"/>
      <c r="BQ16" s="414"/>
      <c r="BR16" s="414"/>
      <c r="BS16" s="415"/>
      <c r="BT16" s="413" t="str">
        <f>BT15&amp;IF(AE15="Custom","     "&amp;BK16,IF(S16="None",", "&amp;BK16,"")&amp;IF(OR(S16="Alternate",S16="Dynamic"),CHAR(10)&amp;"     "&amp;BK16,"")&amp;IF(S16="Normal",IF(OR(S15="Alternate",S15="Dynamic",S15="None"),CHAR(10)&amp;"     "&amp;BK16,", "&amp;BK16),""))</f>
        <v/>
      </c>
      <c r="BU16" s="416"/>
      <c r="BV16" s="416"/>
      <c r="BW16" s="416"/>
      <c r="BX16" s="416"/>
      <c r="BY16" s="416"/>
      <c r="BZ16" s="416"/>
      <c r="CA16" s="416"/>
      <c r="CB16" s="417"/>
      <c r="CC16" s="405"/>
      <c r="CD16" s="406"/>
      <c r="CE16" s="406"/>
      <c r="CF16" s="406"/>
      <c r="CG16" s="406"/>
      <c r="CH16" s="406"/>
      <c r="CI16" s="406"/>
      <c r="CJ16" s="406"/>
      <c r="CK16" s="406"/>
      <c r="CL16" s="406"/>
      <c r="CM16" s="406"/>
      <c r="CN16" s="406"/>
      <c r="CO16" s="406"/>
      <c r="CP16" s="406"/>
      <c r="CQ16" s="406"/>
      <c r="CR16" s="406"/>
      <c r="CS16" s="406"/>
      <c r="CT16" s="407"/>
      <c r="CV16" s="405"/>
      <c r="CW16" s="406"/>
      <c r="CX16" s="406"/>
      <c r="CY16" s="406"/>
      <c r="CZ16" s="406"/>
      <c r="DA16" s="406"/>
      <c r="DB16" s="406"/>
      <c r="DC16" s="406"/>
      <c r="DD16" s="406"/>
      <c r="DE16" s="406"/>
      <c r="DF16" s="406"/>
      <c r="DG16" s="406"/>
      <c r="DH16" s="406"/>
      <c r="DI16" s="406"/>
      <c r="DJ16" s="406"/>
      <c r="DK16" s="406"/>
      <c r="DL16" s="406"/>
      <c r="DM16" s="407"/>
      <c r="DO16" s="405"/>
      <c r="DP16" s="406"/>
      <c r="DQ16" s="406"/>
      <c r="DR16" s="406"/>
      <c r="DS16" s="406"/>
      <c r="DT16" s="406"/>
      <c r="DU16" s="406"/>
      <c r="DV16" s="406"/>
      <c r="DW16" s="406"/>
      <c r="DX16" s="406"/>
      <c r="DY16" s="406"/>
      <c r="DZ16" s="406"/>
      <c r="EA16" s="406"/>
      <c r="EB16" s="406"/>
      <c r="EC16" s="406"/>
      <c r="ED16" s="406"/>
      <c r="EE16" s="406"/>
      <c r="EF16" s="407"/>
      <c r="EH16" s="405"/>
      <c r="EI16" s="406"/>
      <c r="EJ16" s="406"/>
      <c r="EK16" s="406"/>
      <c r="EL16" s="406"/>
      <c r="EM16" s="406"/>
      <c r="EN16" s="406"/>
      <c r="EO16" s="406"/>
      <c r="EP16" s="406"/>
      <c r="EQ16" s="406"/>
      <c r="ER16" s="406"/>
      <c r="ES16" s="406"/>
      <c r="ET16" s="406"/>
      <c r="EU16" s="406"/>
      <c r="EV16" s="406"/>
      <c r="EW16" s="406"/>
      <c r="EX16" s="406"/>
      <c r="EY16" s="407"/>
      <c r="FA16" s="405"/>
      <c r="FB16" s="406"/>
      <c r="FC16" s="406"/>
      <c r="FD16" s="406"/>
      <c r="FE16" s="406"/>
      <c r="FF16" s="406"/>
      <c r="FG16" s="406"/>
      <c r="FH16" s="406"/>
      <c r="FI16" s="406"/>
      <c r="FJ16" s="406"/>
      <c r="FK16" s="406"/>
      <c r="FL16" s="406"/>
      <c r="FM16" s="406"/>
      <c r="FN16" s="406"/>
      <c r="FO16" s="406"/>
      <c r="FP16" s="406"/>
      <c r="FQ16" s="406"/>
      <c r="FR16" s="407"/>
      <c r="FT16" s="405"/>
      <c r="FU16" s="406"/>
      <c r="FV16" s="406"/>
      <c r="FW16" s="406"/>
      <c r="FX16" s="406"/>
      <c r="FY16" s="406"/>
      <c r="FZ16" s="406"/>
      <c r="GA16" s="406"/>
      <c r="GB16" s="406"/>
      <c r="GC16" s="406"/>
      <c r="GD16" s="406"/>
      <c r="GE16" s="406"/>
      <c r="GF16" s="406"/>
      <c r="GG16" s="406"/>
      <c r="GH16" s="406"/>
      <c r="GI16" s="406"/>
      <c r="GJ16" s="406"/>
      <c r="GK16" s="407"/>
    </row>
    <row r="17" spans="2:193" ht="13.5" customHeight="1" thickBot="1">
      <c r="B17" s="18"/>
      <c r="C17" s="19" t="s">
        <v>497</v>
      </c>
      <c r="D17" s="19"/>
      <c r="E17" s="19"/>
      <c r="F17" s="19"/>
      <c r="G17" s="19"/>
      <c r="H17" s="395"/>
      <c r="I17" s="418"/>
      <c r="J17" s="418"/>
      <c r="K17" s="418"/>
      <c r="L17" s="418"/>
      <c r="M17" s="418"/>
      <c r="N17" s="418"/>
      <c r="O17" s="418"/>
      <c r="P17" s="418"/>
      <c r="Q17" s="418"/>
      <c r="R17" s="419"/>
      <c r="S17" s="395"/>
      <c r="T17" s="418"/>
      <c r="U17" s="418"/>
      <c r="V17" s="418"/>
      <c r="W17" s="418"/>
      <c r="X17" s="419"/>
      <c r="Y17" s="252" t="str">
        <f t="shared" si="0"/>
        <v/>
      </c>
      <c r="Z17" s="418"/>
      <c r="AA17" s="419"/>
      <c r="AB17" s="252" t="str">
        <f t="shared" si="1"/>
        <v/>
      </c>
      <c r="AC17" s="418"/>
      <c r="AD17" s="419"/>
      <c r="AE17" s="252" t="str">
        <f t="shared" si="2"/>
        <v/>
      </c>
      <c r="AF17" s="418"/>
      <c r="AG17" s="418"/>
      <c r="AH17" s="418"/>
      <c r="AI17" s="418"/>
      <c r="AJ17" s="418"/>
      <c r="AK17" s="419"/>
      <c r="AL17" s="398" t="str">
        <f t="shared" si="3"/>
        <v/>
      </c>
      <c r="AM17" s="418"/>
      <c r="AN17" s="418"/>
      <c r="AO17" s="418"/>
      <c r="AP17" s="418"/>
      <c r="AQ17" s="418"/>
      <c r="AR17" s="419"/>
      <c r="AS17" s="20"/>
      <c r="AU17" s="138"/>
      <c r="AV17" s="409"/>
      <c r="AW17" s="409"/>
      <c r="AX17" s="409"/>
      <c r="AY17" s="409"/>
      <c r="AZ17" s="409"/>
      <c r="BA17" s="409"/>
      <c r="BB17" s="409"/>
      <c r="BC17" s="409"/>
      <c r="BD17" s="409"/>
      <c r="BE17" s="409"/>
      <c r="BF17" s="409"/>
      <c r="BG17" s="409"/>
      <c r="BH17" s="19"/>
      <c r="BI17" s="139"/>
      <c r="BK17" s="413" t="str">
        <f t="shared" si="4"/>
        <v/>
      </c>
      <c r="BL17" s="414"/>
      <c r="BM17" s="414"/>
      <c r="BN17" s="414"/>
      <c r="BO17" s="414"/>
      <c r="BP17" s="414"/>
      <c r="BQ17" s="414"/>
      <c r="BR17" s="414"/>
      <c r="BS17" s="415"/>
      <c r="BT17" s="413" t="str">
        <f t="shared" ref="BT17:BT24" si="5">BT16&amp;IF(AE16="Custom","     "&amp;BK17,IF(S17="None",", "&amp;BK17,"")&amp;IF(OR(S17="Alternate",S17="Dynamic"),CHAR(10)&amp;"     "&amp;BK17,"")&amp;IF(S17="Normal",IF(OR(S16="Alternate",S16="Dynamic",S16="None"),CHAR(10)&amp;"     "&amp;BK17,", "&amp;BK17),""))</f>
        <v/>
      </c>
      <c r="BU17" s="416"/>
      <c r="BV17" s="416"/>
      <c r="BW17" s="416"/>
      <c r="BX17" s="416"/>
      <c r="BY17" s="416"/>
      <c r="BZ17" s="416"/>
      <c r="CA17" s="416"/>
      <c r="CB17" s="417"/>
      <c r="CC17" s="405"/>
      <c r="CD17" s="406"/>
      <c r="CE17" s="406"/>
      <c r="CF17" s="406"/>
      <c r="CG17" s="406"/>
      <c r="CH17" s="406"/>
      <c r="CI17" s="406"/>
      <c r="CJ17" s="406"/>
      <c r="CK17" s="406"/>
      <c r="CL17" s="406"/>
      <c r="CM17" s="406"/>
      <c r="CN17" s="406"/>
      <c r="CO17" s="406"/>
      <c r="CP17" s="406"/>
      <c r="CQ17" s="406"/>
      <c r="CR17" s="406"/>
      <c r="CS17" s="406"/>
      <c r="CT17" s="407"/>
      <c r="CV17" s="405"/>
      <c r="CW17" s="406"/>
      <c r="CX17" s="406"/>
      <c r="CY17" s="406"/>
      <c r="CZ17" s="406"/>
      <c r="DA17" s="406"/>
      <c r="DB17" s="406"/>
      <c r="DC17" s="406"/>
      <c r="DD17" s="406"/>
      <c r="DE17" s="406"/>
      <c r="DF17" s="406"/>
      <c r="DG17" s="406"/>
      <c r="DH17" s="406"/>
      <c r="DI17" s="406"/>
      <c r="DJ17" s="406"/>
      <c r="DK17" s="406"/>
      <c r="DL17" s="406"/>
      <c r="DM17" s="407"/>
      <c r="DO17" s="405"/>
      <c r="DP17" s="406"/>
      <c r="DQ17" s="406"/>
      <c r="DR17" s="406"/>
      <c r="DS17" s="406"/>
      <c r="DT17" s="406"/>
      <c r="DU17" s="406"/>
      <c r="DV17" s="406"/>
      <c r="DW17" s="406"/>
      <c r="DX17" s="406"/>
      <c r="DY17" s="406"/>
      <c r="DZ17" s="406"/>
      <c r="EA17" s="406"/>
      <c r="EB17" s="406"/>
      <c r="EC17" s="406"/>
      <c r="ED17" s="406"/>
      <c r="EE17" s="406"/>
      <c r="EF17" s="407"/>
      <c r="EH17" s="405"/>
      <c r="EI17" s="406"/>
      <c r="EJ17" s="406"/>
      <c r="EK17" s="406"/>
      <c r="EL17" s="406"/>
      <c r="EM17" s="406"/>
      <c r="EN17" s="406"/>
      <c r="EO17" s="406"/>
      <c r="EP17" s="406"/>
      <c r="EQ17" s="406"/>
      <c r="ER17" s="406"/>
      <c r="ES17" s="406"/>
      <c r="ET17" s="406"/>
      <c r="EU17" s="406"/>
      <c r="EV17" s="406"/>
      <c r="EW17" s="406"/>
      <c r="EX17" s="406"/>
      <c r="EY17" s="407"/>
      <c r="FA17" s="405"/>
      <c r="FB17" s="406"/>
      <c r="FC17" s="406"/>
      <c r="FD17" s="406"/>
      <c r="FE17" s="406"/>
      <c r="FF17" s="406"/>
      <c r="FG17" s="406"/>
      <c r="FH17" s="406"/>
      <c r="FI17" s="406"/>
      <c r="FJ17" s="406"/>
      <c r="FK17" s="406"/>
      <c r="FL17" s="406"/>
      <c r="FM17" s="406"/>
      <c r="FN17" s="406"/>
      <c r="FO17" s="406"/>
      <c r="FP17" s="406"/>
      <c r="FQ17" s="406"/>
      <c r="FR17" s="407"/>
      <c r="FT17" s="405"/>
      <c r="FU17" s="406"/>
      <c r="FV17" s="406"/>
      <c r="FW17" s="406"/>
      <c r="FX17" s="406"/>
      <c r="FY17" s="406"/>
      <c r="FZ17" s="406"/>
      <c r="GA17" s="406"/>
      <c r="GB17" s="406"/>
      <c r="GC17" s="406"/>
      <c r="GD17" s="406"/>
      <c r="GE17" s="406"/>
      <c r="GF17" s="406"/>
      <c r="GG17" s="406"/>
      <c r="GH17" s="406"/>
      <c r="GI17" s="406"/>
      <c r="GJ17" s="406"/>
      <c r="GK17" s="407"/>
    </row>
    <row r="18" spans="2:193" ht="13.5" customHeight="1" thickBot="1">
      <c r="B18" s="18"/>
      <c r="C18" s="19" t="s">
        <v>498</v>
      </c>
      <c r="D18" s="19"/>
      <c r="E18" s="19"/>
      <c r="F18" s="19"/>
      <c r="G18" s="19"/>
      <c r="H18" s="395"/>
      <c r="I18" s="418"/>
      <c r="J18" s="418"/>
      <c r="K18" s="418"/>
      <c r="L18" s="418"/>
      <c r="M18" s="418"/>
      <c r="N18" s="418"/>
      <c r="O18" s="418"/>
      <c r="P18" s="418"/>
      <c r="Q18" s="418"/>
      <c r="R18" s="419"/>
      <c r="S18" s="395"/>
      <c r="T18" s="418"/>
      <c r="U18" s="418"/>
      <c r="V18" s="418"/>
      <c r="W18" s="418"/>
      <c r="X18" s="419"/>
      <c r="Y18" s="252" t="str">
        <f t="shared" si="0"/>
        <v/>
      </c>
      <c r="Z18" s="418"/>
      <c r="AA18" s="419"/>
      <c r="AB18" s="252" t="str">
        <f t="shared" si="1"/>
        <v/>
      </c>
      <c r="AC18" s="418"/>
      <c r="AD18" s="419"/>
      <c r="AE18" s="252" t="str">
        <f t="shared" si="2"/>
        <v/>
      </c>
      <c r="AF18" s="418"/>
      <c r="AG18" s="418"/>
      <c r="AH18" s="418"/>
      <c r="AI18" s="418"/>
      <c r="AJ18" s="418"/>
      <c r="AK18" s="419"/>
      <c r="AL18" s="398" t="str">
        <f t="shared" si="3"/>
        <v/>
      </c>
      <c r="AM18" s="418"/>
      <c r="AN18" s="418"/>
      <c r="AO18" s="418"/>
      <c r="AP18" s="418"/>
      <c r="AQ18" s="418"/>
      <c r="AR18" s="419"/>
      <c r="AS18" s="20"/>
      <c r="AU18" s="143"/>
      <c r="AV18" s="420" t="s">
        <v>318</v>
      </c>
      <c r="AW18" s="420"/>
      <c r="AX18" s="420"/>
      <c r="AY18" s="420"/>
      <c r="AZ18" s="420"/>
      <c r="BA18" s="420"/>
      <c r="BB18" s="420"/>
      <c r="BC18" s="420"/>
      <c r="BD18" s="420"/>
      <c r="BE18" s="420"/>
      <c r="BF18" s="420"/>
      <c r="BG18" s="262" t="s">
        <v>37</v>
      </c>
      <c r="BH18" s="262"/>
      <c r="BI18" s="139"/>
      <c r="BK18" s="413" t="str">
        <f t="shared" si="4"/>
        <v/>
      </c>
      <c r="BL18" s="414"/>
      <c r="BM18" s="414"/>
      <c r="BN18" s="414"/>
      <c r="BO18" s="414"/>
      <c r="BP18" s="414"/>
      <c r="BQ18" s="414"/>
      <c r="BR18" s="414"/>
      <c r="BS18" s="415"/>
      <c r="BT18" s="413" t="str">
        <f t="shared" si="5"/>
        <v/>
      </c>
      <c r="BU18" s="416"/>
      <c r="BV18" s="416"/>
      <c r="BW18" s="416"/>
      <c r="BX18" s="416"/>
      <c r="BY18" s="416"/>
      <c r="BZ18" s="416"/>
      <c r="CA18" s="416"/>
      <c r="CB18" s="417"/>
      <c r="CC18" s="405"/>
      <c r="CD18" s="406"/>
      <c r="CE18" s="406"/>
      <c r="CF18" s="406"/>
      <c r="CG18" s="406"/>
      <c r="CH18" s="406"/>
      <c r="CI18" s="406"/>
      <c r="CJ18" s="406"/>
      <c r="CK18" s="406"/>
      <c r="CL18" s="406"/>
      <c r="CM18" s="406"/>
      <c r="CN18" s="406"/>
      <c r="CO18" s="406"/>
      <c r="CP18" s="406"/>
      <c r="CQ18" s="406"/>
      <c r="CR18" s="406"/>
      <c r="CS18" s="406"/>
      <c r="CT18" s="407"/>
      <c r="CV18" s="405"/>
      <c r="CW18" s="406"/>
      <c r="CX18" s="406"/>
      <c r="CY18" s="406"/>
      <c r="CZ18" s="406"/>
      <c r="DA18" s="406"/>
      <c r="DB18" s="406"/>
      <c r="DC18" s="406"/>
      <c r="DD18" s="406"/>
      <c r="DE18" s="406"/>
      <c r="DF18" s="406"/>
      <c r="DG18" s="406"/>
      <c r="DH18" s="406"/>
      <c r="DI18" s="406"/>
      <c r="DJ18" s="406"/>
      <c r="DK18" s="406"/>
      <c r="DL18" s="406"/>
      <c r="DM18" s="407"/>
      <c r="DO18" s="405"/>
      <c r="DP18" s="406"/>
      <c r="DQ18" s="406"/>
      <c r="DR18" s="406"/>
      <c r="DS18" s="406"/>
      <c r="DT18" s="406"/>
      <c r="DU18" s="406"/>
      <c r="DV18" s="406"/>
      <c r="DW18" s="406"/>
      <c r="DX18" s="406"/>
      <c r="DY18" s="406"/>
      <c r="DZ18" s="406"/>
      <c r="EA18" s="406"/>
      <c r="EB18" s="406"/>
      <c r="EC18" s="406"/>
      <c r="ED18" s="406"/>
      <c r="EE18" s="406"/>
      <c r="EF18" s="407"/>
      <c r="EH18" s="405"/>
      <c r="EI18" s="406"/>
      <c r="EJ18" s="406"/>
      <c r="EK18" s="406"/>
      <c r="EL18" s="406"/>
      <c r="EM18" s="406"/>
      <c r="EN18" s="406"/>
      <c r="EO18" s="406"/>
      <c r="EP18" s="406"/>
      <c r="EQ18" s="406"/>
      <c r="ER18" s="406"/>
      <c r="ES18" s="406"/>
      <c r="ET18" s="406"/>
      <c r="EU18" s="406"/>
      <c r="EV18" s="406"/>
      <c r="EW18" s="406"/>
      <c r="EX18" s="406"/>
      <c r="EY18" s="407"/>
      <c r="FA18" s="405"/>
      <c r="FB18" s="406"/>
      <c r="FC18" s="406"/>
      <c r="FD18" s="406"/>
      <c r="FE18" s="406"/>
      <c r="FF18" s="406"/>
      <c r="FG18" s="406"/>
      <c r="FH18" s="406"/>
      <c r="FI18" s="406"/>
      <c r="FJ18" s="406"/>
      <c r="FK18" s="406"/>
      <c r="FL18" s="406"/>
      <c r="FM18" s="406"/>
      <c r="FN18" s="406"/>
      <c r="FO18" s="406"/>
      <c r="FP18" s="406"/>
      <c r="FQ18" s="406"/>
      <c r="FR18" s="407"/>
      <c r="FT18" s="405"/>
      <c r="FU18" s="406"/>
      <c r="FV18" s="406"/>
      <c r="FW18" s="406"/>
      <c r="FX18" s="406"/>
      <c r="FY18" s="406"/>
      <c r="FZ18" s="406"/>
      <c r="GA18" s="406"/>
      <c r="GB18" s="406"/>
      <c r="GC18" s="406"/>
      <c r="GD18" s="406"/>
      <c r="GE18" s="406"/>
      <c r="GF18" s="406"/>
      <c r="GG18" s="406"/>
      <c r="GH18" s="406"/>
      <c r="GI18" s="406"/>
      <c r="GJ18" s="406"/>
      <c r="GK18" s="407"/>
    </row>
    <row r="19" spans="2:193" ht="13.5" customHeight="1" thickBot="1">
      <c r="B19" s="18"/>
      <c r="C19" s="19" t="s">
        <v>499</v>
      </c>
      <c r="D19" s="19"/>
      <c r="E19" s="19"/>
      <c r="F19" s="19"/>
      <c r="G19" s="19"/>
      <c r="H19" s="395"/>
      <c r="I19" s="418"/>
      <c r="J19" s="418"/>
      <c r="K19" s="418"/>
      <c r="L19" s="418"/>
      <c r="M19" s="418"/>
      <c r="N19" s="418"/>
      <c r="O19" s="418"/>
      <c r="P19" s="418"/>
      <c r="Q19" s="418"/>
      <c r="R19" s="419"/>
      <c r="S19" s="395"/>
      <c r="T19" s="418"/>
      <c r="U19" s="418"/>
      <c r="V19" s="418"/>
      <c r="W19" s="418"/>
      <c r="X19" s="419"/>
      <c r="Y19" s="252" t="str">
        <f t="shared" si="0"/>
        <v/>
      </c>
      <c r="Z19" s="418"/>
      <c r="AA19" s="419"/>
      <c r="AB19" s="252" t="str">
        <f t="shared" si="1"/>
        <v/>
      </c>
      <c r="AC19" s="418"/>
      <c r="AD19" s="419"/>
      <c r="AE19" s="252" t="str">
        <f t="shared" si="2"/>
        <v/>
      </c>
      <c r="AF19" s="418"/>
      <c r="AG19" s="418"/>
      <c r="AH19" s="418"/>
      <c r="AI19" s="418"/>
      <c r="AJ19" s="418"/>
      <c r="AK19" s="419"/>
      <c r="AL19" s="398" t="str">
        <f t="shared" si="3"/>
        <v/>
      </c>
      <c r="AM19" s="418"/>
      <c r="AN19" s="418"/>
      <c r="AO19" s="418"/>
      <c r="AP19" s="418"/>
      <c r="AQ19" s="418"/>
      <c r="AR19" s="419"/>
      <c r="AS19" s="20"/>
      <c r="AU19" s="143"/>
      <c r="AV19" s="294"/>
      <c r="AW19" s="418"/>
      <c r="AX19" s="418"/>
      <c r="AY19" s="418"/>
      <c r="AZ19" s="418"/>
      <c r="BA19" s="418"/>
      <c r="BB19" s="418"/>
      <c r="BC19" s="418"/>
      <c r="BD19" s="418"/>
      <c r="BE19" s="418"/>
      <c r="BF19" s="419"/>
      <c r="BG19" s="249"/>
      <c r="BH19" s="419"/>
      <c r="BI19" s="139"/>
      <c r="BK19" s="413" t="str">
        <f t="shared" si="4"/>
        <v/>
      </c>
      <c r="BL19" s="414"/>
      <c r="BM19" s="414"/>
      <c r="BN19" s="414"/>
      <c r="BO19" s="414"/>
      <c r="BP19" s="414"/>
      <c r="BQ19" s="414"/>
      <c r="BR19" s="414"/>
      <c r="BS19" s="415"/>
      <c r="BT19" s="413" t="str">
        <f t="shared" si="5"/>
        <v/>
      </c>
      <c r="BU19" s="416"/>
      <c r="BV19" s="416"/>
      <c r="BW19" s="416"/>
      <c r="BX19" s="416"/>
      <c r="BY19" s="416"/>
      <c r="BZ19" s="416"/>
      <c r="CA19" s="416"/>
      <c r="CB19" s="417"/>
      <c r="CC19" s="405"/>
      <c r="CD19" s="406"/>
      <c r="CE19" s="406"/>
      <c r="CF19" s="406"/>
      <c r="CG19" s="406"/>
      <c r="CH19" s="406"/>
      <c r="CI19" s="406"/>
      <c r="CJ19" s="406"/>
      <c r="CK19" s="406"/>
      <c r="CL19" s="406"/>
      <c r="CM19" s="406"/>
      <c r="CN19" s="406"/>
      <c r="CO19" s="406"/>
      <c r="CP19" s="406"/>
      <c r="CQ19" s="406"/>
      <c r="CR19" s="406"/>
      <c r="CS19" s="406"/>
      <c r="CT19" s="407"/>
      <c r="CV19" s="405"/>
      <c r="CW19" s="406"/>
      <c r="CX19" s="406"/>
      <c r="CY19" s="406"/>
      <c r="CZ19" s="406"/>
      <c r="DA19" s="406"/>
      <c r="DB19" s="406"/>
      <c r="DC19" s="406"/>
      <c r="DD19" s="406"/>
      <c r="DE19" s="406"/>
      <c r="DF19" s="406"/>
      <c r="DG19" s="406"/>
      <c r="DH19" s="406"/>
      <c r="DI19" s="406"/>
      <c r="DJ19" s="406"/>
      <c r="DK19" s="406"/>
      <c r="DL19" s="406"/>
      <c r="DM19" s="407"/>
      <c r="DO19" s="405"/>
      <c r="DP19" s="406"/>
      <c r="DQ19" s="406"/>
      <c r="DR19" s="406"/>
      <c r="DS19" s="406"/>
      <c r="DT19" s="406"/>
      <c r="DU19" s="406"/>
      <c r="DV19" s="406"/>
      <c r="DW19" s="406"/>
      <c r="DX19" s="406"/>
      <c r="DY19" s="406"/>
      <c r="DZ19" s="406"/>
      <c r="EA19" s="406"/>
      <c r="EB19" s="406"/>
      <c r="EC19" s="406"/>
      <c r="ED19" s="406"/>
      <c r="EE19" s="406"/>
      <c r="EF19" s="407"/>
      <c r="EH19" s="405"/>
      <c r="EI19" s="406"/>
      <c r="EJ19" s="406"/>
      <c r="EK19" s="406"/>
      <c r="EL19" s="406"/>
      <c r="EM19" s="406"/>
      <c r="EN19" s="406"/>
      <c r="EO19" s="406"/>
      <c r="EP19" s="406"/>
      <c r="EQ19" s="406"/>
      <c r="ER19" s="406"/>
      <c r="ES19" s="406"/>
      <c r="ET19" s="406"/>
      <c r="EU19" s="406"/>
      <c r="EV19" s="406"/>
      <c r="EW19" s="406"/>
      <c r="EX19" s="406"/>
      <c r="EY19" s="407"/>
      <c r="FA19" s="405"/>
      <c r="FB19" s="406"/>
      <c r="FC19" s="406"/>
      <c r="FD19" s="406"/>
      <c r="FE19" s="406"/>
      <c r="FF19" s="406"/>
      <c r="FG19" s="406"/>
      <c r="FH19" s="406"/>
      <c r="FI19" s="406"/>
      <c r="FJ19" s="406"/>
      <c r="FK19" s="406"/>
      <c r="FL19" s="406"/>
      <c r="FM19" s="406"/>
      <c r="FN19" s="406"/>
      <c r="FO19" s="406"/>
      <c r="FP19" s="406"/>
      <c r="FQ19" s="406"/>
      <c r="FR19" s="407"/>
      <c r="FT19" s="405"/>
      <c r="FU19" s="406"/>
      <c r="FV19" s="406"/>
      <c r="FW19" s="406"/>
      <c r="FX19" s="406"/>
      <c r="FY19" s="406"/>
      <c r="FZ19" s="406"/>
      <c r="GA19" s="406"/>
      <c r="GB19" s="406"/>
      <c r="GC19" s="406"/>
      <c r="GD19" s="406"/>
      <c r="GE19" s="406"/>
      <c r="GF19" s="406"/>
      <c r="GG19" s="406"/>
      <c r="GH19" s="406"/>
      <c r="GI19" s="406"/>
      <c r="GJ19" s="406"/>
      <c r="GK19" s="407"/>
    </row>
    <row r="20" spans="2:193" ht="13.5" customHeight="1" thickBot="1">
      <c r="B20" s="18"/>
      <c r="C20" s="19" t="s">
        <v>500</v>
      </c>
      <c r="D20" s="19"/>
      <c r="E20" s="19"/>
      <c r="F20" s="19"/>
      <c r="G20" s="19"/>
      <c r="H20" s="395"/>
      <c r="I20" s="418"/>
      <c r="J20" s="418"/>
      <c r="K20" s="418"/>
      <c r="L20" s="418"/>
      <c r="M20" s="418"/>
      <c r="N20" s="418"/>
      <c r="O20" s="418"/>
      <c r="P20" s="418"/>
      <c r="Q20" s="418"/>
      <c r="R20" s="419"/>
      <c r="S20" s="395"/>
      <c r="T20" s="418"/>
      <c r="U20" s="418"/>
      <c r="V20" s="418"/>
      <c r="W20" s="418"/>
      <c r="X20" s="419"/>
      <c r="Y20" s="252" t="str">
        <f t="shared" si="0"/>
        <v/>
      </c>
      <c r="Z20" s="418"/>
      <c r="AA20" s="419"/>
      <c r="AB20" s="252" t="str">
        <f t="shared" si="1"/>
        <v/>
      </c>
      <c r="AC20" s="418"/>
      <c r="AD20" s="419"/>
      <c r="AE20" s="252" t="str">
        <f t="shared" si="2"/>
        <v/>
      </c>
      <c r="AF20" s="418"/>
      <c r="AG20" s="418"/>
      <c r="AH20" s="418"/>
      <c r="AI20" s="418"/>
      <c r="AJ20" s="418"/>
      <c r="AK20" s="419"/>
      <c r="AL20" s="398" t="str">
        <f t="shared" si="3"/>
        <v/>
      </c>
      <c r="AM20" s="418"/>
      <c r="AN20" s="418"/>
      <c r="AO20" s="418"/>
      <c r="AP20" s="418"/>
      <c r="AQ20" s="418"/>
      <c r="AR20" s="419"/>
      <c r="AS20" s="20"/>
      <c r="AU20" s="143"/>
      <c r="AV20" s="294"/>
      <c r="AW20" s="418"/>
      <c r="AX20" s="418"/>
      <c r="AY20" s="418"/>
      <c r="AZ20" s="418"/>
      <c r="BA20" s="418"/>
      <c r="BB20" s="418"/>
      <c r="BC20" s="418"/>
      <c r="BD20" s="418"/>
      <c r="BE20" s="418"/>
      <c r="BF20" s="419"/>
      <c r="BG20" s="249"/>
      <c r="BH20" s="419"/>
      <c r="BI20" s="139"/>
      <c r="BK20" s="413" t="str">
        <f t="shared" si="4"/>
        <v/>
      </c>
      <c r="BL20" s="414"/>
      <c r="BM20" s="414"/>
      <c r="BN20" s="414"/>
      <c r="BO20" s="414"/>
      <c r="BP20" s="414"/>
      <c r="BQ20" s="414"/>
      <c r="BR20" s="414"/>
      <c r="BS20" s="415"/>
      <c r="BT20" s="413" t="str">
        <f t="shared" si="5"/>
        <v/>
      </c>
      <c r="BU20" s="416"/>
      <c r="BV20" s="416"/>
      <c r="BW20" s="416"/>
      <c r="BX20" s="416"/>
      <c r="BY20" s="416"/>
      <c r="BZ20" s="416"/>
      <c r="CA20" s="416"/>
      <c r="CB20" s="417"/>
      <c r="CC20" s="405"/>
      <c r="CD20" s="406"/>
      <c r="CE20" s="406"/>
      <c r="CF20" s="406"/>
      <c r="CG20" s="406"/>
      <c r="CH20" s="406"/>
      <c r="CI20" s="406"/>
      <c r="CJ20" s="406"/>
      <c r="CK20" s="406"/>
      <c r="CL20" s="406"/>
      <c r="CM20" s="406"/>
      <c r="CN20" s="406"/>
      <c r="CO20" s="406"/>
      <c r="CP20" s="406"/>
      <c r="CQ20" s="406"/>
      <c r="CR20" s="406"/>
      <c r="CS20" s="406"/>
      <c r="CT20" s="407"/>
      <c r="CV20" s="405"/>
      <c r="CW20" s="406"/>
      <c r="CX20" s="406"/>
      <c r="CY20" s="406"/>
      <c r="CZ20" s="406"/>
      <c r="DA20" s="406"/>
      <c r="DB20" s="406"/>
      <c r="DC20" s="406"/>
      <c r="DD20" s="406"/>
      <c r="DE20" s="406"/>
      <c r="DF20" s="406"/>
      <c r="DG20" s="406"/>
      <c r="DH20" s="406"/>
      <c r="DI20" s="406"/>
      <c r="DJ20" s="406"/>
      <c r="DK20" s="406"/>
      <c r="DL20" s="406"/>
      <c r="DM20" s="407"/>
      <c r="DO20" s="405"/>
      <c r="DP20" s="406"/>
      <c r="DQ20" s="406"/>
      <c r="DR20" s="406"/>
      <c r="DS20" s="406"/>
      <c r="DT20" s="406"/>
      <c r="DU20" s="406"/>
      <c r="DV20" s="406"/>
      <c r="DW20" s="406"/>
      <c r="DX20" s="406"/>
      <c r="DY20" s="406"/>
      <c r="DZ20" s="406"/>
      <c r="EA20" s="406"/>
      <c r="EB20" s="406"/>
      <c r="EC20" s="406"/>
      <c r="ED20" s="406"/>
      <c r="EE20" s="406"/>
      <c r="EF20" s="407"/>
      <c r="EH20" s="405"/>
      <c r="EI20" s="406"/>
      <c r="EJ20" s="406"/>
      <c r="EK20" s="406"/>
      <c r="EL20" s="406"/>
      <c r="EM20" s="406"/>
      <c r="EN20" s="406"/>
      <c r="EO20" s="406"/>
      <c r="EP20" s="406"/>
      <c r="EQ20" s="406"/>
      <c r="ER20" s="406"/>
      <c r="ES20" s="406"/>
      <c r="ET20" s="406"/>
      <c r="EU20" s="406"/>
      <c r="EV20" s="406"/>
      <c r="EW20" s="406"/>
      <c r="EX20" s="406"/>
      <c r="EY20" s="407"/>
      <c r="FA20" s="405"/>
      <c r="FB20" s="406"/>
      <c r="FC20" s="406"/>
      <c r="FD20" s="406"/>
      <c r="FE20" s="406"/>
      <c r="FF20" s="406"/>
      <c r="FG20" s="406"/>
      <c r="FH20" s="406"/>
      <c r="FI20" s="406"/>
      <c r="FJ20" s="406"/>
      <c r="FK20" s="406"/>
      <c r="FL20" s="406"/>
      <c r="FM20" s="406"/>
      <c r="FN20" s="406"/>
      <c r="FO20" s="406"/>
      <c r="FP20" s="406"/>
      <c r="FQ20" s="406"/>
      <c r="FR20" s="407"/>
      <c r="FT20" s="405"/>
      <c r="FU20" s="406"/>
      <c r="FV20" s="406"/>
      <c r="FW20" s="406"/>
      <c r="FX20" s="406"/>
      <c r="FY20" s="406"/>
      <c r="FZ20" s="406"/>
      <c r="GA20" s="406"/>
      <c r="GB20" s="406"/>
      <c r="GC20" s="406"/>
      <c r="GD20" s="406"/>
      <c r="GE20" s="406"/>
      <c r="GF20" s="406"/>
      <c r="GG20" s="406"/>
      <c r="GH20" s="406"/>
      <c r="GI20" s="406"/>
      <c r="GJ20" s="406"/>
      <c r="GK20" s="407"/>
    </row>
    <row r="21" spans="2:193" ht="13.5" customHeight="1" thickBot="1">
      <c r="B21" s="18"/>
      <c r="C21" s="19" t="s">
        <v>501</v>
      </c>
      <c r="D21" s="19"/>
      <c r="E21" s="19"/>
      <c r="F21" s="19"/>
      <c r="G21" s="19"/>
      <c r="H21" s="395"/>
      <c r="I21" s="418"/>
      <c r="J21" s="418"/>
      <c r="K21" s="418"/>
      <c r="L21" s="418"/>
      <c r="M21" s="418"/>
      <c r="N21" s="418"/>
      <c r="O21" s="418"/>
      <c r="P21" s="418"/>
      <c r="Q21" s="418"/>
      <c r="R21" s="419"/>
      <c r="S21" s="395"/>
      <c r="T21" s="418"/>
      <c r="U21" s="418"/>
      <c r="V21" s="418"/>
      <c r="W21" s="418"/>
      <c r="X21" s="419"/>
      <c r="Y21" s="252" t="str">
        <f t="shared" si="0"/>
        <v/>
      </c>
      <c r="Z21" s="418"/>
      <c r="AA21" s="419"/>
      <c r="AB21" s="252" t="str">
        <f t="shared" si="1"/>
        <v/>
      </c>
      <c r="AC21" s="418"/>
      <c r="AD21" s="419"/>
      <c r="AE21" s="252" t="str">
        <f t="shared" si="2"/>
        <v/>
      </c>
      <c r="AF21" s="418"/>
      <c r="AG21" s="418"/>
      <c r="AH21" s="418"/>
      <c r="AI21" s="418"/>
      <c r="AJ21" s="418"/>
      <c r="AK21" s="419"/>
      <c r="AL21" s="398" t="str">
        <f t="shared" si="3"/>
        <v/>
      </c>
      <c r="AM21" s="418"/>
      <c r="AN21" s="418"/>
      <c r="AO21" s="418"/>
      <c r="AP21" s="418"/>
      <c r="AQ21" s="418"/>
      <c r="AR21" s="419"/>
      <c r="AS21" s="20"/>
      <c r="AU21" s="143"/>
      <c r="AV21" s="294"/>
      <c r="AW21" s="418"/>
      <c r="AX21" s="418"/>
      <c r="AY21" s="418"/>
      <c r="AZ21" s="418"/>
      <c r="BA21" s="418"/>
      <c r="BB21" s="418"/>
      <c r="BC21" s="418"/>
      <c r="BD21" s="418"/>
      <c r="BE21" s="418"/>
      <c r="BF21" s="419"/>
      <c r="BG21" s="249"/>
      <c r="BH21" s="419"/>
      <c r="BI21" s="139"/>
      <c r="BK21" s="413" t="str">
        <f t="shared" si="4"/>
        <v/>
      </c>
      <c r="BL21" s="414"/>
      <c r="BM21" s="414"/>
      <c r="BN21" s="414"/>
      <c r="BO21" s="414"/>
      <c r="BP21" s="414"/>
      <c r="BQ21" s="414"/>
      <c r="BR21" s="414"/>
      <c r="BS21" s="415"/>
      <c r="BT21" s="413" t="str">
        <f t="shared" si="5"/>
        <v/>
      </c>
      <c r="BU21" s="416"/>
      <c r="BV21" s="416"/>
      <c r="BW21" s="416"/>
      <c r="BX21" s="416"/>
      <c r="BY21" s="416"/>
      <c r="BZ21" s="416"/>
      <c r="CA21" s="416"/>
      <c r="CB21" s="417"/>
      <c r="CC21" s="405"/>
      <c r="CD21" s="406"/>
      <c r="CE21" s="406"/>
      <c r="CF21" s="406"/>
      <c r="CG21" s="406"/>
      <c r="CH21" s="406"/>
      <c r="CI21" s="406"/>
      <c r="CJ21" s="406"/>
      <c r="CK21" s="406"/>
      <c r="CL21" s="406"/>
      <c r="CM21" s="406"/>
      <c r="CN21" s="406"/>
      <c r="CO21" s="406"/>
      <c r="CP21" s="406"/>
      <c r="CQ21" s="406"/>
      <c r="CR21" s="406"/>
      <c r="CS21" s="406"/>
      <c r="CT21" s="407"/>
      <c r="CV21" s="405"/>
      <c r="CW21" s="406"/>
      <c r="CX21" s="406"/>
      <c r="CY21" s="406"/>
      <c r="CZ21" s="406"/>
      <c r="DA21" s="406"/>
      <c r="DB21" s="406"/>
      <c r="DC21" s="406"/>
      <c r="DD21" s="406"/>
      <c r="DE21" s="406"/>
      <c r="DF21" s="406"/>
      <c r="DG21" s="406"/>
      <c r="DH21" s="406"/>
      <c r="DI21" s="406"/>
      <c r="DJ21" s="406"/>
      <c r="DK21" s="406"/>
      <c r="DL21" s="406"/>
      <c r="DM21" s="407"/>
      <c r="DO21" s="405"/>
      <c r="DP21" s="406"/>
      <c r="DQ21" s="406"/>
      <c r="DR21" s="406"/>
      <c r="DS21" s="406"/>
      <c r="DT21" s="406"/>
      <c r="DU21" s="406"/>
      <c r="DV21" s="406"/>
      <c r="DW21" s="406"/>
      <c r="DX21" s="406"/>
      <c r="DY21" s="406"/>
      <c r="DZ21" s="406"/>
      <c r="EA21" s="406"/>
      <c r="EB21" s="406"/>
      <c r="EC21" s="406"/>
      <c r="ED21" s="406"/>
      <c r="EE21" s="406"/>
      <c r="EF21" s="407"/>
      <c r="EH21" s="405"/>
      <c r="EI21" s="406"/>
      <c r="EJ21" s="406"/>
      <c r="EK21" s="406"/>
      <c r="EL21" s="406"/>
      <c r="EM21" s="406"/>
      <c r="EN21" s="406"/>
      <c r="EO21" s="406"/>
      <c r="EP21" s="406"/>
      <c r="EQ21" s="406"/>
      <c r="ER21" s="406"/>
      <c r="ES21" s="406"/>
      <c r="ET21" s="406"/>
      <c r="EU21" s="406"/>
      <c r="EV21" s="406"/>
      <c r="EW21" s="406"/>
      <c r="EX21" s="406"/>
      <c r="EY21" s="407"/>
      <c r="FA21" s="405"/>
      <c r="FB21" s="406"/>
      <c r="FC21" s="406"/>
      <c r="FD21" s="406"/>
      <c r="FE21" s="406"/>
      <c r="FF21" s="406"/>
      <c r="FG21" s="406"/>
      <c r="FH21" s="406"/>
      <c r="FI21" s="406"/>
      <c r="FJ21" s="406"/>
      <c r="FK21" s="406"/>
      <c r="FL21" s="406"/>
      <c r="FM21" s="406"/>
      <c r="FN21" s="406"/>
      <c r="FO21" s="406"/>
      <c r="FP21" s="406"/>
      <c r="FQ21" s="406"/>
      <c r="FR21" s="407"/>
      <c r="FT21" s="405"/>
      <c r="FU21" s="406"/>
      <c r="FV21" s="406"/>
      <c r="FW21" s="406"/>
      <c r="FX21" s="406"/>
      <c r="FY21" s="406"/>
      <c r="FZ21" s="406"/>
      <c r="GA21" s="406"/>
      <c r="GB21" s="406"/>
      <c r="GC21" s="406"/>
      <c r="GD21" s="406"/>
      <c r="GE21" s="406"/>
      <c r="GF21" s="406"/>
      <c r="GG21" s="406"/>
      <c r="GH21" s="406"/>
      <c r="GI21" s="406"/>
      <c r="GJ21" s="406"/>
      <c r="GK21" s="407"/>
    </row>
    <row r="22" spans="2:193" ht="13.5" customHeight="1" thickBot="1">
      <c r="B22" s="18"/>
      <c r="C22" s="19" t="s">
        <v>502</v>
      </c>
      <c r="D22" s="19"/>
      <c r="E22" s="19"/>
      <c r="F22" s="19"/>
      <c r="G22" s="19"/>
      <c r="H22" s="395"/>
      <c r="I22" s="418"/>
      <c r="J22" s="418"/>
      <c r="K22" s="418"/>
      <c r="L22" s="418"/>
      <c r="M22" s="418"/>
      <c r="N22" s="418"/>
      <c r="O22" s="418"/>
      <c r="P22" s="418"/>
      <c r="Q22" s="418"/>
      <c r="R22" s="419"/>
      <c r="S22" s="395"/>
      <c r="T22" s="418"/>
      <c r="U22" s="418"/>
      <c r="V22" s="418"/>
      <c r="W22" s="418"/>
      <c r="X22" s="419"/>
      <c r="Y22" s="252" t="str">
        <f t="shared" si="0"/>
        <v/>
      </c>
      <c r="Z22" s="418"/>
      <c r="AA22" s="419"/>
      <c r="AB22" s="252" t="str">
        <f t="shared" si="1"/>
        <v/>
      </c>
      <c r="AC22" s="418"/>
      <c r="AD22" s="419"/>
      <c r="AE22" s="252" t="str">
        <f t="shared" si="2"/>
        <v/>
      </c>
      <c r="AF22" s="418"/>
      <c r="AG22" s="418"/>
      <c r="AH22" s="418"/>
      <c r="AI22" s="418"/>
      <c r="AJ22" s="418"/>
      <c r="AK22" s="419"/>
      <c r="AL22" s="398" t="str">
        <f t="shared" si="3"/>
        <v/>
      </c>
      <c r="AM22" s="418"/>
      <c r="AN22" s="418"/>
      <c r="AO22" s="418"/>
      <c r="AP22" s="418"/>
      <c r="AQ22" s="418"/>
      <c r="AR22" s="419"/>
      <c r="AS22" s="20"/>
      <c r="AU22" s="143"/>
      <c r="AV22" s="294"/>
      <c r="AW22" s="418"/>
      <c r="AX22" s="418"/>
      <c r="AY22" s="418"/>
      <c r="AZ22" s="418"/>
      <c r="BA22" s="418"/>
      <c r="BB22" s="418"/>
      <c r="BC22" s="418"/>
      <c r="BD22" s="418"/>
      <c r="BE22" s="418"/>
      <c r="BF22" s="419"/>
      <c r="BG22" s="249"/>
      <c r="BH22" s="419"/>
      <c r="BI22" s="139"/>
      <c r="BK22" s="413" t="str">
        <f t="shared" si="4"/>
        <v/>
      </c>
      <c r="BL22" s="414"/>
      <c r="BM22" s="414"/>
      <c r="BN22" s="414"/>
      <c r="BO22" s="414"/>
      <c r="BP22" s="414"/>
      <c r="BQ22" s="414"/>
      <c r="BR22" s="414"/>
      <c r="BS22" s="415"/>
      <c r="BT22" s="413" t="str">
        <f t="shared" si="5"/>
        <v/>
      </c>
      <c r="BU22" s="416"/>
      <c r="BV22" s="416"/>
      <c r="BW22" s="416"/>
      <c r="BX22" s="416"/>
      <c r="BY22" s="416"/>
      <c r="BZ22" s="416"/>
      <c r="CA22" s="416"/>
      <c r="CB22" s="417"/>
      <c r="CC22" s="405"/>
      <c r="CD22" s="406"/>
      <c r="CE22" s="406"/>
      <c r="CF22" s="406"/>
      <c r="CG22" s="406"/>
      <c r="CH22" s="406"/>
      <c r="CI22" s="406"/>
      <c r="CJ22" s="406"/>
      <c r="CK22" s="406"/>
      <c r="CL22" s="406"/>
      <c r="CM22" s="406"/>
      <c r="CN22" s="406"/>
      <c r="CO22" s="406"/>
      <c r="CP22" s="406"/>
      <c r="CQ22" s="406"/>
      <c r="CR22" s="406"/>
      <c r="CS22" s="406"/>
      <c r="CT22" s="407"/>
      <c r="CV22" s="405"/>
      <c r="CW22" s="406"/>
      <c r="CX22" s="406"/>
      <c r="CY22" s="406"/>
      <c r="CZ22" s="406"/>
      <c r="DA22" s="406"/>
      <c r="DB22" s="406"/>
      <c r="DC22" s="406"/>
      <c r="DD22" s="406"/>
      <c r="DE22" s="406"/>
      <c r="DF22" s="406"/>
      <c r="DG22" s="406"/>
      <c r="DH22" s="406"/>
      <c r="DI22" s="406"/>
      <c r="DJ22" s="406"/>
      <c r="DK22" s="406"/>
      <c r="DL22" s="406"/>
      <c r="DM22" s="407"/>
      <c r="DO22" s="405"/>
      <c r="DP22" s="406"/>
      <c r="DQ22" s="406"/>
      <c r="DR22" s="406"/>
      <c r="DS22" s="406"/>
      <c r="DT22" s="406"/>
      <c r="DU22" s="406"/>
      <c r="DV22" s="406"/>
      <c r="DW22" s="406"/>
      <c r="DX22" s="406"/>
      <c r="DY22" s="406"/>
      <c r="DZ22" s="406"/>
      <c r="EA22" s="406"/>
      <c r="EB22" s="406"/>
      <c r="EC22" s="406"/>
      <c r="ED22" s="406"/>
      <c r="EE22" s="406"/>
      <c r="EF22" s="407"/>
      <c r="EH22" s="405"/>
      <c r="EI22" s="406"/>
      <c r="EJ22" s="406"/>
      <c r="EK22" s="406"/>
      <c r="EL22" s="406"/>
      <c r="EM22" s="406"/>
      <c r="EN22" s="406"/>
      <c r="EO22" s="406"/>
      <c r="EP22" s="406"/>
      <c r="EQ22" s="406"/>
      <c r="ER22" s="406"/>
      <c r="ES22" s="406"/>
      <c r="ET22" s="406"/>
      <c r="EU22" s="406"/>
      <c r="EV22" s="406"/>
      <c r="EW22" s="406"/>
      <c r="EX22" s="406"/>
      <c r="EY22" s="407"/>
      <c r="FA22" s="405"/>
      <c r="FB22" s="406"/>
      <c r="FC22" s="406"/>
      <c r="FD22" s="406"/>
      <c r="FE22" s="406"/>
      <c r="FF22" s="406"/>
      <c r="FG22" s="406"/>
      <c r="FH22" s="406"/>
      <c r="FI22" s="406"/>
      <c r="FJ22" s="406"/>
      <c r="FK22" s="406"/>
      <c r="FL22" s="406"/>
      <c r="FM22" s="406"/>
      <c r="FN22" s="406"/>
      <c r="FO22" s="406"/>
      <c r="FP22" s="406"/>
      <c r="FQ22" s="406"/>
      <c r="FR22" s="407"/>
      <c r="FT22" s="405"/>
      <c r="FU22" s="406"/>
      <c r="FV22" s="406"/>
      <c r="FW22" s="406"/>
      <c r="FX22" s="406"/>
      <c r="FY22" s="406"/>
      <c r="FZ22" s="406"/>
      <c r="GA22" s="406"/>
      <c r="GB22" s="406"/>
      <c r="GC22" s="406"/>
      <c r="GD22" s="406"/>
      <c r="GE22" s="406"/>
      <c r="GF22" s="406"/>
      <c r="GG22" s="406"/>
      <c r="GH22" s="406"/>
      <c r="GI22" s="406"/>
      <c r="GJ22" s="406"/>
      <c r="GK22" s="407"/>
    </row>
    <row r="23" spans="2:193" ht="13.5" customHeight="1" thickBot="1">
      <c r="B23" s="18"/>
      <c r="C23" s="19" t="s">
        <v>503</v>
      </c>
      <c r="D23" s="19"/>
      <c r="E23" s="19"/>
      <c r="F23" s="19"/>
      <c r="G23" s="19"/>
      <c r="H23" s="395"/>
      <c r="I23" s="418"/>
      <c r="J23" s="418"/>
      <c r="K23" s="418"/>
      <c r="L23" s="418"/>
      <c r="M23" s="418"/>
      <c r="N23" s="418"/>
      <c r="O23" s="418"/>
      <c r="P23" s="418"/>
      <c r="Q23" s="418"/>
      <c r="R23" s="419"/>
      <c r="S23" s="395"/>
      <c r="T23" s="418"/>
      <c r="U23" s="418"/>
      <c r="V23" s="418"/>
      <c r="W23" s="418"/>
      <c r="X23" s="419"/>
      <c r="Y23" s="252" t="str">
        <f t="shared" si="0"/>
        <v/>
      </c>
      <c r="Z23" s="418"/>
      <c r="AA23" s="419"/>
      <c r="AB23" s="252" t="str">
        <f t="shared" si="1"/>
        <v/>
      </c>
      <c r="AC23" s="418"/>
      <c r="AD23" s="419"/>
      <c r="AE23" s="252" t="str">
        <f t="shared" si="2"/>
        <v/>
      </c>
      <c r="AF23" s="418"/>
      <c r="AG23" s="418"/>
      <c r="AH23" s="418"/>
      <c r="AI23" s="418"/>
      <c r="AJ23" s="418"/>
      <c r="AK23" s="419"/>
      <c r="AL23" s="398" t="str">
        <f t="shared" si="3"/>
        <v/>
      </c>
      <c r="AM23" s="418"/>
      <c r="AN23" s="418"/>
      <c r="AO23" s="418"/>
      <c r="AP23" s="418"/>
      <c r="AQ23" s="418"/>
      <c r="AR23" s="419"/>
      <c r="AS23" s="20"/>
      <c r="AU23" s="143"/>
      <c r="AV23" s="294"/>
      <c r="AW23" s="418"/>
      <c r="AX23" s="418"/>
      <c r="AY23" s="418"/>
      <c r="AZ23" s="418"/>
      <c r="BA23" s="418"/>
      <c r="BB23" s="418"/>
      <c r="BC23" s="418"/>
      <c r="BD23" s="418"/>
      <c r="BE23" s="418"/>
      <c r="BF23" s="419"/>
      <c r="BG23" s="249"/>
      <c r="BH23" s="419"/>
      <c r="BI23" s="139"/>
      <c r="BK23" s="413" t="str">
        <f t="shared" si="4"/>
        <v/>
      </c>
      <c r="BL23" s="414"/>
      <c r="BM23" s="414"/>
      <c r="BN23" s="414"/>
      <c r="BO23" s="414"/>
      <c r="BP23" s="414"/>
      <c r="BQ23" s="414"/>
      <c r="BR23" s="414"/>
      <c r="BS23" s="415"/>
      <c r="BT23" s="413" t="str">
        <f t="shared" si="5"/>
        <v/>
      </c>
      <c r="BU23" s="416"/>
      <c r="BV23" s="416"/>
      <c r="BW23" s="416"/>
      <c r="BX23" s="416"/>
      <c r="BY23" s="416"/>
      <c r="BZ23" s="416"/>
      <c r="CA23" s="416"/>
      <c r="CB23" s="417"/>
      <c r="CC23" s="405"/>
      <c r="CD23" s="406"/>
      <c r="CE23" s="406"/>
      <c r="CF23" s="406"/>
      <c r="CG23" s="406"/>
      <c r="CH23" s="406"/>
      <c r="CI23" s="406"/>
      <c r="CJ23" s="406"/>
      <c r="CK23" s="406"/>
      <c r="CL23" s="406"/>
      <c r="CM23" s="406"/>
      <c r="CN23" s="406"/>
      <c r="CO23" s="406"/>
      <c r="CP23" s="406"/>
      <c r="CQ23" s="406"/>
      <c r="CR23" s="406"/>
      <c r="CS23" s="406"/>
      <c r="CT23" s="407"/>
      <c r="CV23" s="405"/>
      <c r="CW23" s="406"/>
      <c r="CX23" s="406"/>
      <c r="CY23" s="406"/>
      <c r="CZ23" s="406"/>
      <c r="DA23" s="406"/>
      <c r="DB23" s="406"/>
      <c r="DC23" s="406"/>
      <c r="DD23" s="406"/>
      <c r="DE23" s="406"/>
      <c r="DF23" s="406"/>
      <c r="DG23" s="406"/>
      <c r="DH23" s="406"/>
      <c r="DI23" s="406"/>
      <c r="DJ23" s="406"/>
      <c r="DK23" s="406"/>
      <c r="DL23" s="406"/>
      <c r="DM23" s="407"/>
      <c r="DO23" s="405"/>
      <c r="DP23" s="406"/>
      <c r="DQ23" s="406"/>
      <c r="DR23" s="406"/>
      <c r="DS23" s="406"/>
      <c r="DT23" s="406"/>
      <c r="DU23" s="406"/>
      <c r="DV23" s="406"/>
      <c r="DW23" s="406"/>
      <c r="DX23" s="406"/>
      <c r="DY23" s="406"/>
      <c r="DZ23" s="406"/>
      <c r="EA23" s="406"/>
      <c r="EB23" s="406"/>
      <c r="EC23" s="406"/>
      <c r="ED23" s="406"/>
      <c r="EE23" s="406"/>
      <c r="EF23" s="407"/>
      <c r="EH23" s="405"/>
      <c r="EI23" s="406"/>
      <c r="EJ23" s="406"/>
      <c r="EK23" s="406"/>
      <c r="EL23" s="406"/>
      <c r="EM23" s="406"/>
      <c r="EN23" s="406"/>
      <c r="EO23" s="406"/>
      <c r="EP23" s="406"/>
      <c r="EQ23" s="406"/>
      <c r="ER23" s="406"/>
      <c r="ES23" s="406"/>
      <c r="ET23" s="406"/>
      <c r="EU23" s="406"/>
      <c r="EV23" s="406"/>
      <c r="EW23" s="406"/>
      <c r="EX23" s="406"/>
      <c r="EY23" s="407"/>
      <c r="FA23" s="405"/>
      <c r="FB23" s="406"/>
      <c r="FC23" s="406"/>
      <c r="FD23" s="406"/>
      <c r="FE23" s="406"/>
      <c r="FF23" s="406"/>
      <c r="FG23" s="406"/>
      <c r="FH23" s="406"/>
      <c r="FI23" s="406"/>
      <c r="FJ23" s="406"/>
      <c r="FK23" s="406"/>
      <c r="FL23" s="406"/>
      <c r="FM23" s="406"/>
      <c r="FN23" s="406"/>
      <c r="FO23" s="406"/>
      <c r="FP23" s="406"/>
      <c r="FQ23" s="406"/>
      <c r="FR23" s="407"/>
      <c r="FT23" s="405"/>
      <c r="FU23" s="406"/>
      <c r="FV23" s="406"/>
      <c r="FW23" s="406"/>
      <c r="FX23" s="406"/>
      <c r="FY23" s="406"/>
      <c r="FZ23" s="406"/>
      <c r="GA23" s="406"/>
      <c r="GB23" s="406"/>
      <c r="GC23" s="406"/>
      <c r="GD23" s="406"/>
      <c r="GE23" s="406"/>
      <c r="GF23" s="406"/>
      <c r="GG23" s="406"/>
      <c r="GH23" s="406"/>
      <c r="GI23" s="406"/>
      <c r="GJ23" s="406"/>
      <c r="GK23" s="407"/>
    </row>
    <row r="24" spans="2:193" ht="13.5" customHeight="1" thickBot="1">
      <c r="B24" s="18"/>
      <c r="C24" s="19" t="s">
        <v>504</v>
      </c>
      <c r="D24" s="19"/>
      <c r="E24" s="19"/>
      <c r="F24" s="19"/>
      <c r="G24" s="19"/>
      <c r="H24" s="395"/>
      <c r="I24" s="418"/>
      <c r="J24" s="418"/>
      <c r="K24" s="418"/>
      <c r="L24" s="418"/>
      <c r="M24" s="418"/>
      <c r="N24" s="418"/>
      <c r="O24" s="418"/>
      <c r="P24" s="418"/>
      <c r="Q24" s="418"/>
      <c r="R24" s="419"/>
      <c r="S24" s="395"/>
      <c r="T24" s="418"/>
      <c r="U24" s="418"/>
      <c r="V24" s="418"/>
      <c r="W24" s="418"/>
      <c r="X24" s="419"/>
      <c r="Y24" s="252" t="str">
        <f t="shared" si="0"/>
        <v/>
      </c>
      <c r="Z24" s="418"/>
      <c r="AA24" s="419"/>
      <c r="AB24" s="252" t="str">
        <f t="shared" si="1"/>
        <v/>
      </c>
      <c r="AC24" s="418"/>
      <c r="AD24" s="419"/>
      <c r="AE24" s="252" t="str">
        <f t="shared" si="2"/>
        <v/>
      </c>
      <c r="AF24" s="418"/>
      <c r="AG24" s="418"/>
      <c r="AH24" s="418"/>
      <c r="AI24" s="418"/>
      <c r="AJ24" s="418"/>
      <c r="AK24" s="419"/>
      <c r="AL24" s="398" t="str">
        <f t="shared" si="3"/>
        <v/>
      </c>
      <c r="AM24" s="418"/>
      <c r="AN24" s="418"/>
      <c r="AO24" s="418"/>
      <c r="AP24" s="418"/>
      <c r="AQ24" s="418"/>
      <c r="AR24" s="419"/>
      <c r="AS24" s="20"/>
      <c r="AU24" s="143"/>
      <c r="AV24" s="294"/>
      <c r="AW24" s="418"/>
      <c r="AX24" s="418"/>
      <c r="AY24" s="418"/>
      <c r="AZ24" s="418"/>
      <c r="BA24" s="418"/>
      <c r="BB24" s="418"/>
      <c r="BC24" s="418"/>
      <c r="BD24" s="418"/>
      <c r="BE24" s="418"/>
      <c r="BF24" s="419"/>
      <c r="BG24" s="249"/>
      <c r="BH24" s="419"/>
      <c r="BI24" s="139"/>
      <c r="BK24" s="413" t="str">
        <f t="shared" si="4"/>
        <v/>
      </c>
      <c r="BL24" s="414"/>
      <c r="BM24" s="414"/>
      <c r="BN24" s="414"/>
      <c r="BO24" s="414"/>
      <c r="BP24" s="414"/>
      <c r="BQ24" s="414"/>
      <c r="BR24" s="414"/>
      <c r="BS24" s="415"/>
      <c r="BT24" s="413" t="str">
        <f t="shared" si="5"/>
        <v/>
      </c>
      <c r="BU24" s="416"/>
      <c r="BV24" s="416"/>
      <c r="BW24" s="416"/>
      <c r="BX24" s="416"/>
      <c r="BY24" s="416"/>
      <c r="BZ24" s="416"/>
      <c r="CA24" s="416"/>
      <c r="CB24" s="417"/>
      <c r="CC24" s="405"/>
      <c r="CD24" s="406"/>
      <c r="CE24" s="406"/>
      <c r="CF24" s="406"/>
      <c r="CG24" s="406"/>
      <c r="CH24" s="406"/>
      <c r="CI24" s="406"/>
      <c r="CJ24" s="406"/>
      <c r="CK24" s="406"/>
      <c r="CL24" s="406"/>
      <c r="CM24" s="406"/>
      <c r="CN24" s="406"/>
      <c r="CO24" s="406"/>
      <c r="CP24" s="406"/>
      <c r="CQ24" s="406"/>
      <c r="CR24" s="406"/>
      <c r="CS24" s="406"/>
      <c r="CT24" s="407"/>
      <c r="CV24" s="405"/>
      <c r="CW24" s="406"/>
      <c r="CX24" s="406"/>
      <c r="CY24" s="406"/>
      <c r="CZ24" s="406"/>
      <c r="DA24" s="406"/>
      <c r="DB24" s="406"/>
      <c r="DC24" s="406"/>
      <c r="DD24" s="406"/>
      <c r="DE24" s="406"/>
      <c r="DF24" s="406"/>
      <c r="DG24" s="406"/>
      <c r="DH24" s="406"/>
      <c r="DI24" s="406"/>
      <c r="DJ24" s="406"/>
      <c r="DK24" s="406"/>
      <c r="DL24" s="406"/>
      <c r="DM24" s="407"/>
      <c r="DO24" s="405"/>
      <c r="DP24" s="406"/>
      <c r="DQ24" s="406"/>
      <c r="DR24" s="406"/>
      <c r="DS24" s="406"/>
      <c r="DT24" s="406"/>
      <c r="DU24" s="406"/>
      <c r="DV24" s="406"/>
      <c r="DW24" s="406"/>
      <c r="DX24" s="406"/>
      <c r="DY24" s="406"/>
      <c r="DZ24" s="406"/>
      <c r="EA24" s="406"/>
      <c r="EB24" s="406"/>
      <c r="EC24" s="406"/>
      <c r="ED24" s="406"/>
      <c r="EE24" s="406"/>
      <c r="EF24" s="407"/>
      <c r="EH24" s="405"/>
      <c r="EI24" s="406"/>
      <c r="EJ24" s="406"/>
      <c r="EK24" s="406"/>
      <c r="EL24" s="406"/>
      <c r="EM24" s="406"/>
      <c r="EN24" s="406"/>
      <c r="EO24" s="406"/>
      <c r="EP24" s="406"/>
      <c r="EQ24" s="406"/>
      <c r="ER24" s="406"/>
      <c r="ES24" s="406"/>
      <c r="ET24" s="406"/>
      <c r="EU24" s="406"/>
      <c r="EV24" s="406"/>
      <c r="EW24" s="406"/>
      <c r="EX24" s="406"/>
      <c r="EY24" s="407"/>
      <c r="FA24" s="405"/>
      <c r="FB24" s="406"/>
      <c r="FC24" s="406"/>
      <c r="FD24" s="406"/>
      <c r="FE24" s="406"/>
      <c r="FF24" s="406"/>
      <c r="FG24" s="406"/>
      <c r="FH24" s="406"/>
      <c r="FI24" s="406"/>
      <c r="FJ24" s="406"/>
      <c r="FK24" s="406"/>
      <c r="FL24" s="406"/>
      <c r="FM24" s="406"/>
      <c r="FN24" s="406"/>
      <c r="FO24" s="406"/>
      <c r="FP24" s="406"/>
      <c r="FQ24" s="406"/>
      <c r="FR24" s="407"/>
      <c r="FT24" s="405"/>
      <c r="FU24" s="406"/>
      <c r="FV24" s="406"/>
      <c r="FW24" s="406"/>
      <c r="FX24" s="406"/>
      <c r="FY24" s="406"/>
      <c r="FZ24" s="406"/>
      <c r="GA24" s="406"/>
      <c r="GB24" s="406"/>
      <c r="GC24" s="406"/>
      <c r="GD24" s="406"/>
      <c r="GE24" s="406"/>
      <c r="GF24" s="406"/>
      <c r="GG24" s="406"/>
      <c r="GH24" s="406"/>
      <c r="GI24" s="406"/>
      <c r="GJ24" s="406"/>
      <c r="GK24" s="407"/>
    </row>
    <row r="25" spans="2:193" ht="13.5" customHeight="1" thickBot="1">
      <c r="B25" s="18"/>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20"/>
      <c r="AU25" s="143"/>
      <c r="AV25" s="294"/>
      <c r="AW25" s="418"/>
      <c r="AX25" s="418"/>
      <c r="AY25" s="418"/>
      <c r="AZ25" s="418"/>
      <c r="BA25" s="418"/>
      <c r="BB25" s="418"/>
      <c r="BC25" s="418"/>
      <c r="BD25" s="418"/>
      <c r="BE25" s="418"/>
      <c r="BF25" s="419"/>
      <c r="BG25" s="249"/>
      <c r="BH25" s="419"/>
      <c r="BI25" s="139"/>
      <c r="CC25" s="405"/>
      <c r="CD25" s="406"/>
      <c r="CE25" s="406"/>
      <c r="CF25" s="406"/>
      <c r="CG25" s="406"/>
      <c r="CH25" s="406"/>
      <c r="CI25" s="406"/>
      <c r="CJ25" s="406"/>
      <c r="CK25" s="406"/>
      <c r="CL25" s="406"/>
      <c r="CM25" s="406"/>
      <c r="CN25" s="406"/>
      <c r="CO25" s="406"/>
      <c r="CP25" s="406"/>
      <c r="CQ25" s="406"/>
      <c r="CR25" s="406"/>
      <c r="CS25" s="406"/>
      <c r="CT25" s="407"/>
      <c r="CV25" s="405"/>
      <c r="CW25" s="406"/>
      <c r="CX25" s="406"/>
      <c r="CY25" s="406"/>
      <c r="CZ25" s="406"/>
      <c r="DA25" s="406"/>
      <c r="DB25" s="406"/>
      <c r="DC25" s="406"/>
      <c r="DD25" s="406"/>
      <c r="DE25" s="406"/>
      <c r="DF25" s="406"/>
      <c r="DG25" s="406"/>
      <c r="DH25" s="406"/>
      <c r="DI25" s="406"/>
      <c r="DJ25" s="406"/>
      <c r="DK25" s="406"/>
      <c r="DL25" s="406"/>
      <c r="DM25" s="407"/>
      <c r="DO25" s="405"/>
      <c r="DP25" s="406"/>
      <c r="DQ25" s="406"/>
      <c r="DR25" s="406"/>
      <c r="DS25" s="406"/>
      <c r="DT25" s="406"/>
      <c r="DU25" s="406"/>
      <c r="DV25" s="406"/>
      <c r="DW25" s="406"/>
      <c r="DX25" s="406"/>
      <c r="DY25" s="406"/>
      <c r="DZ25" s="406"/>
      <c r="EA25" s="406"/>
      <c r="EB25" s="406"/>
      <c r="EC25" s="406"/>
      <c r="ED25" s="406"/>
      <c r="EE25" s="406"/>
      <c r="EF25" s="407"/>
      <c r="EH25" s="405"/>
      <c r="EI25" s="406"/>
      <c r="EJ25" s="406"/>
      <c r="EK25" s="406"/>
      <c r="EL25" s="406"/>
      <c r="EM25" s="406"/>
      <c r="EN25" s="406"/>
      <c r="EO25" s="406"/>
      <c r="EP25" s="406"/>
      <c r="EQ25" s="406"/>
      <c r="ER25" s="406"/>
      <c r="ES25" s="406"/>
      <c r="ET25" s="406"/>
      <c r="EU25" s="406"/>
      <c r="EV25" s="406"/>
      <c r="EW25" s="406"/>
      <c r="EX25" s="406"/>
      <c r="EY25" s="407"/>
      <c r="FA25" s="405"/>
      <c r="FB25" s="406"/>
      <c r="FC25" s="406"/>
      <c r="FD25" s="406"/>
      <c r="FE25" s="406"/>
      <c r="FF25" s="406"/>
      <c r="FG25" s="406"/>
      <c r="FH25" s="406"/>
      <c r="FI25" s="406"/>
      <c r="FJ25" s="406"/>
      <c r="FK25" s="406"/>
      <c r="FL25" s="406"/>
      <c r="FM25" s="406"/>
      <c r="FN25" s="406"/>
      <c r="FO25" s="406"/>
      <c r="FP25" s="406"/>
      <c r="FQ25" s="406"/>
      <c r="FR25" s="407"/>
      <c r="FT25" s="405"/>
      <c r="FU25" s="406"/>
      <c r="FV25" s="406"/>
      <c r="FW25" s="406"/>
      <c r="FX25" s="406"/>
      <c r="FY25" s="406"/>
      <c r="FZ25" s="406"/>
      <c r="GA25" s="406"/>
      <c r="GB25" s="406"/>
      <c r="GC25" s="406"/>
      <c r="GD25" s="406"/>
      <c r="GE25" s="406"/>
      <c r="GF25" s="406"/>
      <c r="GG25" s="406"/>
      <c r="GH25" s="406"/>
      <c r="GI25" s="406"/>
      <c r="GJ25" s="406"/>
      <c r="GK25" s="407"/>
    </row>
    <row r="26" spans="2:193" ht="13.5" customHeight="1" thickBot="1">
      <c r="B26" s="18"/>
      <c r="C26" s="388" t="s">
        <v>525</v>
      </c>
      <c r="D26" s="388"/>
      <c r="E26" s="388"/>
      <c r="F26" s="388"/>
      <c r="G26" s="421"/>
      <c r="H26" s="389"/>
      <c r="I26" s="422"/>
      <c r="J26" s="422"/>
      <c r="K26" s="422"/>
      <c r="L26" s="422"/>
      <c r="M26" s="422"/>
      <c r="N26" s="422"/>
      <c r="O26" s="422"/>
      <c r="P26" s="422"/>
      <c r="Q26" s="422"/>
      <c r="R26" s="422"/>
      <c r="S26" s="422"/>
      <c r="T26" s="422"/>
      <c r="U26" s="422"/>
      <c r="V26" s="422"/>
      <c r="W26" s="422"/>
      <c r="X26" s="422"/>
      <c r="Y26" s="422"/>
      <c r="Z26" s="422"/>
      <c r="AA26" s="422"/>
      <c r="AB26" s="422"/>
      <c r="AC26" s="422"/>
      <c r="AD26" s="422"/>
      <c r="AE26" s="422"/>
      <c r="AF26" s="422"/>
      <c r="AG26" s="422"/>
      <c r="AH26" s="422"/>
      <c r="AI26" s="423"/>
      <c r="AJ26" s="19"/>
      <c r="AK26" s="19" t="s">
        <v>526</v>
      </c>
      <c r="AL26" s="19"/>
      <c r="AM26" s="19"/>
      <c r="AN26" s="19"/>
      <c r="AO26" s="252" t="str">
        <f>IF(H14="","",SUM(Y15:AA24))</f>
        <v/>
      </c>
      <c r="AP26" s="418"/>
      <c r="AQ26" s="418"/>
      <c r="AR26" s="419"/>
      <c r="AS26" s="20"/>
      <c r="AU26" s="143"/>
      <c r="AV26" s="294"/>
      <c r="AW26" s="418"/>
      <c r="AX26" s="418"/>
      <c r="AY26" s="418"/>
      <c r="AZ26" s="418"/>
      <c r="BA26" s="418"/>
      <c r="BB26" s="418"/>
      <c r="BC26" s="418"/>
      <c r="BD26" s="418"/>
      <c r="BE26" s="418"/>
      <c r="BF26" s="419"/>
      <c r="BG26" s="249"/>
      <c r="BH26" s="419"/>
      <c r="BI26" s="139"/>
      <c r="CC26" s="405"/>
      <c r="CD26" s="406"/>
      <c r="CE26" s="406"/>
      <c r="CF26" s="406"/>
      <c r="CG26" s="406"/>
      <c r="CH26" s="406"/>
      <c r="CI26" s="406"/>
      <c r="CJ26" s="406"/>
      <c r="CK26" s="406"/>
      <c r="CL26" s="406"/>
      <c r="CM26" s="406"/>
      <c r="CN26" s="406"/>
      <c r="CO26" s="406"/>
      <c r="CP26" s="406"/>
      <c r="CQ26" s="406"/>
      <c r="CR26" s="406"/>
      <c r="CS26" s="406"/>
      <c r="CT26" s="407"/>
      <c r="CV26" s="405"/>
      <c r="CW26" s="406"/>
      <c r="CX26" s="406"/>
      <c r="CY26" s="406"/>
      <c r="CZ26" s="406"/>
      <c r="DA26" s="406"/>
      <c r="DB26" s="406"/>
      <c r="DC26" s="406"/>
      <c r="DD26" s="406"/>
      <c r="DE26" s="406"/>
      <c r="DF26" s="406"/>
      <c r="DG26" s="406"/>
      <c r="DH26" s="406"/>
      <c r="DI26" s="406"/>
      <c r="DJ26" s="406"/>
      <c r="DK26" s="406"/>
      <c r="DL26" s="406"/>
      <c r="DM26" s="407"/>
      <c r="DO26" s="405"/>
      <c r="DP26" s="406"/>
      <c r="DQ26" s="406"/>
      <c r="DR26" s="406"/>
      <c r="DS26" s="406"/>
      <c r="DT26" s="406"/>
      <c r="DU26" s="406"/>
      <c r="DV26" s="406"/>
      <c r="DW26" s="406"/>
      <c r="DX26" s="406"/>
      <c r="DY26" s="406"/>
      <c r="DZ26" s="406"/>
      <c r="EA26" s="406"/>
      <c r="EB26" s="406"/>
      <c r="EC26" s="406"/>
      <c r="ED26" s="406"/>
      <c r="EE26" s="406"/>
      <c r="EF26" s="407"/>
      <c r="EH26" s="405"/>
      <c r="EI26" s="406"/>
      <c r="EJ26" s="406"/>
      <c r="EK26" s="406"/>
      <c r="EL26" s="406"/>
      <c r="EM26" s="406"/>
      <c r="EN26" s="406"/>
      <c r="EO26" s="406"/>
      <c r="EP26" s="406"/>
      <c r="EQ26" s="406"/>
      <c r="ER26" s="406"/>
      <c r="ES26" s="406"/>
      <c r="ET26" s="406"/>
      <c r="EU26" s="406"/>
      <c r="EV26" s="406"/>
      <c r="EW26" s="406"/>
      <c r="EX26" s="406"/>
      <c r="EY26" s="407"/>
      <c r="FA26" s="405"/>
      <c r="FB26" s="406"/>
      <c r="FC26" s="406"/>
      <c r="FD26" s="406"/>
      <c r="FE26" s="406"/>
      <c r="FF26" s="406"/>
      <c r="FG26" s="406"/>
      <c r="FH26" s="406"/>
      <c r="FI26" s="406"/>
      <c r="FJ26" s="406"/>
      <c r="FK26" s="406"/>
      <c r="FL26" s="406"/>
      <c r="FM26" s="406"/>
      <c r="FN26" s="406"/>
      <c r="FO26" s="406"/>
      <c r="FP26" s="406"/>
      <c r="FQ26" s="406"/>
      <c r="FR26" s="407"/>
      <c r="FT26" s="405"/>
      <c r="FU26" s="406"/>
      <c r="FV26" s="406"/>
      <c r="FW26" s="406"/>
      <c r="FX26" s="406"/>
      <c r="FY26" s="406"/>
      <c r="FZ26" s="406"/>
      <c r="GA26" s="406"/>
      <c r="GB26" s="406"/>
      <c r="GC26" s="406"/>
      <c r="GD26" s="406"/>
      <c r="GE26" s="406"/>
      <c r="GF26" s="406"/>
      <c r="GG26" s="406"/>
      <c r="GH26" s="406"/>
      <c r="GI26" s="406"/>
      <c r="GJ26" s="406"/>
      <c r="GK26" s="407"/>
    </row>
    <row r="27" spans="2:193" ht="13.5" customHeight="1" thickBot="1">
      <c r="B27" s="18"/>
      <c r="C27" s="388"/>
      <c r="D27" s="388"/>
      <c r="E27" s="388"/>
      <c r="F27" s="388"/>
      <c r="G27" s="421"/>
      <c r="H27" s="424"/>
      <c r="I27" s="425"/>
      <c r="J27" s="425"/>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6"/>
      <c r="AJ27" s="19"/>
      <c r="AK27" s="19"/>
      <c r="AL27" s="19"/>
      <c r="AM27" s="19"/>
      <c r="AN27" s="19"/>
      <c r="AO27" s="19"/>
      <c r="AP27" s="19"/>
      <c r="AQ27" s="19"/>
      <c r="AR27" s="19"/>
      <c r="AS27" s="20"/>
      <c r="AU27" s="143"/>
      <c r="AV27" s="294"/>
      <c r="AW27" s="418"/>
      <c r="AX27" s="418"/>
      <c r="AY27" s="418"/>
      <c r="AZ27" s="418"/>
      <c r="BA27" s="418"/>
      <c r="BB27" s="418"/>
      <c r="BC27" s="418"/>
      <c r="BD27" s="418"/>
      <c r="BE27" s="418"/>
      <c r="BF27" s="419"/>
      <c r="BG27" s="249"/>
      <c r="BH27" s="419"/>
      <c r="BI27" s="139"/>
      <c r="BL27" s="12" t="s">
        <v>901</v>
      </c>
      <c r="BS27" s="411">
        <f>BG19+BG20+BG21+BG22+BG23+BG24+BG25+BG26+BG27+BG28</f>
        <v>0</v>
      </c>
      <c r="BT27" s="412"/>
      <c r="CC27" s="408"/>
      <c r="CD27" s="409"/>
      <c r="CE27" s="409"/>
      <c r="CF27" s="409"/>
      <c r="CG27" s="409"/>
      <c r="CH27" s="409"/>
      <c r="CI27" s="409"/>
      <c r="CJ27" s="409"/>
      <c r="CK27" s="409"/>
      <c r="CL27" s="409"/>
      <c r="CM27" s="409"/>
      <c r="CN27" s="409"/>
      <c r="CO27" s="409"/>
      <c r="CP27" s="409"/>
      <c r="CQ27" s="409"/>
      <c r="CR27" s="409"/>
      <c r="CS27" s="409"/>
      <c r="CT27" s="410"/>
      <c r="CV27" s="408"/>
      <c r="CW27" s="409"/>
      <c r="CX27" s="409"/>
      <c r="CY27" s="409"/>
      <c r="CZ27" s="409"/>
      <c r="DA27" s="409"/>
      <c r="DB27" s="409"/>
      <c r="DC27" s="409"/>
      <c r="DD27" s="409"/>
      <c r="DE27" s="409"/>
      <c r="DF27" s="409"/>
      <c r="DG27" s="409"/>
      <c r="DH27" s="409"/>
      <c r="DI27" s="409"/>
      <c r="DJ27" s="409"/>
      <c r="DK27" s="409"/>
      <c r="DL27" s="409"/>
      <c r="DM27" s="410"/>
      <c r="DO27" s="408"/>
      <c r="DP27" s="409"/>
      <c r="DQ27" s="409"/>
      <c r="DR27" s="409"/>
      <c r="DS27" s="409"/>
      <c r="DT27" s="409"/>
      <c r="DU27" s="409"/>
      <c r="DV27" s="409"/>
      <c r="DW27" s="409"/>
      <c r="DX27" s="409"/>
      <c r="DY27" s="409"/>
      <c r="DZ27" s="409"/>
      <c r="EA27" s="409"/>
      <c r="EB27" s="409"/>
      <c r="EC27" s="409"/>
      <c r="ED27" s="409"/>
      <c r="EE27" s="409"/>
      <c r="EF27" s="410"/>
      <c r="EH27" s="408"/>
      <c r="EI27" s="409"/>
      <c r="EJ27" s="409"/>
      <c r="EK27" s="409"/>
      <c r="EL27" s="409"/>
      <c r="EM27" s="409"/>
      <c r="EN27" s="409"/>
      <c r="EO27" s="409"/>
      <c r="EP27" s="409"/>
      <c r="EQ27" s="409"/>
      <c r="ER27" s="409"/>
      <c r="ES27" s="409"/>
      <c r="ET27" s="409"/>
      <c r="EU27" s="409"/>
      <c r="EV27" s="409"/>
      <c r="EW27" s="409"/>
      <c r="EX27" s="409"/>
      <c r="EY27" s="410"/>
      <c r="FA27" s="408"/>
      <c r="FB27" s="409"/>
      <c r="FC27" s="409"/>
      <c r="FD27" s="409"/>
      <c r="FE27" s="409"/>
      <c r="FF27" s="409"/>
      <c r="FG27" s="409"/>
      <c r="FH27" s="409"/>
      <c r="FI27" s="409"/>
      <c r="FJ27" s="409"/>
      <c r="FK27" s="409"/>
      <c r="FL27" s="409"/>
      <c r="FM27" s="409"/>
      <c r="FN27" s="409"/>
      <c r="FO27" s="409"/>
      <c r="FP27" s="409"/>
      <c r="FQ27" s="409"/>
      <c r="FR27" s="410"/>
      <c r="FT27" s="408"/>
      <c r="FU27" s="409"/>
      <c r="FV27" s="409"/>
      <c r="FW27" s="409"/>
      <c r="FX27" s="409"/>
      <c r="FY27" s="409"/>
      <c r="FZ27" s="409"/>
      <c r="GA27" s="409"/>
      <c r="GB27" s="409"/>
      <c r="GC27" s="409"/>
      <c r="GD27" s="409"/>
      <c r="GE27" s="409"/>
      <c r="GF27" s="409"/>
      <c r="GG27" s="409"/>
      <c r="GH27" s="409"/>
      <c r="GI27" s="409"/>
      <c r="GJ27" s="409"/>
      <c r="GK27" s="410"/>
    </row>
    <row r="28" spans="2:193" ht="13.5" customHeight="1" thickBo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3"/>
      <c r="AU28" s="143"/>
      <c r="AV28" s="294"/>
      <c r="AW28" s="418"/>
      <c r="AX28" s="418"/>
      <c r="AY28" s="418"/>
      <c r="AZ28" s="418"/>
      <c r="BA28" s="418"/>
      <c r="BB28" s="418"/>
      <c r="BC28" s="418"/>
      <c r="BD28" s="418"/>
      <c r="BE28" s="418"/>
      <c r="BF28" s="419"/>
      <c r="BG28" s="249"/>
      <c r="BH28" s="419"/>
      <c r="BI28" s="139"/>
    </row>
    <row r="29" spans="2:193" ht="13.5" customHeight="1" thickBot="1">
      <c r="AU29" s="144"/>
      <c r="AV29" s="145"/>
      <c r="AW29" s="145"/>
      <c r="AX29" s="145"/>
      <c r="AY29" s="145"/>
      <c r="AZ29" s="145"/>
      <c r="BA29" s="145"/>
      <c r="BB29" s="145"/>
      <c r="BC29" s="145"/>
      <c r="BD29" s="145"/>
      <c r="BE29" s="145"/>
      <c r="BF29" s="145"/>
      <c r="BG29" s="145"/>
      <c r="BH29" s="145"/>
      <c r="BI29" s="146"/>
    </row>
    <row r="30" spans="2:193" ht="13.5" customHeight="1" thickTop="1" thickBot="1">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7"/>
      <c r="BK30" s="12" t="s">
        <v>620</v>
      </c>
      <c r="BT30" s="12" t="s">
        <v>621</v>
      </c>
      <c r="CL30" s="44"/>
      <c r="CM30" s="44"/>
      <c r="CN30" s="44"/>
      <c r="CO30" s="44"/>
      <c r="CP30" s="44"/>
      <c r="CQ30" s="44"/>
      <c r="CR30" s="44"/>
      <c r="CS30" s="44"/>
      <c r="CT30" s="44"/>
    </row>
    <row r="31" spans="2:193" ht="13.5" customHeight="1" thickBot="1">
      <c r="B31" s="18"/>
      <c r="C31" s="19" t="s">
        <v>385</v>
      </c>
      <c r="D31" s="19"/>
      <c r="E31" s="19"/>
      <c r="F31" s="19"/>
      <c r="G31" s="19"/>
      <c r="H31" s="249"/>
      <c r="I31" s="418"/>
      <c r="J31" s="418"/>
      <c r="K31" s="418"/>
      <c r="L31" s="418"/>
      <c r="M31" s="418"/>
      <c r="N31" s="418"/>
      <c r="O31" s="418"/>
      <c r="P31" s="418"/>
      <c r="Q31" s="418"/>
      <c r="R31" s="419"/>
      <c r="S31" s="401" t="s">
        <v>505</v>
      </c>
      <c r="T31" s="425"/>
      <c r="U31" s="425"/>
      <c r="V31" s="425"/>
      <c r="W31" s="425"/>
      <c r="X31" s="425"/>
      <c r="Y31" s="262" t="s">
        <v>37</v>
      </c>
      <c r="Z31" s="262"/>
      <c r="AA31" s="262"/>
      <c r="AB31" s="262" t="s">
        <v>36</v>
      </c>
      <c r="AC31" s="262"/>
      <c r="AD31" s="262"/>
      <c r="AE31" s="262" t="s">
        <v>506</v>
      </c>
      <c r="AF31" s="262"/>
      <c r="AG31" s="262"/>
      <c r="AH31" s="262"/>
      <c r="AI31" s="262"/>
      <c r="AJ31" s="262"/>
      <c r="AK31" s="262"/>
      <c r="AL31" s="262" t="s">
        <v>507</v>
      </c>
      <c r="AM31" s="262"/>
      <c r="AN31" s="262"/>
      <c r="AO31" s="262"/>
      <c r="AP31" s="262"/>
      <c r="AQ31" s="262"/>
      <c r="AR31" s="262"/>
      <c r="AS31" s="20"/>
      <c r="BK31" s="384" t="str">
        <f>IF(H31="","",H31&amp;IF(H43="",""," ["&amp;H43&amp;"]"))</f>
        <v/>
      </c>
      <c r="BL31" s="414"/>
      <c r="BM31" s="414"/>
      <c r="BN31" s="414"/>
      <c r="BO31" s="414"/>
      <c r="BP31" s="414"/>
      <c r="BQ31" s="414"/>
      <c r="BR31" s="414"/>
      <c r="BS31" s="415"/>
      <c r="BT31" s="384"/>
      <c r="BU31" s="385"/>
      <c r="BV31" s="385"/>
      <c r="BW31" s="385"/>
      <c r="BX31" s="385"/>
      <c r="BY31" s="385"/>
      <c r="BZ31" s="385"/>
      <c r="CA31" s="385"/>
      <c r="CB31" s="386"/>
      <c r="CC31" s="346" t="str">
        <f>IF(BK31="","",CHAR(149)&amp;" "&amp;BK31&amp;CHAR(10)&amp;BT41)</f>
        <v/>
      </c>
      <c r="CD31" s="403"/>
      <c r="CE31" s="403"/>
      <c r="CF31" s="403"/>
      <c r="CG31" s="403"/>
      <c r="CH31" s="403"/>
      <c r="CI31" s="403"/>
      <c r="CJ31" s="403"/>
      <c r="CK31" s="403"/>
      <c r="CL31" s="403"/>
      <c r="CM31" s="403"/>
      <c r="CN31" s="403"/>
      <c r="CO31" s="403"/>
      <c r="CP31" s="403"/>
      <c r="CQ31" s="403"/>
      <c r="CR31" s="403"/>
      <c r="CS31" s="403"/>
      <c r="CT31" s="404"/>
      <c r="DO31" s="346" t="str">
        <f>IF($BK31="","","[b]"&amp;$BK31&amp;"[/b]"&amp;CHAR(10)&amp;$BT41)</f>
        <v/>
      </c>
      <c r="DP31" s="403"/>
      <c r="DQ31" s="403"/>
      <c r="DR31" s="403"/>
      <c r="DS31" s="403"/>
      <c r="DT31" s="403"/>
      <c r="DU31" s="403"/>
      <c r="DV31" s="403"/>
      <c r="DW31" s="403"/>
      <c r="DX31" s="403"/>
      <c r="DY31" s="403"/>
      <c r="DZ31" s="403"/>
      <c r="EA31" s="403"/>
      <c r="EB31" s="403"/>
      <c r="EC31" s="403"/>
      <c r="ED31" s="403"/>
      <c r="EE31" s="403"/>
      <c r="EF31" s="404"/>
      <c r="FT31" s="346" t="str">
        <f>IF($BK31="","","**"&amp;$BK31&amp;"**"&amp;CHAR(10)&amp;$BT41)</f>
        <v/>
      </c>
      <c r="FU31" s="403"/>
      <c r="FV31" s="403"/>
      <c r="FW31" s="403"/>
      <c r="FX31" s="403"/>
      <c r="FY31" s="403"/>
      <c r="FZ31" s="403"/>
      <c r="GA31" s="403"/>
      <c r="GB31" s="403"/>
      <c r="GC31" s="403"/>
      <c r="GD31" s="403"/>
      <c r="GE31" s="403"/>
      <c r="GF31" s="403"/>
      <c r="GG31" s="403"/>
      <c r="GH31" s="403"/>
      <c r="GI31" s="403"/>
      <c r="GJ31" s="403"/>
      <c r="GK31" s="404"/>
    </row>
    <row r="32" spans="2:193" ht="13.5" customHeight="1" thickBot="1">
      <c r="B32" s="18"/>
      <c r="C32" s="19" t="s">
        <v>495</v>
      </c>
      <c r="D32" s="19"/>
      <c r="E32" s="19"/>
      <c r="F32" s="19"/>
      <c r="G32" s="19"/>
      <c r="H32" s="395"/>
      <c r="I32" s="418"/>
      <c r="J32" s="418"/>
      <c r="K32" s="418"/>
      <c r="L32" s="418"/>
      <c r="M32" s="418"/>
      <c r="N32" s="418"/>
      <c r="O32" s="418"/>
      <c r="P32" s="418"/>
      <c r="Q32" s="418"/>
      <c r="R32" s="419"/>
      <c r="S32" s="395"/>
      <c r="T32" s="418"/>
      <c r="U32" s="418"/>
      <c r="V32" s="418"/>
      <c r="W32" s="418"/>
      <c r="X32" s="419"/>
      <c r="Y32" s="252" t="str">
        <f t="shared" ref="Y32:Y41" si="6">IF($H32="","",IF($S32="Normal",VLOOKUP($H32,EqCompMatrix,7,FALSE),IF($S32="Alternate",1,IF($S32="Dynamic",2,IF($S32="None",0,"")))))</f>
        <v/>
      </c>
      <c r="Z32" s="418"/>
      <c r="AA32" s="419"/>
      <c r="AB32" s="252" t="str">
        <f t="shared" ref="AB32:AB41" si="7">IF($H32="","",VLOOKUP($H32,EqCompMatrix,5,FALSE))</f>
        <v/>
      </c>
      <c r="AC32" s="418"/>
      <c r="AD32" s="419"/>
      <c r="AE32" s="252" t="str">
        <f t="shared" ref="AE32:AE41" si="8">IF($H32="","",VLOOKUP($H32,EqCompMatrix,9,FALSE))</f>
        <v/>
      </c>
      <c r="AF32" s="418"/>
      <c r="AG32" s="418"/>
      <c r="AH32" s="418"/>
      <c r="AI32" s="418"/>
      <c r="AJ32" s="418"/>
      <c r="AK32" s="419"/>
      <c r="AL32" s="398" t="str">
        <f t="shared" ref="AL32:AL41" si="9">IF($H32="","",VLOOKUP($H32,EqCompMatrix,15,FALSE))</f>
        <v/>
      </c>
      <c r="AM32" s="418"/>
      <c r="AN32" s="418"/>
      <c r="AO32" s="418"/>
      <c r="AP32" s="418"/>
      <c r="AQ32" s="418"/>
      <c r="AR32" s="419"/>
      <c r="AS32" s="20"/>
      <c r="BK32" s="413" t="str">
        <f>IF(H32="","",IF(S32="Alternate","Alt: ","")&amp;IF(S32="Dynamic","Dyn: ","")&amp;IF(H32=AE32,AE32&amp;" "&amp;AB32&amp;IF(AL32="",""," ["&amp;AL32&amp;"]"),IF(AE32="Custom",H32&amp;" ("&amp;Y32&amp;" points)"&amp;CHAR(10),H32&amp;": "&amp;AE32&amp;" "&amp;AB32&amp;IF(AL32="",""," ["&amp;AL32&amp;"]"))))</f>
        <v/>
      </c>
      <c r="BL32" s="414"/>
      <c r="BM32" s="414"/>
      <c r="BN32" s="414"/>
      <c r="BO32" s="414"/>
      <c r="BP32" s="414"/>
      <c r="BQ32" s="414"/>
      <c r="BR32" s="414"/>
      <c r="BS32" s="415"/>
      <c r="BT32" s="384" t="str">
        <f>IF(BK32="","","     "&amp;BK32)</f>
        <v/>
      </c>
      <c r="BU32" s="385"/>
      <c r="BV32" s="385"/>
      <c r="BW32" s="385"/>
      <c r="BX32" s="385"/>
      <c r="BY32" s="385"/>
      <c r="BZ32" s="385"/>
      <c r="CA32" s="385"/>
      <c r="CB32" s="386"/>
      <c r="CC32" s="405"/>
      <c r="CD32" s="406"/>
      <c r="CE32" s="406"/>
      <c r="CF32" s="406"/>
      <c r="CG32" s="406"/>
      <c r="CH32" s="406"/>
      <c r="CI32" s="406"/>
      <c r="CJ32" s="406"/>
      <c r="CK32" s="406"/>
      <c r="CL32" s="406"/>
      <c r="CM32" s="406"/>
      <c r="CN32" s="406"/>
      <c r="CO32" s="406"/>
      <c r="CP32" s="406"/>
      <c r="CQ32" s="406"/>
      <c r="CR32" s="406"/>
      <c r="CS32" s="406"/>
      <c r="CT32" s="407"/>
      <c r="DO32" s="405"/>
      <c r="DP32" s="406"/>
      <c r="DQ32" s="406"/>
      <c r="DR32" s="406"/>
      <c r="DS32" s="406"/>
      <c r="DT32" s="406"/>
      <c r="DU32" s="406"/>
      <c r="DV32" s="406"/>
      <c r="DW32" s="406"/>
      <c r="DX32" s="406"/>
      <c r="DY32" s="406"/>
      <c r="DZ32" s="406"/>
      <c r="EA32" s="406"/>
      <c r="EB32" s="406"/>
      <c r="EC32" s="406"/>
      <c r="ED32" s="406"/>
      <c r="EE32" s="406"/>
      <c r="EF32" s="407"/>
      <c r="FT32" s="405"/>
      <c r="FU32" s="406"/>
      <c r="FV32" s="406"/>
      <c r="FW32" s="406"/>
      <c r="FX32" s="406"/>
      <c r="FY32" s="406"/>
      <c r="FZ32" s="406"/>
      <c r="GA32" s="406"/>
      <c r="GB32" s="406"/>
      <c r="GC32" s="406"/>
      <c r="GD32" s="406"/>
      <c r="GE32" s="406"/>
      <c r="GF32" s="406"/>
      <c r="GG32" s="406"/>
      <c r="GH32" s="406"/>
      <c r="GI32" s="406"/>
      <c r="GJ32" s="406"/>
      <c r="GK32" s="407"/>
    </row>
    <row r="33" spans="2:193" ht="13.5" customHeight="1" thickBot="1">
      <c r="B33" s="18"/>
      <c r="C33" s="19" t="s">
        <v>496</v>
      </c>
      <c r="D33" s="19"/>
      <c r="E33" s="19"/>
      <c r="F33" s="19"/>
      <c r="G33" s="19"/>
      <c r="H33" s="395"/>
      <c r="I33" s="418"/>
      <c r="J33" s="418"/>
      <c r="K33" s="418"/>
      <c r="L33" s="418"/>
      <c r="M33" s="418"/>
      <c r="N33" s="418"/>
      <c r="O33" s="418"/>
      <c r="P33" s="418"/>
      <c r="Q33" s="418"/>
      <c r="R33" s="419"/>
      <c r="S33" s="395"/>
      <c r="T33" s="418"/>
      <c r="U33" s="418"/>
      <c r="V33" s="418"/>
      <c r="W33" s="418"/>
      <c r="X33" s="419"/>
      <c r="Y33" s="252" t="str">
        <f t="shared" si="6"/>
        <v/>
      </c>
      <c r="Z33" s="418"/>
      <c r="AA33" s="419"/>
      <c r="AB33" s="252" t="str">
        <f t="shared" si="7"/>
        <v/>
      </c>
      <c r="AC33" s="418"/>
      <c r="AD33" s="419"/>
      <c r="AE33" s="252" t="str">
        <f t="shared" si="8"/>
        <v/>
      </c>
      <c r="AF33" s="418"/>
      <c r="AG33" s="418"/>
      <c r="AH33" s="418"/>
      <c r="AI33" s="418"/>
      <c r="AJ33" s="418"/>
      <c r="AK33" s="419"/>
      <c r="AL33" s="398" t="str">
        <f t="shared" si="9"/>
        <v/>
      </c>
      <c r="AM33" s="418"/>
      <c r="AN33" s="418"/>
      <c r="AO33" s="418"/>
      <c r="AP33" s="418"/>
      <c r="AQ33" s="418"/>
      <c r="AR33" s="419"/>
      <c r="AS33" s="20"/>
      <c r="BK33" s="413" t="str">
        <f t="shared" ref="BK33:BK41" si="10">IF(H33="","",IF(S33="Alternate","Alt: ","")&amp;IF(S33="Dynamic","Dyn: ","")&amp;IF(H33=AE33,AE33&amp;" "&amp;AB33&amp;IF(AL33="",""," ["&amp;AL33&amp;"]"),IF(AE33="Custom",H33&amp;" ("&amp;Y33&amp;" points)"&amp;CHAR(10),H33&amp;": "&amp;AE33&amp;" "&amp;AB33&amp;IF(AL33="",""," ["&amp;AL33&amp;"]"))))</f>
        <v/>
      </c>
      <c r="BL33" s="414"/>
      <c r="BM33" s="414"/>
      <c r="BN33" s="414"/>
      <c r="BO33" s="414"/>
      <c r="BP33" s="414"/>
      <c r="BQ33" s="414"/>
      <c r="BR33" s="414"/>
      <c r="BS33" s="415"/>
      <c r="BT33" s="413" t="str">
        <f>BT32&amp;IF(AE32="Custom","     "&amp;BK33,IF(S33="None",", "&amp;BK33,"")&amp;IF(OR(S33="Alternate",S33="Dynamic"),CHAR(10)&amp;"     "&amp;BK33,"")&amp;IF(S33="Normal",IF(OR(S32="Alternate",S32="Dynamic",S32="None"),CHAR(10)&amp;"     "&amp;BK33,", "&amp;BK33),""))</f>
        <v/>
      </c>
      <c r="BU33" s="416"/>
      <c r="BV33" s="416"/>
      <c r="BW33" s="416"/>
      <c r="BX33" s="416"/>
      <c r="BY33" s="416"/>
      <c r="BZ33" s="416"/>
      <c r="CA33" s="416"/>
      <c r="CB33" s="417"/>
      <c r="CC33" s="405"/>
      <c r="CD33" s="406"/>
      <c r="CE33" s="406"/>
      <c r="CF33" s="406"/>
      <c r="CG33" s="406"/>
      <c r="CH33" s="406"/>
      <c r="CI33" s="406"/>
      <c r="CJ33" s="406"/>
      <c r="CK33" s="406"/>
      <c r="CL33" s="406"/>
      <c r="CM33" s="406"/>
      <c r="CN33" s="406"/>
      <c r="CO33" s="406"/>
      <c r="CP33" s="406"/>
      <c r="CQ33" s="406"/>
      <c r="CR33" s="406"/>
      <c r="CS33" s="406"/>
      <c r="CT33" s="407"/>
      <c r="DO33" s="405"/>
      <c r="DP33" s="406"/>
      <c r="DQ33" s="406"/>
      <c r="DR33" s="406"/>
      <c r="DS33" s="406"/>
      <c r="DT33" s="406"/>
      <c r="DU33" s="406"/>
      <c r="DV33" s="406"/>
      <c r="DW33" s="406"/>
      <c r="DX33" s="406"/>
      <c r="DY33" s="406"/>
      <c r="DZ33" s="406"/>
      <c r="EA33" s="406"/>
      <c r="EB33" s="406"/>
      <c r="EC33" s="406"/>
      <c r="ED33" s="406"/>
      <c r="EE33" s="406"/>
      <c r="EF33" s="407"/>
      <c r="FT33" s="405"/>
      <c r="FU33" s="406"/>
      <c r="FV33" s="406"/>
      <c r="FW33" s="406"/>
      <c r="FX33" s="406"/>
      <c r="FY33" s="406"/>
      <c r="FZ33" s="406"/>
      <c r="GA33" s="406"/>
      <c r="GB33" s="406"/>
      <c r="GC33" s="406"/>
      <c r="GD33" s="406"/>
      <c r="GE33" s="406"/>
      <c r="GF33" s="406"/>
      <c r="GG33" s="406"/>
      <c r="GH33" s="406"/>
      <c r="GI33" s="406"/>
      <c r="GJ33" s="406"/>
      <c r="GK33" s="407"/>
    </row>
    <row r="34" spans="2:193" ht="13.5" customHeight="1" thickBot="1">
      <c r="B34" s="18"/>
      <c r="C34" s="19" t="s">
        <v>497</v>
      </c>
      <c r="D34" s="19"/>
      <c r="E34" s="19"/>
      <c r="F34" s="19"/>
      <c r="G34" s="19"/>
      <c r="H34" s="395"/>
      <c r="I34" s="418"/>
      <c r="J34" s="418"/>
      <c r="K34" s="418"/>
      <c r="L34" s="418"/>
      <c r="M34" s="418"/>
      <c r="N34" s="418"/>
      <c r="O34" s="418"/>
      <c r="P34" s="418"/>
      <c r="Q34" s="418"/>
      <c r="R34" s="419"/>
      <c r="S34" s="395"/>
      <c r="T34" s="418"/>
      <c r="U34" s="418"/>
      <c r="V34" s="418"/>
      <c r="W34" s="418"/>
      <c r="X34" s="419"/>
      <c r="Y34" s="252" t="str">
        <f t="shared" si="6"/>
        <v/>
      </c>
      <c r="Z34" s="418"/>
      <c r="AA34" s="419"/>
      <c r="AB34" s="252" t="str">
        <f t="shared" si="7"/>
        <v/>
      </c>
      <c r="AC34" s="418"/>
      <c r="AD34" s="419"/>
      <c r="AE34" s="252" t="str">
        <f t="shared" si="8"/>
        <v/>
      </c>
      <c r="AF34" s="418"/>
      <c r="AG34" s="418"/>
      <c r="AH34" s="418"/>
      <c r="AI34" s="418"/>
      <c r="AJ34" s="418"/>
      <c r="AK34" s="419"/>
      <c r="AL34" s="398" t="str">
        <f t="shared" si="9"/>
        <v/>
      </c>
      <c r="AM34" s="418"/>
      <c r="AN34" s="418"/>
      <c r="AO34" s="418"/>
      <c r="AP34" s="418"/>
      <c r="AQ34" s="418"/>
      <c r="AR34" s="419"/>
      <c r="AS34" s="20"/>
      <c r="BK34" s="413" t="str">
        <f t="shared" si="10"/>
        <v/>
      </c>
      <c r="BL34" s="414"/>
      <c r="BM34" s="414"/>
      <c r="BN34" s="414"/>
      <c r="BO34" s="414"/>
      <c r="BP34" s="414"/>
      <c r="BQ34" s="414"/>
      <c r="BR34" s="414"/>
      <c r="BS34" s="415"/>
      <c r="BT34" s="413" t="str">
        <f t="shared" ref="BT34:BT41" si="11">BT33&amp;IF(AE33="Custom","     "&amp;BK34,IF(S34="None",", "&amp;BK34,"")&amp;IF(OR(S34="Alternate",S34="Dynamic"),CHAR(10)&amp;"     "&amp;BK34,"")&amp;IF(S34="Normal",IF(OR(S33="Alternate",S33="Dynamic",S33="None"),CHAR(10)&amp;"     "&amp;BK34,", "&amp;BK34),""))</f>
        <v/>
      </c>
      <c r="BU34" s="416"/>
      <c r="BV34" s="416"/>
      <c r="BW34" s="416"/>
      <c r="BX34" s="416"/>
      <c r="BY34" s="416"/>
      <c r="BZ34" s="416"/>
      <c r="CA34" s="416"/>
      <c r="CB34" s="417"/>
      <c r="CC34" s="405"/>
      <c r="CD34" s="406"/>
      <c r="CE34" s="406"/>
      <c r="CF34" s="406"/>
      <c r="CG34" s="406"/>
      <c r="CH34" s="406"/>
      <c r="CI34" s="406"/>
      <c r="CJ34" s="406"/>
      <c r="CK34" s="406"/>
      <c r="CL34" s="406"/>
      <c r="CM34" s="406"/>
      <c r="CN34" s="406"/>
      <c r="CO34" s="406"/>
      <c r="CP34" s="406"/>
      <c r="CQ34" s="406"/>
      <c r="CR34" s="406"/>
      <c r="CS34" s="406"/>
      <c r="CT34" s="407"/>
      <c r="DO34" s="405"/>
      <c r="DP34" s="406"/>
      <c r="DQ34" s="406"/>
      <c r="DR34" s="406"/>
      <c r="DS34" s="406"/>
      <c r="DT34" s="406"/>
      <c r="DU34" s="406"/>
      <c r="DV34" s="406"/>
      <c r="DW34" s="406"/>
      <c r="DX34" s="406"/>
      <c r="DY34" s="406"/>
      <c r="DZ34" s="406"/>
      <c r="EA34" s="406"/>
      <c r="EB34" s="406"/>
      <c r="EC34" s="406"/>
      <c r="ED34" s="406"/>
      <c r="EE34" s="406"/>
      <c r="EF34" s="407"/>
      <c r="FT34" s="405"/>
      <c r="FU34" s="406"/>
      <c r="FV34" s="406"/>
      <c r="FW34" s="406"/>
      <c r="FX34" s="406"/>
      <c r="FY34" s="406"/>
      <c r="FZ34" s="406"/>
      <c r="GA34" s="406"/>
      <c r="GB34" s="406"/>
      <c r="GC34" s="406"/>
      <c r="GD34" s="406"/>
      <c r="GE34" s="406"/>
      <c r="GF34" s="406"/>
      <c r="GG34" s="406"/>
      <c r="GH34" s="406"/>
      <c r="GI34" s="406"/>
      <c r="GJ34" s="406"/>
      <c r="GK34" s="407"/>
    </row>
    <row r="35" spans="2:193" ht="13.5" customHeight="1" thickBot="1">
      <c r="B35" s="18"/>
      <c r="C35" s="19" t="s">
        <v>498</v>
      </c>
      <c r="D35" s="19"/>
      <c r="E35" s="19"/>
      <c r="F35" s="19"/>
      <c r="G35" s="19"/>
      <c r="H35" s="395"/>
      <c r="I35" s="418"/>
      <c r="J35" s="418"/>
      <c r="K35" s="418"/>
      <c r="L35" s="418"/>
      <c r="M35" s="418"/>
      <c r="N35" s="418"/>
      <c r="O35" s="418"/>
      <c r="P35" s="418"/>
      <c r="Q35" s="418"/>
      <c r="R35" s="419"/>
      <c r="S35" s="395"/>
      <c r="T35" s="418"/>
      <c r="U35" s="418"/>
      <c r="V35" s="418"/>
      <c r="W35" s="418"/>
      <c r="X35" s="419"/>
      <c r="Y35" s="252" t="str">
        <f t="shared" si="6"/>
        <v/>
      </c>
      <c r="Z35" s="418"/>
      <c r="AA35" s="419"/>
      <c r="AB35" s="252" t="str">
        <f t="shared" si="7"/>
        <v/>
      </c>
      <c r="AC35" s="418"/>
      <c r="AD35" s="419"/>
      <c r="AE35" s="252" t="str">
        <f t="shared" si="8"/>
        <v/>
      </c>
      <c r="AF35" s="418"/>
      <c r="AG35" s="418"/>
      <c r="AH35" s="418"/>
      <c r="AI35" s="418"/>
      <c r="AJ35" s="418"/>
      <c r="AK35" s="419"/>
      <c r="AL35" s="398" t="str">
        <f t="shared" si="9"/>
        <v/>
      </c>
      <c r="AM35" s="418"/>
      <c r="AN35" s="418"/>
      <c r="AO35" s="418"/>
      <c r="AP35" s="418"/>
      <c r="AQ35" s="418"/>
      <c r="AR35" s="419"/>
      <c r="AS35" s="20"/>
      <c r="BK35" s="413" t="str">
        <f t="shared" si="10"/>
        <v/>
      </c>
      <c r="BL35" s="414"/>
      <c r="BM35" s="414"/>
      <c r="BN35" s="414"/>
      <c r="BO35" s="414"/>
      <c r="BP35" s="414"/>
      <c r="BQ35" s="414"/>
      <c r="BR35" s="414"/>
      <c r="BS35" s="415"/>
      <c r="BT35" s="413" t="str">
        <f t="shared" si="11"/>
        <v/>
      </c>
      <c r="BU35" s="416"/>
      <c r="BV35" s="416"/>
      <c r="BW35" s="416"/>
      <c r="BX35" s="416"/>
      <c r="BY35" s="416"/>
      <c r="BZ35" s="416"/>
      <c r="CA35" s="416"/>
      <c r="CB35" s="417"/>
      <c r="CC35" s="405"/>
      <c r="CD35" s="406"/>
      <c r="CE35" s="406"/>
      <c r="CF35" s="406"/>
      <c r="CG35" s="406"/>
      <c r="CH35" s="406"/>
      <c r="CI35" s="406"/>
      <c r="CJ35" s="406"/>
      <c r="CK35" s="406"/>
      <c r="CL35" s="406"/>
      <c r="CM35" s="406"/>
      <c r="CN35" s="406"/>
      <c r="CO35" s="406"/>
      <c r="CP35" s="406"/>
      <c r="CQ35" s="406"/>
      <c r="CR35" s="406"/>
      <c r="CS35" s="406"/>
      <c r="CT35" s="407"/>
      <c r="DO35" s="405"/>
      <c r="DP35" s="406"/>
      <c r="DQ35" s="406"/>
      <c r="DR35" s="406"/>
      <c r="DS35" s="406"/>
      <c r="DT35" s="406"/>
      <c r="DU35" s="406"/>
      <c r="DV35" s="406"/>
      <c r="DW35" s="406"/>
      <c r="DX35" s="406"/>
      <c r="DY35" s="406"/>
      <c r="DZ35" s="406"/>
      <c r="EA35" s="406"/>
      <c r="EB35" s="406"/>
      <c r="EC35" s="406"/>
      <c r="ED35" s="406"/>
      <c r="EE35" s="406"/>
      <c r="EF35" s="407"/>
      <c r="FT35" s="405"/>
      <c r="FU35" s="406"/>
      <c r="FV35" s="406"/>
      <c r="FW35" s="406"/>
      <c r="FX35" s="406"/>
      <c r="FY35" s="406"/>
      <c r="FZ35" s="406"/>
      <c r="GA35" s="406"/>
      <c r="GB35" s="406"/>
      <c r="GC35" s="406"/>
      <c r="GD35" s="406"/>
      <c r="GE35" s="406"/>
      <c r="GF35" s="406"/>
      <c r="GG35" s="406"/>
      <c r="GH35" s="406"/>
      <c r="GI35" s="406"/>
      <c r="GJ35" s="406"/>
      <c r="GK35" s="407"/>
    </row>
    <row r="36" spans="2:193" ht="13.5" customHeight="1" thickBot="1">
      <c r="B36" s="18"/>
      <c r="C36" s="19" t="s">
        <v>499</v>
      </c>
      <c r="D36" s="19"/>
      <c r="E36" s="19"/>
      <c r="F36" s="19"/>
      <c r="G36" s="19"/>
      <c r="H36" s="395"/>
      <c r="I36" s="418"/>
      <c r="J36" s="418"/>
      <c r="K36" s="418"/>
      <c r="L36" s="418"/>
      <c r="M36" s="418"/>
      <c r="N36" s="418"/>
      <c r="O36" s="418"/>
      <c r="P36" s="418"/>
      <c r="Q36" s="418"/>
      <c r="R36" s="419"/>
      <c r="S36" s="395"/>
      <c r="T36" s="418"/>
      <c r="U36" s="418"/>
      <c r="V36" s="418"/>
      <c r="W36" s="418"/>
      <c r="X36" s="419"/>
      <c r="Y36" s="252" t="str">
        <f t="shared" si="6"/>
        <v/>
      </c>
      <c r="Z36" s="418"/>
      <c r="AA36" s="419"/>
      <c r="AB36" s="252" t="str">
        <f t="shared" si="7"/>
        <v/>
      </c>
      <c r="AC36" s="418"/>
      <c r="AD36" s="419"/>
      <c r="AE36" s="252" t="str">
        <f t="shared" si="8"/>
        <v/>
      </c>
      <c r="AF36" s="418"/>
      <c r="AG36" s="418"/>
      <c r="AH36" s="418"/>
      <c r="AI36" s="418"/>
      <c r="AJ36" s="418"/>
      <c r="AK36" s="419"/>
      <c r="AL36" s="398" t="str">
        <f t="shared" si="9"/>
        <v/>
      </c>
      <c r="AM36" s="418"/>
      <c r="AN36" s="418"/>
      <c r="AO36" s="418"/>
      <c r="AP36" s="418"/>
      <c r="AQ36" s="418"/>
      <c r="AR36" s="419"/>
      <c r="AS36" s="20"/>
      <c r="BK36" s="413" t="str">
        <f t="shared" si="10"/>
        <v/>
      </c>
      <c r="BL36" s="414"/>
      <c r="BM36" s="414"/>
      <c r="BN36" s="414"/>
      <c r="BO36" s="414"/>
      <c r="BP36" s="414"/>
      <c r="BQ36" s="414"/>
      <c r="BR36" s="414"/>
      <c r="BS36" s="415"/>
      <c r="BT36" s="413" t="str">
        <f t="shared" si="11"/>
        <v/>
      </c>
      <c r="BU36" s="416"/>
      <c r="BV36" s="416"/>
      <c r="BW36" s="416"/>
      <c r="BX36" s="416"/>
      <c r="BY36" s="416"/>
      <c r="BZ36" s="416"/>
      <c r="CA36" s="416"/>
      <c r="CB36" s="417"/>
      <c r="CC36" s="405"/>
      <c r="CD36" s="406"/>
      <c r="CE36" s="406"/>
      <c r="CF36" s="406"/>
      <c r="CG36" s="406"/>
      <c r="CH36" s="406"/>
      <c r="CI36" s="406"/>
      <c r="CJ36" s="406"/>
      <c r="CK36" s="406"/>
      <c r="CL36" s="406"/>
      <c r="CM36" s="406"/>
      <c r="CN36" s="406"/>
      <c r="CO36" s="406"/>
      <c r="CP36" s="406"/>
      <c r="CQ36" s="406"/>
      <c r="CR36" s="406"/>
      <c r="CS36" s="406"/>
      <c r="CT36" s="407"/>
      <c r="DO36" s="405"/>
      <c r="DP36" s="406"/>
      <c r="DQ36" s="406"/>
      <c r="DR36" s="406"/>
      <c r="DS36" s="406"/>
      <c r="DT36" s="406"/>
      <c r="DU36" s="406"/>
      <c r="DV36" s="406"/>
      <c r="DW36" s="406"/>
      <c r="DX36" s="406"/>
      <c r="DY36" s="406"/>
      <c r="DZ36" s="406"/>
      <c r="EA36" s="406"/>
      <c r="EB36" s="406"/>
      <c r="EC36" s="406"/>
      <c r="ED36" s="406"/>
      <c r="EE36" s="406"/>
      <c r="EF36" s="407"/>
      <c r="FT36" s="405"/>
      <c r="FU36" s="406"/>
      <c r="FV36" s="406"/>
      <c r="FW36" s="406"/>
      <c r="FX36" s="406"/>
      <c r="FY36" s="406"/>
      <c r="FZ36" s="406"/>
      <c r="GA36" s="406"/>
      <c r="GB36" s="406"/>
      <c r="GC36" s="406"/>
      <c r="GD36" s="406"/>
      <c r="GE36" s="406"/>
      <c r="GF36" s="406"/>
      <c r="GG36" s="406"/>
      <c r="GH36" s="406"/>
      <c r="GI36" s="406"/>
      <c r="GJ36" s="406"/>
      <c r="GK36" s="407"/>
    </row>
    <row r="37" spans="2:193" ht="13.5" customHeight="1" thickBot="1">
      <c r="B37" s="18"/>
      <c r="C37" s="19" t="s">
        <v>500</v>
      </c>
      <c r="D37" s="19"/>
      <c r="E37" s="19"/>
      <c r="F37" s="19"/>
      <c r="G37" s="19"/>
      <c r="H37" s="395"/>
      <c r="I37" s="418"/>
      <c r="J37" s="418"/>
      <c r="K37" s="418"/>
      <c r="L37" s="418"/>
      <c r="M37" s="418"/>
      <c r="N37" s="418"/>
      <c r="O37" s="418"/>
      <c r="P37" s="418"/>
      <c r="Q37" s="418"/>
      <c r="R37" s="419"/>
      <c r="S37" s="395"/>
      <c r="T37" s="418"/>
      <c r="U37" s="418"/>
      <c r="V37" s="418"/>
      <c r="W37" s="418"/>
      <c r="X37" s="419"/>
      <c r="Y37" s="252" t="str">
        <f t="shared" si="6"/>
        <v/>
      </c>
      <c r="Z37" s="418"/>
      <c r="AA37" s="419"/>
      <c r="AB37" s="252" t="str">
        <f t="shared" si="7"/>
        <v/>
      </c>
      <c r="AC37" s="418"/>
      <c r="AD37" s="419"/>
      <c r="AE37" s="252" t="str">
        <f t="shared" si="8"/>
        <v/>
      </c>
      <c r="AF37" s="418"/>
      <c r="AG37" s="418"/>
      <c r="AH37" s="418"/>
      <c r="AI37" s="418"/>
      <c r="AJ37" s="418"/>
      <c r="AK37" s="419"/>
      <c r="AL37" s="398" t="str">
        <f t="shared" si="9"/>
        <v/>
      </c>
      <c r="AM37" s="418"/>
      <c r="AN37" s="418"/>
      <c r="AO37" s="418"/>
      <c r="AP37" s="418"/>
      <c r="AQ37" s="418"/>
      <c r="AR37" s="419"/>
      <c r="AS37" s="20"/>
      <c r="BK37" s="413" t="str">
        <f t="shared" si="10"/>
        <v/>
      </c>
      <c r="BL37" s="414"/>
      <c r="BM37" s="414"/>
      <c r="BN37" s="414"/>
      <c r="BO37" s="414"/>
      <c r="BP37" s="414"/>
      <c r="BQ37" s="414"/>
      <c r="BR37" s="414"/>
      <c r="BS37" s="415"/>
      <c r="BT37" s="413" t="str">
        <f t="shared" si="11"/>
        <v/>
      </c>
      <c r="BU37" s="416"/>
      <c r="BV37" s="416"/>
      <c r="BW37" s="416"/>
      <c r="BX37" s="416"/>
      <c r="BY37" s="416"/>
      <c r="BZ37" s="416"/>
      <c r="CA37" s="416"/>
      <c r="CB37" s="417"/>
      <c r="CC37" s="405"/>
      <c r="CD37" s="406"/>
      <c r="CE37" s="406"/>
      <c r="CF37" s="406"/>
      <c r="CG37" s="406"/>
      <c r="CH37" s="406"/>
      <c r="CI37" s="406"/>
      <c r="CJ37" s="406"/>
      <c r="CK37" s="406"/>
      <c r="CL37" s="406"/>
      <c r="CM37" s="406"/>
      <c r="CN37" s="406"/>
      <c r="CO37" s="406"/>
      <c r="CP37" s="406"/>
      <c r="CQ37" s="406"/>
      <c r="CR37" s="406"/>
      <c r="CS37" s="406"/>
      <c r="CT37" s="407"/>
      <c r="DO37" s="405"/>
      <c r="DP37" s="406"/>
      <c r="DQ37" s="406"/>
      <c r="DR37" s="406"/>
      <c r="DS37" s="406"/>
      <c r="DT37" s="406"/>
      <c r="DU37" s="406"/>
      <c r="DV37" s="406"/>
      <c r="DW37" s="406"/>
      <c r="DX37" s="406"/>
      <c r="DY37" s="406"/>
      <c r="DZ37" s="406"/>
      <c r="EA37" s="406"/>
      <c r="EB37" s="406"/>
      <c r="EC37" s="406"/>
      <c r="ED37" s="406"/>
      <c r="EE37" s="406"/>
      <c r="EF37" s="407"/>
      <c r="FT37" s="405"/>
      <c r="FU37" s="406"/>
      <c r="FV37" s="406"/>
      <c r="FW37" s="406"/>
      <c r="FX37" s="406"/>
      <c r="FY37" s="406"/>
      <c r="FZ37" s="406"/>
      <c r="GA37" s="406"/>
      <c r="GB37" s="406"/>
      <c r="GC37" s="406"/>
      <c r="GD37" s="406"/>
      <c r="GE37" s="406"/>
      <c r="GF37" s="406"/>
      <c r="GG37" s="406"/>
      <c r="GH37" s="406"/>
      <c r="GI37" s="406"/>
      <c r="GJ37" s="406"/>
      <c r="GK37" s="407"/>
    </row>
    <row r="38" spans="2:193" ht="13.5" customHeight="1" thickBot="1">
      <c r="B38" s="18"/>
      <c r="C38" s="19" t="s">
        <v>501</v>
      </c>
      <c r="D38" s="19"/>
      <c r="E38" s="19"/>
      <c r="F38" s="19"/>
      <c r="G38" s="19"/>
      <c r="H38" s="395"/>
      <c r="I38" s="418"/>
      <c r="J38" s="418"/>
      <c r="K38" s="418"/>
      <c r="L38" s="418"/>
      <c r="M38" s="418"/>
      <c r="N38" s="418"/>
      <c r="O38" s="418"/>
      <c r="P38" s="418"/>
      <c r="Q38" s="418"/>
      <c r="R38" s="419"/>
      <c r="S38" s="395"/>
      <c r="T38" s="418"/>
      <c r="U38" s="418"/>
      <c r="V38" s="418"/>
      <c r="W38" s="418"/>
      <c r="X38" s="419"/>
      <c r="Y38" s="252" t="str">
        <f t="shared" si="6"/>
        <v/>
      </c>
      <c r="Z38" s="418"/>
      <c r="AA38" s="419"/>
      <c r="AB38" s="252" t="str">
        <f t="shared" si="7"/>
        <v/>
      </c>
      <c r="AC38" s="418"/>
      <c r="AD38" s="419"/>
      <c r="AE38" s="252" t="str">
        <f t="shared" si="8"/>
        <v/>
      </c>
      <c r="AF38" s="418"/>
      <c r="AG38" s="418"/>
      <c r="AH38" s="418"/>
      <c r="AI38" s="418"/>
      <c r="AJ38" s="418"/>
      <c r="AK38" s="419"/>
      <c r="AL38" s="398" t="str">
        <f t="shared" si="9"/>
        <v/>
      </c>
      <c r="AM38" s="418"/>
      <c r="AN38" s="418"/>
      <c r="AO38" s="418"/>
      <c r="AP38" s="418"/>
      <c r="AQ38" s="418"/>
      <c r="AR38" s="419"/>
      <c r="AS38" s="20"/>
      <c r="BK38" s="413" t="str">
        <f t="shared" si="10"/>
        <v/>
      </c>
      <c r="BL38" s="414"/>
      <c r="BM38" s="414"/>
      <c r="BN38" s="414"/>
      <c r="BO38" s="414"/>
      <c r="BP38" s="414"/>
      <c r="BQ38" s="414"/>
      <c r="BR38" s="414"/>
      <c r="BS38" s="415"/>
      <c r="BT38" s="413" t="str">
        <f t="shared" si="11"/>
        <v/>
      </c>
      <c r="BU38" s="416"/>
      <c r="BV38" s="416"/>
      <c r="BW38" s="416"/>
      <c r="BX38" s="416"/>
      <c r="BY38" s="416"/>
      <c r="BZ38" s="416"/>
      <c r="CA38" s="416"/>
      <c r="CB38" s="417"/>
      <c r="CC38" s="405"/>
      <c r="CD38" s="406"/>
      <c r="CE38" s="406"/>
      <c r="CF38" s="406"/>
      <c r="CG38" s="406"/>
      <c r="CH38" s="406"/>
      <c r="CI38" s="406"/>
      <c r="CJ38" s="406"/>
      <c r="CK38" s="406"/>
      <c r="CL38" s="406"/>
      <c r="CM38" s="406"/>
      <c r="CN38" s="406"/>
      <c r="CO38" s="406"/>
      <c r="CP38" s="406"/>
      <c r="CQ38" s="406"/>
      <c r="CR38" s="406"/>
      <c r="CS38" s="406"/>
      <c r="CT38" s="407"/>
      <c r="DO38" s="405"/>
      <c r="DP38" s="406"/>
      <c r="DQ38" s="406"/>
      <c r="DR38" s="406"/>
      <c r="DS38" s="406"/>
      <c r="DT38" s="406"/>
      <c r="DU38" s="406"/>
      <c r="DV38" s="406"/>
      <c r="DW38" s="406"/>
      <c r="DX38" s="406"/>
      <c r="DY38" s="406"/>
      <c r="DZ38" s="406"/>
      <c r="EA38" s="406"/>
      <c r="EB38" s="406"/>
      <c r="EC38" s="406"/>
      <c r="ED38" s="406"/>
      <c r="EE38" s="406"/>
      <c r="EF38" s="407"/>
      <c r="FT38" s="405"/>
      <c r="FU38" s="406"/>
      <c r="FV38" s="406"/>
      <c r="FW38" s="406"/>
      <c r="FX38" s="406"/>
      <c r="FY38" s="406"/>
      <c r="FZ38" s="406"/>
      <c r="GA38" s="406"/>
      <c r="GB38" s="406"/>
      <c r="GC38" s="406"/>
      <c r="GD38" s="406"/>
      <c r="GE38" s="406"/>
      <c r="GF38" s="406"/>
      <c r="GG38" s="406"/>
      <c r="GH38" s="406"/>
      <c r="GI38" s="406"/>
      <c r="GJ38" s="406"/>
      <c r="GK38" s="407"/>
    </row>
    <row r="39" spans="2:193" ht="13.5" customHeight="1" thickBot="1">
      <c r="B39" s="18"/>
      <c r="C39" s="19" t="s">
        <v>502</v>
      </c>
      <c r="D39" s="19"/>
      <c r="E39" s="19"/>
      <c r="F39" s="19"/>
      <c r="G39" s="19"/>
      <c r="H39" s="395"/>
      <c r="I39" s="418"/>
      <c r="J39" s="418"/>
      <c r="K39" s="418"/>
      <c r="L39" s="418"/>
      <c r="M39" s="418"/>
      <c r="N39" s="418"/>
      <c r="O39" s="418"/>
      <c r="P39" s="418"/>
      <c r="Q39" s="418"/>
      <c r="R39" s="419"/>
      <c r="S39" s="395"/>
      <c r="T39" s="418"/>
      <c r="U39" s="418"/>
      <c r="V39" s="418"/>
      <c r="W39" s="418"/>
      <c r="X39" s="419"/>
      <c r="Y39" s="252" t="str">
        <f t="shared" si="6"/>
        <v/>
      </c>
      <c r="Z39" s="418"/>
      <c r="AA39" s="419"/>
      <c r="AB39" s="252" t="str">
        <f t="shared" si="7"/>
        <v/>
      </c>
      <c r="AC39" s="418"/>
      <c r="AD39" s="419"/>
      <c r="AE39" s="252" t="str">
        <f t="shared" si="8"/>
        <v/>
      </c>
      <c r="AF39" s="418"/>
      <c r="AG39" s="418"/>
      <c r="AH39" s="418"/>
      <c r="AI39" s="418"/>
      <c r="AJ39" s="418"/>
      <c r="AK39" s="419"/>
      <c r="AL39" s="398" t="str">
        <f t="shared" si="9"/>
        <v/>
      </c>
      <c r="AM39" s="418"/>
      <c r="AN39" s="418"/>
      <c r="AO39" s="418"/>
      <c r="AP39" s="418"/>
      <c r="AQ39" s="418"/>
      <c r="AR39" s="419"/>
      <c r="AS39" s="20"/>
      <c r="BK39" s="413" t="str">
        <f t="shared" si="10"/>
        <v/>
      </c>
      <c r="BL39" s="414"/>
      <c r="BM39" s="414"/>
      <c r="BN39" s="414"/>
      <c r="BO39" s="414"/>
      <c r="BP39" s="414"/>
      <c r="BQ39" s="414"/>
      <c r="BR39" s="414"/>
      <c r="BS39" s="415"/>
      <c r="BT39" s="413" t="str">
        <f t="shared" si="11"/>
        <v/>
      </c>
      <c r="BU39" s="416"/>
      <c r="BV39" s="416"/>
      <c r="BW39" s="416"/>
      <c r="BX39" s="416"/>
      <c r="BY39" s="416"/>
      <c r="BZ39" s="416"/>
      <c r="CA39" s="416"/>
      <c r="CB39" s="417"/>
      <c r="CC39" s="405"/>
      <c r="CD39" s="406"/>
      <c r="CE39" s="406"/>
      <c r="CF39" s="406"/>
      <c r="CG39" s="406"/>
      <c r="CH39" s="406"/>
      <c r="CI39" s="406"/>
      <c r="CJ39" s="406"/>
      <c r="CK39" s="406"/>
      <c r="CL39" s="406"/>
      <c r="CM39" s="406"/>
      <c r="CN39" s="406"/>
      <c r="CO39" s="406"/>
      <c r="CP39" s="406"/>
      <c r="CQ39" s="406"/>
      <c r="CR39" s="406"/>
      <c r="CS39" s="406"/>
      <c r="CT39" s="407"/>
      <c r="DO39" s="405"/>
      <c r="DP39" s="406"/>
      <c r="DQ39" s="406"/>
      <c r="DR39" s="406"/>
      <c r="DS39" s="406"/>
      <c r="DT39" s="406"/>
      <c r="DU39" s="406"/>
      <c r="DV39" s="406"/>
      <c r="DW39" s="406"/>
      <c r="DX39" s="406"/>
      <c r="DY39" s="406"/>
      <c r="DZ39" s="406"/>
      <c r="EA39" s="406"/>
      <c r="EB39" s="406"/>
      <c r="EC39" s="406"/>
      <c r="ED39" s="406"/>
      <c r="EE39" s="406"/>
      <c r="EF39" s="407"/>
      <c r="FT39" s="405"/>
      <c r="FU39" s="406"/>
      <c r="FV39" s="406"/>
      <c r="FW39" s="406"/>
      <c r="FX39" s="406"/>
      <c r="FY39" s="406"/>
      <c r="FZ39" s="406"/>
      <c r="GA39" s="406"/>
      <c r="GB39" s="406"/>
      <c r="GC39" s="406"/>
      <c r="GD39" s="406"/>
      <c r="GE39" s="406"/>
      <c r="GF39" s="406"/>
      <c r="GG39" s="406"/>
      <c r="GH39" s="406"/>
      <c r="GI39" s="406"/>
      <c r="GJ39" s="406"/>
      <c r="GK39" s="407"/>
    </row>
    <row r="40" spans="2:193" ht="13.5" customHeight="1" thickBot="1">
      <c r="B40" s="18"/>
      <c r="C40" s="19" t="s">
        <v>503</v>
      </c>
      <c r="D40" s="19"/>
      <c r="E40" s="19"/>
      <c r="F40" s="19"/>
      <c r="G40" s="19"/>
      <c r="H40" s="395"/>
      <c r="I40" s="418"/>
      <c r="J40" s="418"/>
      <c r="K40" s="418"/>
      <c r="L40" s="418"/>
      <c r="M40" s="418"/>
      <c r="N40" s="418"/>
      <c r="O40" s="418"/>
      <c r="P40" s="418"/>
      <c r="Q40" s="418"/>
      <c r="R40" s="419"/>
      <c r="S40" s="395"/>
      <c r="T40" s="418"/>
      <c r="U40" s="418"/>
      <c r="V40" s="418"/>
      <c r="W40" s="418"/>
      <c r="X40" s="419"/>
      <c r="Y40" s="252" t="str">
        <f t="shared" si="6"/>
        <v/>
      </c>
      <c r="Z40" s="418"/>
      <c r="AA40" s="419"/>
      <c r="AB40" s="252" t="str">
        <f t="shared" si="7"/>
        <v/>
      </c>
      <c r="AC40" s="418"/>
      <c r="AD40" s="419"/>
      <c r="AE40" s="252" t="str">
        <f t="shared" si="8"/>
        <v/>
      </c>
      <c r="AF40" s="418"/>
      <c r="AG40" s="418"/>
      <c r="AH40" s="418"/>
      <c r="AI40" s="418"/>
      <c r="AJ40" s="418"/>
      <c r="AK40" s="419"/>
      <c r="AL40" s="398" t="str">
        <f t="shared" si="9"/>
        <v/>
      </c>
      <c r="AM40" s="418"/>
      <c r="AN40" s="418"/>
      <c r="AO40" s="418"/>
      <c r="AP40" s="418"/>
      <c r="AQ40" s="418"/>
      <c r="AR40" s="419"/>
      <c r="AS40" s="20"/>
      <c r="BK40" s="413" t="str">
        <f t="shared" si="10"/>
        <v/>
      </c>
      <c r="BL40" s="414"/>
      <c r="BM40" s="414"/>
      <c r="BN40" s="414"/>
      <c r="BO40" s="414"/>
      <c r="BP40" s="414"/>
      <c r="BQ40" s="414"/>
      <c r="BR40" s="414"/>
      <c r="BS40" s="415"/>
      <c r="BT40" s="413" t="str">
        <f t="shared" si="11"/>
        <v/>
      </c>
      <c r="BU40" s="416"/>
      <c r="BV40" s="416"/>
      <c r="BW40" s="416"/>
      <c r="BX40" s="416"/>
      <c r="BY40" s="416"/>
      <c r="BZ40" s="416"/>
      <c r="CA40" s="416"/>
      <c r="CB40" s="417"/>
      <c r="CC40" s="405"/>
      <c r="CD40" s="406"/>
      <c r="CE40" s="406"/>
      <c r="CF40" s="406"/>
      <c r="CG40" s="406"/>
      <c r="CH40" s="406"/>
      <c r="CI40" s="406"/>
      <c r="CJ40" s="406"/>
      <c r="CK40" s="406"/>
      <c r="CL40" s="406"/>
      <c r="CM40" s="406"/>
      <c r="CN40" s="406"/>
      <c r="CO40" s="406"/>
      <c r="CP40" s="406"/>
      <c r="CQ40" s="406"/>
      <c r="CR40" s="406"/>
      <c r="CS40" s="406"/>
      <c r="CT40" s="407"/>
      <c r="DO40" s="405"/>
      <c r="DP40" s="406"/>
      <c r="DQ40" s="406"/>
      <c r="DR40" s="406"/>
      <c r="DS40" s="406"/>
      <c r="DT40" s="406"/>
      <c r="DU40" s="406"/>
      <c r="DV40" s="406"/>
      <c r="DW40" s="406"/>
      <c r="DX40" s="406"/>
      <c r="DY40" s="406"/>
      <c r="DZ40" s="406"/>
      <c r="EA40" s="406"/>
      <c r="EB40" s="406"/>
      <c r="EC40" s="406"/>
      <c r="ED40" s="406"/>
      <c r="EE40" s="406"/>
      <c r="EF40" s="407"/>
      <c r="FT40" s="405"/>
      <c r="FU40" s="406"/>
      <c r="FV40" s="406"/>
      <c r="FW40" s="406"/>
      <c r="FX40" s="406"/>
      <c r="FY40" s="406"/>
      <c r="FZ40" s="406"/>
      <c r="GA40" s="406"/>
      <c r="GB40" s="406"/>
      <c r="GC40" s="406"/>
      <c r="GD40" s="406"/>
      <c r="GE40" s="406"/>
      <c r="GF40" s="406"/>
      <c r="GG40" s="406"/>
      <c r="GH40" s="406"/>
      <c r="GI40" s="406"/>
      <c r="GJ40" s="406"/>
      <c r="GK40" s="407"/>
    </row>
    <row r="41" spans="2:193" ht="13.5" customHeight="1" thickBot="1">
      <c r="B41" s="18"/>
      <c r="C41" s="19" t="s">
        <v>504</v>
      </c>
      <c r="D41" s="19"/>
      <c r="E41" s="19"/>
      <c r="F41" s="19"/>
      <c r="G41" s="19"/>
      <c r="H41" s="395"/>
      <c r="I41" s="418"/>
      <c r="J41" s="418"/>
      <c r="K41" s="418"/>
      <c r="L41" s="418"/>
      <c r="M41" s="418"/>
      <c r="N41" s="418"/>
      <c r="O41" s="418"/>
      <c r="P41" s="418"/>
      <c r="Q41" s="418"/>
      <c r="R41" s="419"/>
      <c r="S41" s="395"/>
      <c r="T41" s="418"/>
      <c r="U41" s="418"/>
      <c r="V41" s="418"/>
      <c r="W41" s="418"/>
      <c r="X41" s="419"/>
      <c r="Y41" s="252" t="str">
        <f t="shared" si="6"/>
        <v/>
      </c>
      <c r="Z41" s="418"/>
      <c r="AA41" s="419"/>
      <c r="AB41" s="252" t="str">
        <f t="shared" si="7"/>
        <v/>
      </c>
      <c r="AC41" s="418"/>
      <c r="AD41" s="419"/>
      <c r="AE41" s="252" t="str">
        <f t="shared" si="8"/>
        <v/>
      </c>
      <c r="AF41" s="418"/>
      <c r="AG41" s="418"/>
      <c r="AH41" s="418"/>
      <c r="AI41" s="418"/>
      <c r="AJ41" s="418"/>
      <c r="AK41" s="419"/>
      <c r="AL41" s="398" t="str">
        <f t="shared" si="9"/>
        <v/>
      </c>
      <c r="AM41" s="418"/>
      <c r="AN41" s="418"/>
      <c r="AO41" s="418"/>
      <c r="AP41" s="418"/>
      <c r="AQ41" s="418"/>
      <c r="AR41" s="419"/>
      <c r="AS41" s="20"/>
      <c r="BK41" s="413" t="str">
        <f t="shared" si="10"/>
        <v/>
      </c>
      <c r="BL41" s="414"/>
      <c r="BM41" s="414"/>
      <c r="BN41" s="414"/>
      <c r="BO41" s="414"/>
      <c r="BP41" s="414"/>
      <c r="BQ41" s="414"/>
      <c r="BR41" s="414"/>
      <c r="BS41" s="415"/>
      <c r="BT41" s="413" t="str">
        <f t="shared" si="11"/>
        <v/>
      </c>
      <c r="BU41" s="416"/>
      <c r="BV41" s="416"/>
      <c r="BW41" s="416"/>
      <c r="BX41" s="416"/>
      <c r="BY41" s="416"/>
      <c r="BZ41" s="416"/>
      <c r="CA41" s="416"/>
      <c r="CB41" s="417"/>
      <c r="CC41" s="405"/>
      <c r="CD41" s="406"/>
      <c r="CE41" s="406"/>
      <c r="CF41" s="406"/>
      <c r="CG41" s="406"/>
      <c r="CH41" s="406"/>
      <c r="CI41" s="406"/>
      <c r="CJ41" s="406"/>
      <c r="CK41" s="406"/>
      <c r="CL41" s="406"/>
      <c r="CM41" s="406"/>
      <c r="CN41" s="406"/>
      <c r="CO41" s="406"/>
      <c r="CP41" s="406"/>
      <c r="CQ41" s="406"/>
      <c r="CR41" s="406"/>
      <c r="CS41" s="406"/>
      <c r="CT41" s="407"/>
      <c r="DO41" s="405"/>
      <c r="DP41" s="406"/>
      <c r="DQ41" s="406"/>
      <c r="DR41" s="406"/>
      <c r="DS41" s="406"/>
      <c r="DT41" s="406"/>
      <c r="DU41" s="406"/>
      <c r="DV41" s="406"/>
      <c r="DW41" s="406"/>
      <c r="DX41" s="406"/>
      <c r="DY41" s="406"/>
      <c r="DZ41" s="406"/>
      <c r="EA41" s="406"/>
      <c r="EB41" s="406"/>
      <c r="EC41" s="406"/>
      <c r="ED41" s="406"/>
      <c r="EE41" s="406"/>
      <c r="EF41" s="407"/>
      <c r="FT41" s="405"/>
      <c r="FU41" s="406"/>
      <c r="FV41" s="406"/>
      <c r="FW41" s="406"/>
      <c r="FX41" s="406"/>
      <c r="FY41" s="406"/>
      <c r="FZ41" s="406"/>
      <c r="GA41" s="406"/>
      <c r="GB41" s="406"/>
      <c r="GC41" s="406"/>
      <c r="GD41" s="406"/>
      <c r="GE41" s="406"/>
      <c r="GF41" s="406"/>
      <c r="GG41" s="406"/>
      <c r="GH41" s="406"/>
      <c r="GI41" s="406"/>
      <c r="GJ41" s="406"/>
      <c r="GK41" s="407"/>
    </row>
    <row r="42" spans="2:193" ht="13.5" customHeight="1" thickBot="1">
      <c r="B42" s="18"/>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20"/>
      <c r="CC42" s="405"/>
      <c r="CD42" s="406"/>
      <c r="CE42" s="406"/>
      <c r="CF42" s="406"/>
      <c r="CG42" s="406"/>
      <c r="CH42" s="406"/>
      <c r="CI42" s="406"/>
      <c r="CJ42" s="406"/>
      <c r="CK42" s="406"/>
      <c r="CL42" s="406"/>
      <c r="CM42" s="406"/>
      <c r="CN42" s="406"/>
      <c r="CO42" s="406"/>
      <c r="CP42" s="406"/>
      <c r="CQ42" s="406"/>
      <c r="CR42" s="406"/>
      <c r="CS42" s="406"/>
      <c r="CT42" s="407"/>
      <c r="DO42" s="405"/>
      <c r="DP42" s="406"/>
      <c r="DQ42" s="406"/>
      <c r="DR42" s="406"/>
      <c r="DS42" s="406"/>
      <c r="DT42" s="406"/>
      <c r="DU42" s="406"/>
      <c r="DV42" s="406"/>
      <c r="DW42" s="406"/>
      <c r="DX42" s="406"/>
      <c r="DY42" s="406"/>
      <c r="DZ42" s="406"/>
      <c r="EA42" s="406"/>
      <c r="EB42" s="406"/>
      <c r="EC42" s="406"/>
      <c r="ED42" s="406"/>
      <c r="EE42" s="406"/>
      <c r="EF42" s="407"/>
      <c r="FT42" s="405"/>
      <c r="FU42" s="406"/>
      <c r="FV42" s="406"/>
      <c r="FW42" s="406"/>
      <c r="FX42" s="406"/>
      <c r="FY42" s="406"/>
      <c r="FZ42" s="406"/>
      <c r="GA42" s="406"/>
      <c r="GB42" s="406"/>
      <c r="GC42" s="406"/>
      <c r="GD42" s="406"/>
      <c r="GE42" s="406"/>
      <c r="GF42" s="406"/>
      <c r="GG42" s="406"/>
      <c r="GH42" s="406"/>
      <c r="GI42" s="406"/>
      <c r="GJ42" s="406"/>
      <c r="GK42" s="407"/>
    </row>
    <row r="43" spans="2:193" ht="13.5" customHeight="1" thickBot="1">
      <c r="B43" s="18"/>
      <c r="C43" s="388" t="s">
        <v>525</v>
      </c>
      <c r="D43" s="388"/>
      <c r="E43" s="388"/>
      <c r="F43" s="388"/>
      <c r="G43" s="421"/>
      <c r="H43" s="389"/>
      <c r="I43" s="422"/>
      <c r="J43" s="422"/>
      <c r="K43" s="422"/>
      <c r="L43" s="422"/>
      <c r="M43" s="422"/>
      <c r="N43" s="422"/>
      <c r="O43" s="422"/>
      <c r="P43" s="422"/>
      <c r="Q43" s="422"/>
      <c r="R43" s="422"/>
      <c r="S43" s="422"/>
      <c r="T43" s="422"/>
      <c r="U43" s="422"/>
      <c r="V43" s="422"/>
      <c r="W43" s="422"/>
      <c r="X43" s="422"/>
      <c r="Y43" s="422"/>
      <c r="Z43" s="422"/>
      <c r="AA43" s="422"/>
      <c r="AB43" s="422"/>
      <c r="AC43" s="422"/>
      <c r="AD43" s="422"/>
      <c r="AE43" s="422"/>
      <c r="AF43" s="422"/>
      <c r="AG43" s="422"/>
      <c r="AH43" s="422"/>
      <c r="AI43" s="423"/>
      <c r="AJ43" s="19"/>
      <c r="AK43" s="19" t="s">
        <v>526</v>
      </c>
      <c r="AL43" s="19"/>
      <c r="AM43" s="19"/>
      <c r="AN43" s="19"/>
      <c r="AO43" s="252" t="str">
        <f>IF(H31="","",SUM(Y32:AA41))</f>
        <v/>
      </c>
      <c r="AP43" s="418"/>
      <c r="AQ43" s="418"/>
      <c r="AR43" s="419"/>
      <c r="AS43" s="20"/>
      <c r="CC43" s="405"/>
      <c r="CD43" s="406"/>
      <c r="CE43" s="406"/>
      <c r="CF43" s="406"/>
      <c r="CG43" s="406"/>
      <c r="CH43" s="406"/>
      <c r="CI43" s="406"/>
      <c r="CJ43" s="406"/>
      <c r="CK43" s="406"/>
      <c r="CL43" s="406"/>
      <c r="CM43" s="406"/>
      <c r="CN43" s="406"/>
      <c r="CO43" s="406"/>
      <c r="CP43" s="406"/>
      <c r="CQ43" s="406"/>
      <c r="CR43" s="406"/>
      <c r="CS43" s="406"/>
      <c r="CT43" s="407"/>
      <c r="DO43" s="405"/>
      <c r="DP43" s="406"/>
      <c r="DQ43" s="406"/>
      <c r="DR43" s="406"/>
      <c r="DS43" s="406"/>
      <c r="DT43" s="406"/>
      <c r="DU43" s="406"/>
      <c r="DV43" s="406"/>
      <c r="DW43" s="406"/>
      <c r="DX43" s="406"/>
      <c r="DY43" s="406"/>
      <c r="DZ43" s="406"/>
      <c r="EA43" s="406"/>
      <c r="EB43" s="406"/>
      <c r="EC43" s="406"/>
      <c r="ED43" s="406"/>
      <c r="EE43" s="406"/>
      <c r="EF43" s="407"/>
      <c r="FT43" s="405"/>
      <c r="FU43" s="406"/>
      <c r="FV43" s="406"/>
      <c r="FW43" s="406"/>
      <c r="FX43" s="406"/>
      <c r="FY43" s="406"/>
      <c r="FZ43" s="406"/>
      <c r="GA43" s="406"/>
      <c r="GB43" s="406"/>
      <c r="GC43" s="406"/>
      <c r="GD43" s="406"/>
      <c r="GE43" s="406"/>
      <c r="GF43" s="406"/>
      <c r="GG43" s="406"/>
      <c r="GH43" s="406"/>
      <c r="GI43" s="406"/>
      <c r="GJ43" s="406"/>
      <c r="GK43" s="407"/>
    </row>
    <row r="44" spans="2:193" ht="13.5" customHeight="1" thickBot="1">
      <c r="B44" s="18"/>
      <c r="C44" s="388"/>
      <c r="D44" s="388"/>
      <c r="E44" s="388"/>
      <c r="F44" s="388"/>
      <c r="G44" s="421"/>
      <c r="H44" s="424"/>
      <c r="I44" s="425"/>
      <c r="J44" s="42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6"/>
      <c r="AJ44" s="19"/>
      <c r="AK44" s="19"/>
      <c r="AL44" s="19"/>
      <c r="AM44" s="19"/>
      <c r="AN44" s="19"/>
      <c r="AO44" s="19"/>
      <c r="AP44" s="19"/>
      <c r="AQ44" s="19"/>
      <c r="AR44" s="19"/>
      <c r="AS44" s="20"/>
      <c r="CC44" s="408"/>
      <c r="CD44" s="409"/>
      <c r="CE44" s="409"/>
      <c r="CF44" s="409"/>
      <c r="CG44" s="409"/>
      <c r="CH44" s="409"/>
      <c r="CI44" s="409"/>
      <c r="CJ44" s="409"/>
      <c r="CK44" s="409"/>
      <c r="CL44" s="409"/>
      <c r="CM44" s="409"/>
      <c r="CN44" s="409"/>
      <c r="CO44" s="409"/>
      <c r="CP44" s="409"/>
      <c r="CQ44" s="409"/>
      <c r="CR44" s="409"/>
      <c r="CS44" s="409"/>
      <c r="CT44" s="410"/>
      <c r="DO44" s="408"/>
      <c r="DP44" s="409"/>
      <c r="DQ44" s="409"/>
      <c r="DR44" s="409"/>
      <c r="DS44" s="409"/>
      <c r="DT44" s="409"/>
      <c r="DU44" s="409"/>
      <c r="DV44" s="409"/>
      <c r="DW44" s="409"/>
      <c r="DX44" s="409"/>
      <c r="DY44" s="409"/>
      <c r="DZ44" s="409"/>
      <c r="EA44" s="409"/>
      <c r="EB44" s="409"/>
      <c r="EC44" s="409"/>
      <c r="ED44" s="409"/>
      <c r="EE44" s="409"/>
      <c r="EF44" s="410"/>
      <c r="FT44" s="408"/>
      <c r="FU44" s="409"/>
      <c r="FV44" s="409"/>
      <c r="FW44" s="409"/>
      <c r="FX44" s="409"/>
      <c r="FY44" s="409"/>
      <c r="FZ44" s="409"/>
      <c r="GA44" s="409"/>
      <c r="GB44" s="409"/>
      <c r="GC44" s="409"/>
      <c r="GD44" s="409"/>
      <c r="GE44" s="409"/>
      <c r="GF44" s="409"/>
      <c r="GG44" s="409"/>
      <c r="GH44" s="409"/>
      <c r="GI44" s="409"/>
      <c r="GJ44" s="409"/>
      <c r="GK44" s="410"/>
    </row>
    <row r="45" spans="2:193" ht="13.5" customHeight="1" thickBot="1">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3"/>
    </row>
    <row r="46" spans="2:193" ht="13.5" customHeight="1" thickBot="1"/>
    <row r="47" spans="2:193" ht="13.5" customHeight="1" thickBot="1">
      <c r="B47" s="15"/>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7"/>
      <c r="BK47" s="12" t="s">
        <v>620</v>
      </c>
      <c r="BT47" s="12" t="s">
        <v>621</v>
      </c>
      <c r="CL47" s="44"/>
      <c r="CM47" s="44"/>
      <c r="CN47" s="44"/>
      <c r="CO47" s="44"/>
      <c r="CP47" s="44"/>
      <c r="CQ47" s="44"/>
      <c r="CR47" s="44"/>
      <c r="CS47" s="44"/>
      <c r="CT47" s="44"/>
    </row>
    <row r="48" spans="2:193" ht="13.5" customHeight="1" thickBot="1">
      <c r="B48" s="18"/>
      <c r="C48" s="19" t="s">
        <v>385</v>
      </c>
      <c r="D48" s="19"/>
      <c r="E48" s="19"/>
      <c r="F48" s="19"/>
      <c r="G48" s="19"/>
      <c r="H48" s="249"/>
      <c r="I48" s="418"/>
      <c r="J48" s="418"/>
      <c r="K48" s="418"/>
      <c r="L48" s="418"/>
      <c r="M48" s="418"/>
      <c r="N48" s="418"/>
      <c r="O48" s="418"/>
      <c r="P48" s="418"/>
      <c r="Q48" s="418"/>
      <c r="R48" s="419"/>
      <c r="S48" s="401" t="s">
        <v>505</v>
      </c>
      <c r="T48" s="425"/>
      <c r="U48" s="425"/>
      <c r="V48" s="425"/>
      <c r="W48" s="425"/>
      <c r="X48" s="425"/>
      <c r="Y48" s="262" t="s">
        <v>37</v>
      </c>
      <c r="Z48" s="262"/>
      <c r="AA48" s="262"/>
      <c r="AB48" s="262" t="s">
        <v>36</v>
      </c>
      <c r="AC48" s="262"/>
      <c r="AD48" s="262"/>
      <c r="AE48" s="262" t="s">
        <v>506</v>
      </c>
      <c r="AF48" s="262"/>
      <c r="AG48" s="262"/>
      <c r="AH48" s="262"/>
      <c r="AI48" s="262"/>
      <c r="AJ48" s="262"/>
      <c r="AK48" s="262"/>
      <c r="AL48" s="262" t="s">
        <v>507</v>
      </c>
      <c r="AM48" s="262"/>
      <c r="AN48" s="262"/>
      <c r="AO48" s="262"/>
      <c r="AP48" s="262"/>
      <c r="AQ48" s="262"/>
      <c r="AR48" s="262"/>
      <c r="AS48" s="20"/>
      <c r="BK48" s="384" t="str">
        <f>IF(H48="","",H48&amp;IF(H60="",""," ["&amp;H60&amp;"]"))</f>
        <v/>
      </c>
      <c r="BL48" s="414"/>
      <c r="BM48" s="414"/>
      <c r="BN48" s="414"/>
      <c r="BO48" s="414"/>
      <c r="BP48" s="414"/>
      <c r="BQ48" s="414"/>
      <c r="BR48" s="414"/>
      <c r="BS48" s="415"/>
      <c r="BT48" s="384"/>
      <c r="BU48" s="385"/>
      <c r="BV48" s="385"/>
      <c r="BW48" s="385"/>
      <c r="BX48" s="385"/>
      <c r="BY48" s="385"/>
      <c r="BZ48" s="385"/>
      <c r="CA48" s="385"/>
      <c r="CB48" s="386"/>
      <c r="CC48" s="346" t="str">
        <f>IF(BK48="","",CHAR(149)&amp;" "&amp;BK48&amp;CHAR(10)&amp;BT58)</f>
        <v/>
      </c>
      <c r="CD48" s="403"/>
      <c r="CE48" s="403"/>
      <c r="CF48" s="403"/>
      <c r="CG48" s="403"/>
      <c r="CH48" s="403"/>
      <c r="CI48" s="403"/>
      <c r="CJ48" s="403"/>
      <c r="CK48" s="403"/>
      <c r="CL48" s="403"/>
      <c r="CM48" s="403"/>
      <c r="CN48" s="403"/>
      <c r="CO48" s="403"/>
      <c r="CP48" s="403"/>
      <c r="CQ48" s="403"/>
      <c r="CR48" s="403"/>
      <c r="CS48" s="403"/>
      <c r="CT48" s="404"/>
      <c r="DO48" s="346" t="str">
        <f>IF($BK48="","","[b]"&amp;$BK48&amp;"[/b]"&amp;CHAR(10)&amp;$BT58)</f>
        <v/>
      </c>
      <c r="DP48" s="403"/>
      <c r="DQ48" s="403"/>
      <c r="DR48" s="403"/>
      <c r="DS48" s="403"/>
      <c r="DT48" s="403"/>
      <c r="DU48" s="403"/>
      <c r="DV48" s="403"/>
      <c r="DW48" s="403"/>
      <c r="DX48" s="403"/>
      <c r="DY48" s="403"/>
      <c r="DZ48" s="403"/>
      <c r="EA48" s="403"/>
      <c r="EB48" s="403"/>
      <c r="EC48" s="403"/>
      <c r="ED48" s="403"/>
      <c r="EE48" s="403"/>
      <c r="EF48" s="404"/>
      <c r="FT48" s="346" t="str">
        <f>IF($BK48="","","**"&amp;$BK48&amp;"**"&amp;CHAR(10)&amp;$BT58)</f>
        <v/>
      </c>
      <c r="FU48" s="403"/>
      <c r="FV48" s="403"/>
      <c r="FW48" s="403"/>
      <c r="FX48" s="403"/>
      <c r="FY48" s="403"/>
      <c r="FZ48" s="403"/>
      <c r="GA48" s="403"/>
      <c r="GB48" s="403"/>
      <c r="GC48" s="403"/>
      <c r="GD48" s="403"/>
      <c r="GE48" s="403"/>
      <c r="GF48" s="403"/>
      <c r="GG48" s="403"/>
      <c r="GH48" s="403"/>
      <c r="GI48" s="403"/>
      <c r="GJ48" s="403"/>
      <c r="GK48" s="404"/>
    </row>
    <row r="49" spans="2:193" ht="13.5" customHeight="1" thickBot="1">
      <c r="B49" s="18"/>
      <c r="C49" s="19" t="s">
        <v>495</v>
      </c>
      <c r="D49" s="19"/>
      <c r="E49" s="19"/>
      <c r="F49" s="19"/>
      <c r="G49" s="19"/>
      <c r="H49" s="395"/>
      <c r="I49" s="418"/>
      <c r="J49" s="418"/>
      <c r="K49" s="418"/>
      <c r="L49" s="418"/>
      <c r="M49" s="418"/>
      <c r="N49" s="418"/>
      <c r="O49" s="418"/>
      <c r="P49" s="418"/>
      <c r="Q49" s="418"/>
      <c r="R49" s="419"/>
      <c r="S49" s="395"/>
      <c r="T49" s="418"/>
      <c r="U49" s="418"/>
      <c r="V49" s="418"/>
      <c r="W49" s="418"/>
      <c r="X49" s="419"/>
      <c r="Y49" s="252" t="str">
        <f t="shared" ref="Y49:Y58" si="12">IF($H49="","",IF($S49="Normal",VLOOKUP($H49,EqCompMatrix,7,FALSE),IF($S49="Alternate",1,IF($S49="Dynamic",2,IF($S49="None",0,"")))))</f>
        <v/>
      </c>
      <c r="Z49" s="418"/>
      <c r="AA49" s="419"/>
      <c r="AB49" s="252" t="str">
        <f t="shared" ref="AB49:AB58" si="13">IF($H49="","",VLOOKUP($H49,EqCompMatrix,5,FALSE))</f>
        <v/>
      </c>
      <c r="AC49" s="418"/>
      <c r="AD49" s="419"/>
      <c r="AE49" s="252" t="str">
        <f t="shared" ref="AE49:AE58" si="14">IF($H49="","",VLOOKUP($H49,EqCompMatrix,9,FALSE))</f>
        <v/>
      </c>
      <c r="AF49" s="418"/>
      <c r="AG49" s="418"/>
      <c r="AH49" s="418"/>
      <c r="AI49" s="418"/>
      <c r="AJ49" s="418"/>
      <c r="AK49" s="419"/>
      <c r="AL49" s="398" t="str">
        <f t="shared" ref="AL49:AL58" si="15">IF($H49="","",VLOOKUP($H49,EqCompMatrix,15,FALSE))</f>
        <v/>
      </c>
      <c r="AM49" s="418"/>
      <c r="AN49" s="418"/>
      <c r="AO49" s="418"/>
      <c r="AP49" s="418"/>
      <c r="AQ49" s="418"/>
      <c r="AR49" s="419"/>
      <c r="AS49" s="20"/>
      <c r="BK49" s="413" t="str">
        <f>IF(H49="","",IF(S49="Alternate","Alt: ","")&amp;IF(S49="Dynamic","Dyn: ","")&amp;IF(H49=AE49,AE49&amp;" "&amp;AB49&amp;IF(AL49="",""," ["&amp;AL49&amp;"]"),IF(AE49="Custom",H49&amp;" ("&amp;Y49&amp;" points)"&amp;CHAR(10),H49&amp;": "&amp;AE49&amp;" "&amp;AB49&amp;IF(AL49="",""," ["&amp;AL49&amp;"]"))))</f>
        <v/>
      </c>
      <c r="BL49" s="414"/>
      <c r="BM49" s="414"/>
      <c r="BN49" s="414"/>
      <c r="BO49" s="414"/>
      <c r="BP49" s="414"/>
      <c r="BQ49" s="414"/>
      <c r="BR49" s="414"/>
      <c r="BS49" s="415"/>
      <c r="BT49" s="384" t="str">
        <f>IF(BK49="","","     "&amp;BK49)</f>
        <v/>
      </c>
      <c r="BU49" s="385"/>
      <c r="BV49" s="385"/>
      <c r="BW49" s="385"/>
      <c r="BX49" s="385"/>
      <c r="BY49" s="385"/>
      <c r="BZ49" s="385"/>
      <c r="CA49" s="385"/>
      <c r="CB49" s="386"/>
      <c r="CC49" s="405"/>
      <c r="CD49" s="406"/>
      <c r="CE49" s="406"/>
      <c r="CF49" s="406"/>
      <c r="CG49" s="406"/>
      <c r="CH49" s="406"/>
      <c r="CI49" s="406"/>
      <c r="CJ49" s="406"/>
      <c r="CK49" s="406"/>
      <c r="CL49" s="406"/>
      <c r="CM49" s="406"/>
      <c r="CN49" s="406"/>
      <c r="CO49" s="406"/>
      <c r="CP49" s="406"/>
      <c r="CQ49" s="406"/>
      <c r="CR49" s="406"/>
      <c r="CS49" s="406"/>
      <c r="CT49" s="407"/>
      <c r="DO49" s="405"/>
      <c r="DP49" s="406"/>
      <c r="DQ49" s="406"/>
      <c r="DR49" s="406"/>
      <c r="DS49" s="406"/>
      <c r="DT49" s="406"/>
      <c r="DU49" s="406"/>
      <c r="DV49" s="406"/>
      <c r="DW49" s="406"/>
      <c r="DX49" s="406"/>
      <c r="DY49" s="406"/>
      <c r="DZ49" s="406"/>
      <c r="EA49" s="406"/>
      <c r="EB49" s="406"/>
      <c r="EC49" s="406"/>
      <c r="ED49" s="406"/>
      <c r="EE49" s="406"/>
      <c r="EF49" s="407"/>
      <c r="FT49" s="405"/>
      <c r="FU49" s="406"/>
      <c r="FV49" s="406"/>
      <c r="FW49" s="406"/>
      <c r="FX49" s="406"/>
      <c r="FY49" s="406"/>
      <c r="FZ49" s="406"/>
      <c r="GA49" s="406"/>
      <c r="GB49" s="406"/>
      <c r="GC49" s="406"/>
      <c r="GD49" s="406"/>
      <c r="GE49" s="406"/>
      <c r="GF49" s="406"/>
      <c r="GG49" s="406"/>
      <c r="GH49" s="406"/>
      <c r="GI49" s="406"/>
      <c r="GJ49" s="406"/>
      <c r="GK49" s="407"/>
    </row>
    <row r="50" spans="2:193" ht="13.5" customHeight="1" thickBot="1">
      <c r="B50" s="18"/>
      <c r="C50" s="19" t="s">
        <v>496</v>
      </c>
      <c r="D50" s="19"/>
      <c r="E50" s="19"/>
      <c r="F50" s="19"/>
      <c r="G50" s="19"/>
      <c r="H50" s="395"/>
      <c r="I50" s="418"/>
      <c r="J50" s="418"/>
      <c r="K50" s="418"/>
      <c r="L50" s="418"/>
      <c r="M50" s="418"/>
      <c r="N50" s="418"/>
      <c r="O50" s="418"/>
      <c r="P50" s="418"/>
      <c r="Q50" s="418"/>
      <c r="R50" s="419"/>
      <c r="S50" s="395"/>
      <c r="T50" s="418"/>
      <c r="U50" s="418"/>
      <c r="V50" s="418"/>
      <c r="W50" s="418"/>
      <c r="X50" s="419"/>
      <c r="Y50" s="252" t="str">
        <f t="shared" si="12"/>
        <v/>
      </c>
      <c r="Z50" s="418"/>
      <c r="AA50" s="419"/>
      <c r="AB50" s="252" t="str">
        <f t="shared" si="13"/>
        <v/>
      </c>
      <c r="AC50" s="418"/>
      <c r="AD50" s="419"/>
      <c r="AE50" s="252" t="str">
        <f t="shared" si="14"/>
        <v/>
      </c>
      <c r="AF50" s="418"/>
      <c r="AG50" s="418"/>
      <c r="AH50" s="418"/>
      <c r="AI50" s="418"/>
      <c r="AJ50" s="418"/>
      <c r="AK50" s="419"/>
      <c r="AL50" s="398" t="str">
        <f t="shared" si="15"/>
        <v/>
      </c>
      <c r="AM50" s="418"/>
      <c r="AN50" s="418"/>
      <c r="AO50" s="418"/>
      <c r="AP50" s="418"/>
      <c r="AQ50" s="418"/>
      <c r="AR50" s="419"/>
      <c r="AS50" s="20"/>
      <c r="BK50" s="413" t="str">
        <f t="shared" ref="BK50:BK58" si="16">IF(H50="","",IF(S50="Alternate","Alt: ","")&amp;IF(S50="Dynamic","Dyn: ","")&amp;IF(H50=AE50,AE50&amp;" "&amp;AB50&amp;IF(AL50="",""," ["&amp;AL50&amp;"]"),IF(AE50="Custom",H50&amp;" ("&amp;Y50&amp;" points)"&amp;CHAR(10),H50&amp;": "&amp;AE50&amp;" "&amp;AB50&amp;IF(AL50="",""," ["&amp;AL50&amp;"]"))))</f>
        <v/>
      </c>
      <c r="BL50" s="414"/>
      <c r="BM50" s="414"/>
      <c r="BN50" s="414"/>
      <c r="BO50" s="414"/>
      <c r="BP50" s="414"/>
      <c r="BQ50" s="414"/>
      <c r="BR50" s="414"/>
      <c r="BS50" s="415"/>
      <c r="BT50" s="413" t="str">
        <f>BT49&amp;IF(AE49="Custom","     "&amp;BK50,IF(S50="None",", "&amp;BK50,"")&amp;IF(OR(S50="Alternate",S50="Dynamic"),CHAR(10)&amp;"     "&amp;BK50,"")&amp;IF(S50="Normal",IF(OR(S49="Alternate",S49="Dynamic",S49="None"),CHAR(10)&amp;"     "&amp;BK50,", "&amp;BK50),""))</f>
        <v/>
      </c>
      <c r="BU50" s="416"/>
      <c r="BV50" s="416"/>
      <c r="BW50" s="416"/>
      <c r="BX50" s="416"/>
      <c r="BY50" s="416"/>
      <c r="BZ50" s="416"/>
      <c r="CA50" s="416"/>
      <c r="CB50" s="417"/>
      <c r="CC50" s="405"/>
      <c r="CD50" s="406"/>
      <c r="CE50" s="406"/>
      <c r="CF50" s="406"/>
      <c r="CG50" s="406"/>
      <c r="CH50" s="406"/>
      <c r="CI50" s="406"/>
      <c r="CJ50" s="406"/>
      <c r="CK50" s="406"/>
      <c r="CL50" s="406"/>
      <c r="CM50" s="406"/>
      <c r="CN50" s="406"/>
      <c r="CO50" s="406"/>
      <c r="CP50" s="406"/>
      <c r="CQ50" s="406"/>
      <c r="CR50" s="406"/>
      <c r="CS50" s="406"/>
      <c r="CT50" s="407"/>
      <c r="DO50" s="405"/>
      <c r="DP50" s="406"/>
      <c r="DQ50" s="406"/>
      <c r="DR50" s="406"/>
      <c r="DS50" s="406"/>
      <c r="DT50" s="406"/>
      <c r="DU50" s="406"/>
      <c r="DV50" s="406"/>
      <c r="DW50" s="406"/>
      <c r="DX50" s="406"/>
      <c r="DY50" s="406"/>
      <c r="DZ50" s="406"/>
      <c r="EA50" s="406"/>
      <c r="EB50" s="406"/>
      <c r="EC50" s="406"/>
      <c r="ED50" s="406"/>
      <c r="EE50" s="406"/>
      <c r="EF50" s="407"/>
      <c r="FT50" s="405"/>
      <c r="FU50" s="406"/>
      <c r="FV50" s="406"/>
      <c r="FW50" s="406"/>
      <c r="FX50" s="406"/>
      <c r="FY50" s="406"/>
      <c r="FZ50" s="406"/>
      <c r="GA50" s="406"/>
      <c r="GB50" s="406"/>
      <c r="GC50" s="406"/>
      <c r="GD50" s="406"/>
      <c r="GE50" s="406"/>
      <c r="GF50" s="406"/>
      <c r="GG50" s="406"/>
      <c r="GH50" s="406"/>
      <c r="GI50" s="406"/>
      <c r="GJ50" s="406"/>
      <c r="GK50" s="407"/>
    </row>
    <row r="51" spans="2:193" ht="13.5" customHeight="1" thickBot="1">
      <c r="B51" s="18"/>
      <c r="C51" s="19" t="s">
        <v>497</v>
      </c>
      <c r="D51" s="19"/>
      <c r="E51" s="19"/>
      <c r="F51" s="19"/>
      <c r="G51" s="19"/>
      <c r="H51" s="395"/>
      <c r="I51" s="418"/>
      <c r="J51" s="418"/>
      <c r="K51" s="418"/>
      <c r="L51" s="418"/>
      <c r="M51" s="418"/>
      <c r="N51" s="418"/>
      <c r="O51" s="418"/>
      <c r="P51" s="418"/>
      <c r="Q51" s="418"/>
      <c r="R51" s="419"/>
      <c r="S51" s="395"/>
      <c r="T51" s="418"/>
      <c r="U51" s="418"/>
      <c r="V51" s="418"/>
      <c r="W51" s="418"/>
      <c r="X51" s="419"/>
      <c r="Y51" s="252" t="str">
        <f t="shared" si="12"/>
        <v/>
      </c>
      <c r="Z51" s="418"/>
      <c r="AA51" s="419"/>
      <c r="AB51" s="252" t="str">
        <f t="shared" si="13"/>
        <v/>
      </c>
      <c r="AC51" s="418"/>
      <c r="AD51" s="419"/>
      <c r="AE51" s="252" t="str">
        <f t="shared" si="14"/>
        <v/>
      </c>
      <c r="AF51" s="418"/>
      <c r="AG51" s="418"/>
      <c r="AH51" s="418"/>
      <c r="AI51" s="418"/>
      <c r="AJ51" s="418"/>
      <c r="AK51" s="419"/>
      <c r="AL51" s="398" t="str">
        <f t="shared" si="15"/>
        <v/>
      </c>
      <c r="AM51" s="418"/>
      <c r="AN51" s="418"/>
      <c r="AO51" s="418"/>
      <c r="AP51" s="418"/>
      <c r="AQ51" s="418"/>
      <c r="AR51" s="419"/>
      <c r="AS51" s="20"/>
      <c r="BK51" s="413" t="str">
        <f t="shared" si="16"/>
        <v/>
      </c>
      <c r="BL51" s="414"/>
      <c r="BM51" s="414"/>
      <c r="BN51" s="414"/>
      <c r="BO51" s="414"/>
      <c r="BP51" s="414"/>
      <c r="BQ51" s="414"/>
      <c r="BR51" s="414"/>
      <c r="BS51" s="415"/>
      <c r="BT51" s="413" t="str">
        <f t="shared" ref="BT51:BT58" si="17">BT50&amp;IF(AE50="Custom","     "&amp;BK51,IF(S51="None",", "&amp;BK51,"")&amp;IF(OR(S51="Alternate",S51="Dynamic"),CHAR(10)&amp;"     "&amp;BK51,"")&amp;IF(S51="Normal",IF(OR(S50="Alternate",S50="Dynamic",S50="None"),CHAR(10)&amp;"     "&amp;BK51,", "&amp;BK51),""))</f>
        <v/>
      </c>
      <c r="BU51" s="416"/>
      <c r="BV51" s="416"/>
      <c r="BW51" s="416"/>
      <c r="BX51" s="416"/>
      <c r="BY51" s="416"/>
      <c r="BZ51" s="416"/>
      <c r="CA51" s="416"/>
      <c r="CB51" s="417"/>
      <c r="CC51" s="405"/>
      <c r="CD51" s="406"/>
      <c r="CE51" s="406"/>
      <c r="CF51" s="406"/>
      <c r="CG51" s="406"/>
      <c r="CH51" s="406"/>
      <c r="CI51" s="406"/>
      <c r="CJ51" s="406"/>
      <c r="CK51" s="406"/>
      <c r="CL51" s="406"/>
      <c r="CM51" s="406"/>
      <c r="CN51" s="406"/>
      <c r="CO51" s="406"/>
      <c r="CP51" s="406"/>
      <c r="CQ51" s="406"/>
      <c r="CR51" s="406"/>
      <c r="CS51" s="406"/>
      <c r="CT51" s="407"/>
      <c r="DO51" s="405"/>
      <c r="DP51" s="406"/>
      <c r="DQ51" s="406"/>
      <c r="DR51" s="406"/>
      <c r="DS51" s="406"/>
      <c r="DT51" s="406"/>
      <c r="DU51" s="406"/>
      <c r="DV51" s="406"/>
      <c r="DW51" s="406"/>
      <c r="DX51" s="406"/>
      <c r="DY51" s="406"/>
      <c r="DZ51" s="406"/>
      <c r="EA51" s="406"/>
      <c r="EB51" s="406"/>
      <c r="EC51" s="406"/>
      <c r="ED51" s="406"/>
      <c r="EE51" s="406"/>
      <c r="EF51" s="407"/>
      <c r="FT51" s="405"/>
      <c r="FU51" s="406"/>
      <c r="FV51" s="406"/>
      <c r="FW51" s="406"/>
      <c r="FX51" s="406"/>
      <c r="FY51" s="406"/>
      <c r="FZ51" s="406"/>
      <c r="GA51" s="406"/>
      <c r="GB51" s="406"/>
      <c r="GC51" s="406"/>
      <c r="GD51" s="406"/>
      <c r="GE51" s="406"/>
      <c r="GF51" s="406"/>
      <c r="GG51" s="406"/>
      <c r="GH51" s="406"/>
      <c r="GI51" s="406"/>
      <c r="GJ51" s="406"/>
      <c r="GK51" s="407"/>
    </row>
    <row r="52" spans="2:193" ht="13.5" customHeight="1" thickBot="1">
      <c r="B52" s="18"/>
      <c r="C52" s="19" t="s">
        <v>498</v>
      </c>
      <c r="D52" s="19"/>
      <c r="E52" s="19"/>
      <c r="F52" s="19"/>
      <c r="G52" s="19"/>
      <c r="H52" s="395"/>
      <c r="I52" s="418"/>
      <c r="J52" s="418"/>
      <c r="K52" s="418"/>
      <c r="L52" s="418"/>
      <c r="M52" s="418"/>
      <c r="N52" s="418"/>
      <c r="O52" s="418"/>
      <c r="P52" s="418"/>
      <c r="Q52" s="418"/>
      <c r="R52" s="419"/>
      <c r="S52" s="395"/>
      <c r="T52" s="418"/>
      <c r="U52" s="418"/>
      <c r="V52" s="418"/>
      <c r="W52" s="418"/>
      <c r="X52" s="419"/>
      <c r="Y52" s="252" t="str">
        <f t="shared" si="12"/>
        <v/>
      </c>
      <c r="Z52" s="418"/>
      <c r="AA52" s="419"/>
      <c r="AB52" s="252" t="str">
        <f t="shared" si="13"/>
        <v/>
      </c>
      <c r="AC52" s="418"/>
      <c r="AD52" s="419"/>
      <c r="AE52" s="252" t="str">
        <f t="shared" si="14"/>
        <v/>
      </c>
      <c r="AF52" s="418"/>
      <c r="AG52" s="418"/>
      <c r="AH52" s="418"/>
      <c r="AI52" s="418"/>
      <c r="AJ52" s="418"/>
      <c r="AK52" s="419"/>
      <c r="AL52" s="398" t="str">
        <f t="shared" si="15"/>
        <v/>
      </c>
      <c r="AM52" s="418"/>
      <c r="AN52" s="418"/>
      <c r="AO52" s="418"/>
      <c r="AP52" s="418"/>
      <c r="AQ52" s="418"/>
      <c r="AR52" s="419"/>
      <c r="AS52" s="20"/>
      <c r="BK52" s="413" t="str">
        <f t="shared" si="16"/>
        <v/>
      </c>
      <c r="BL52" s="414"/>
      <c r="BM52" s="414"/>
      <c r="BN52" s="414"/>
      <c r="BO52" s="414"/>
      <c r="BP52" s="414"/>
      <c r="BQ52" s="414"/>
      <c r="BR52" s="414"/>
      <c r="BS52" s="415"/>
      <c r="BT52" s="413" t="str">
        <f t="shared" si="17"/>
        <v/>
      </c>
      <c r="BU52" s="416"/>
      <c r="BV52" s="416"/>
      <c r="BW52" s="416"/>
      <c r="BX52" s="416"/>
      <c r="BY52" s="416"/>
      <c r="BZ52" s="416"/>
      <c r="CA52" s="416"/>
      <c r="CB52" s="417"/>
      <c r="CC52" s="405"/>
      <c r="CD52" s="406"/>
      <c r="CE52" s="406"/>
      <c r="CF52" s="406"/>
      <c r="CG52" s="406"/>
      <c r="CH52" s="406"/>
      <c r="CI52" s="406"/>
      <c r="CJ52" s="406"/>
      <c r="CK52" s="406"/>
      <c r="CL52" s="406"/>
      <c r="CM52" s="406"/>
      <c r="CN52" s="406"/>
      <c r="CO52" s="406"/>
      <c r="CP52" s="406"/>
      <c r="CQ52" s="406"/>
      <c r="CR52" s="406"/>
      <c r="CS52" s="406"/>
      <c r="CT52" s="407"/>
      <c r="DO52" s="405"/>
      <c r="DP52" s="406"/>
      <c r="DQ52" s="406"/>
      <c r="DR52" s="406"/>
      <c r="DS52" s="406"/>
      <c r="DT52" s="406"/>
      <c r="DU52" s="406"/>
      <c r="DV52" s="406"/>
      <c r="DW52" s="406"/>
      <c r="DX52" s="406"/>
      <c r="DY52" s="406"/>
      <c r="DZ52" s="406"/>
      <c r="EA52" s="406"/>
      <c r="EB52" s="406"/>
      <c r="EC52" s="406"/>
      <c r="ED52" s="406"/>
      <c r="EE52" s="406"/>
      <c r="EF52" s="407"/>
      <c r="FT52" s="405"/>
      <c r="FU52" s="406"/>
      <c r="FV52" s="406"/>
      <c r="FW52" s="406"/>
      <c r="FX52" s="406"/>
      <c r="FY52" s="406"/>
      <c r="FZ52" s="406"/>
      <c r="GA52" s="406"/>
      <c r="GB52" s="406"/>
      <c r="GC52" s="406"/>
      <c r="GD52" s="406"/>
      <c r="GE52" s="406"/>
      <c r="GF52" s="406"/>
      <c r="GG52" s="406"/>
      <c r="GH52" s="406"/>
      <c r="GI52" s="406"/>
      <c r="GJ52" s="406"/>
      <c r="GK52" s="407"/>
    </row>
    <row r="53" spans="2:193" ht="13.5" customHeight="1" thickBot="1">
      <c r="B53" s="18"/>
      <c r="C53" s="19" t="s">
        <v>499</v>
      </c>
      <c r="D53" s="19"/>
      <c r="E53" s="19"/>
      <c r="F53" s="19"/>
      <c r="G53" s="19"/>
      <c r="H53" s="395"/>
      <c r="I53" s="418"/>
      <c r="J53" s="418"/>
      <c r="K53" s="418"/>
      <c r="L53" s="418"/>
      <c r="M53" s="418"/>
      <c r="N53" s="418"/>
      <c r="O53" s="418"/>
      <c r="P53" s="418"/>
      <c r="Q53" s="418"/>
      <c r="R53" s="419"/>
      <c r="S53" s="395"/>
      <c r="T53" s="418"/>
      <c r="U53" s="418"/>
      <c r="V53" s="418"/>
      <c r="W53" s="418"/>
      <c r="X53" s="419"/>
      <c r="Y53" s="252" t="str">
        <f t="shared" si="12"/>
        <v/>
      </c>
      <c r="Z53" s="418"/>
      <c r="AA53" s="419"/>
      <c r="AB53" s="252" t="str">
        <f t="shared" si="13"/>
        <v/>
      </c>
      <c r="AC53" s="418"/>
      <c r="AD53" s="419"/>
      <c r="AE53" s="252" t="str">
        <f t="shared" si="14"/>
        <v/>
      </c>
      <c r="AF53" s="418"/>
      <c r="AG53" s="418"/>
      <c r="AH53" s="418"/>
      <c r="AI53" s="418"/>
      <c r="AJ53" s="418"/>
      <c r="AK53" s="419"/>
      <c r="AL53" s="398" t="str">
        <f t="shared" si="15"/>
        <v/>
      </c>
      <c r="AM53" s="418"/>
      <c r="AN53" s="418"/>
      <c r="AO53" s="418"/>
      <c r="AP53" s="418"/>
      <c r="AQ53" s="418"/>
      <c r="AR53" s="419"/>
      <c r="AS53" s="20"/>
      <c r="BK53" s="413" t="str">
        <f t="shared" si="16"/>
        <v/>
      </c>
      <c r="BL53" s="414"/>
      <c r="BM53" s="414"/>
      <c r="BN53" s="414"/>
      <c r="BO53" s="414"/>
      <c r="BP53" s="414"/>
      <c r="BQ53" s="414"/>
      <c r="BR53" s="414"/>
      <c r="BS53" s="415"/>
      <c r="BT53" s="413" t="str">
        <f t="shared" si="17"/>
        <v/>
      </c>
      <c r="BU53" s="416"/>
      <c r="BV53" s="416"/>
      <c r="BW53" s="416"/>
      <c r="BX53" s="416"/>
      <c r="BY53" s="416"/>
      <c r="BZ53" s="416"/>
      <c r="CA53" s="416"/>
      <c r="CB53" s="417"/>
      <c r="CC53" s="405"/>
      <c r="CD53" s="406"/>
      <c r="CE53" s="406"/>
      <c r="CF53" s="406"/>
      <c r="CG53" s="406"/>
      <c r="CH53" s="406"/>
      <c r="CI53" s="406"/>
      <c r="CJ53" s="406"/>
      <c r="CK53" s="406"/>
      <c r="CL53" s="406"/>
      <c r="CM53" s="406"/>
      <c r="CN53" s="406"/>
      <c r="CO53" s="406"/>
      <c r="CP53" s="406"/>
      <c r="CQ53" s="406"/>
      <c r="CR53" s="406"/>
      <c r="CS53" s="406"/>
      <c r="CT53" s="407"/>
      <c r="DO53" s="405"/>
      <c r="DP53" s="406"/>
      <c r="DQ53" s="406"/>
      <c r="DR53" s="406"/>
      <c r="DS53" s="406"/>
      <c r="DT53" s="406"/>
      <c r="DU53" s="406"/>
      <c r="DV53" s="406"/>
      <c r="DW53" s="406"/>
      <c r="DX53" s="406"/>
      <c r="DY53" s="406"/>
      <c r="DZ53" s="406"/>
      <c r="EA53" s="406"/>
      <c r="EB53" s="406"/>
      <c r="EC53" s="406"/>
      <c r="ED53" s="406"/>
      <c r="EE53" s="406"/>
      <c r="EF53" s="407"/>
      <c r="FT53" s="405"/>
      <c r="FU53" s="406"/>
      <c r="FV53" s="406"/>
      <c r="FW53" s="406"/>
      <c r="FX53" s="406"/>
      <c r="FY53" s="406"/>
      <c r="FZ53" s="406"/>
      <c r="GA53" s="406"/>
      <c r="GB53" s="406"/>
      <c r="GC53" s="406"/>
      <c r="GD53" s="406"/>
      <c r="GE53" s="406"/>
      <c r="GF53" s="406"/>
      <c r="GG53" s="406"/>
      <c r="GH53" s="406"/>
      <c r="GI53" s="406"/>
      <c r="GJ53" s="406"/>
      <c r="GK53" s="407"/>
    </row>
    <row r="54" spans="2:193" ht="13.5" customHeight="1" thickBot="1">
      <c r="B54" s="18"/>
      <c r="C54" s="19" t="s">
        <v>500</v>
      </c>
      <c r="D54" s="19"/>
      <c r="E54" s="19"/>
      <c r="F54" s="19"/>
      <c r="G54" s="19"/>
      <c r="H54" s="395"/>
      <c r="I54" s="418"/>
      <c r="J54" s="418"/>
      <c r="K54" s="418"/>
      <c r="L54" s="418"/>
      <c r="M54" s="418"/>
      <c r="N54" s="418"/>
      <c r="O54" s="418"/>
      <c r="P54" s="418"/>
      <c r="Q54" s="418"/>
      <c r="R54" s="419"/>
      <c r="S54" s="395"/>
      <c r="T54" s="418"/>
      <c r="U54" s="418"/>
      <c r="V54" s="418"/>
      <c r="W54" s="418"/>
      <c r="X54" s="419"/>
      <c r="Y54" s="252" t="str">
        <f t="shared" si="12"/>
        <v/>
      </c>
      <c r="Z54" s="418"/>
      <c r="AA54" s="419"/>
      <c r="AB54" s="252" t="str">
        <f t="shared" si="13"/>
        <v/>
      </c>
      <c r="AC54" s="418"/>
      <c r="AD54" s="419"/>
      <c r="AE54" s="252" t="str">
        <f t="shared" si="14"/>
        <v/>
      </c>
      <c r="AF54" s="418"/>
      <c r="AG54" s="418"/>
      <c r="AH54" s="418"/>
      <c r="AI54" s="418"/>
      <c r="AJ54" s="418"/>
      <c r="AK54" s="419"/>
      <c r="AL54" s="398" t="str">
        <f t="shared" si="15"/>
        <v/>
      </c>
      <c r="AM54" s="418"/>
      <c r="AN54" s="418"/>
      <c r="AO54" s="418"/>
      <c r="AP54" s="418"/>
      <c r="AQ54" s="418"/>
      <c r="AR54" s="419"/>
      <c r="AS54" s="20"/>
      <c r="BK54" s="413" t="str">
        <f t="shared" si="16"/>
        <v/>
      </c>
      <c r="BL54" s="414"/>
      <c r="BM54" s="414"/>
      <c r="BN54" s="414"/>
      <c r="BO54" s="414"/>
      <c r="BP54" s="414"/>
      <c r="BQ54" s="414"/>
      <c r="BR54" s="414"/>
      <c r="BS54" s="415"/>
      <c r="BT54" s="413" t="str">
        <f t="shared" si="17"/>
        <v/>
      </c>
      <c r="BU54" s="416"/>
      <c r="BV54" s="416"/>
      <c r="BW54" s="416"/>
      <c r="BX54" s="416"/>
      <c r="BY54" s="416"/>
      <c r="BZ54" s="416"/>
      <c r="CA54" s="416"/>
      <c r="CB54" s="417"/>
      <c r="CC54" s="405"/>
      <c r="CD54" s="406"/>
      <c r="CE54" s="406"/>
      <c r="CF54" s="406"/>
      <c r="CG54" s="406"/>
      <c r="CH54" s="406"/>
      <c r="CI54" s="406"/>
      <c r="CJ54" s="406"/>
      <c r="CK54" s="406"/>
      <c r="CL54" s="406"/>
      <c r="CM54" s="406"/>
      <c r="CN54" s="406"/>
      <c r="CO54" s="406"/>
      <c r="CP54" s="406"/>
      <c r="CQ54" s="406"/>
      <c r="CR54" s="406"/>
      <c r="CS54" s="406"/>
      <c r="CT54" s="407"/>
      <c r="DO54" s="405"/>
      <c r="DP54" s="406"/>
      <c r="DQ54" s="406"/>
      <c r="DR54" s="406"/>
      <c r="DS54" s="406"/>
      <c r="DT54" s="406"/>
      <c r="DU54" s="406"/>
      <c r="DV54" s="406"/>
      <c r="DW54" s="406"/>
      <c r="DX54" s="406"/>
      <c r="DY54" s="406"/>
      <c r="DZ54" s="406"/>
      <c r="EA54" s="406"/>
      <c r="EB54" s="406"/>
      <c r="EC54" s="406"/>
      <c r="ED54" s="406"/>
      <c r="EE54" s="406"/>
      <c r="EF54" s="407"/>
      <c r="FT54" s="405"/>
      <c r="FU54" s="406"/>
      <c r="FV54" s="406"/>
      <c r="FW54" s="406"/>
      <c r="FX54" s="406"/>
      <c r="FY54" s="406"/>
      <c r="FZ54" s="406"/>
      <c r="GA54" s="406"/>
      <c r="GB54" s="406"/>
      <c r="GC54" s="406"/>
      <c r="GD54" s="406"/>
      <c r="GE54" s="406"/>
      <c r="GF54" s="406"/>
      <c r="GG54" s="406"/>
      <c r="GH54" s="406"/>
      <c r="GI54" s="406"/>
      <c r="GJ54" s="406"/>
      <c r="GK54" s="407"/>
    </row>
    <row r="55" spans="2:193" ht="13.5" customHeight="1" thickBot="1">
      <c r="B55" s="18"/>
      <c r="C55" s="19" t="s">
        <v>501</v>
      </c>
      <c r="D55" s="19"/>
      <c r="E55" s="19"/>
      <c r="F55" s="19"/>
      <c r="G55" s="19"/>
      <c r="H55" s="395"/>
      <c r="I55" s="418"/>
      <c r="J55" s="418"/>
      <c r="K55" s="418"/>
      <c r="L55" s="418"/>
      <c r="M55" s="418"/>
      <c r="N55" s="418"/>
      <c r="O55" s="418"/>
      <c r="P55" s="418"/>
      <c r="Q55" s="418"/>
      <c r="R55" s="419"/>
      <c r="S55" s="395"/>
      <c r="T55" s="418"/>
      <c r="U55" s="418"/>
      <c r="V55" s="418"/>
      <c r="W55" s="418"/>
      <c r="X55" s="419"/>
      <c r="Y55" s="252" t="str">
        <f t="shared" si="12"/>
        <v/>
      </c>
      <c r="Z55" s="418"/>
      <c r="AA55" s="419"/>
      <c r="AB55" s="252" t="str">
        <f t="shared" si="13"/>
        <v/>
      </c>
      <c r="AC55" s="418"/>
      <c r="AD55" s="419"/>
      <c r="AE55" s="252" t="str">
        <f t="shared" si="14"/>
        <v/>
      </c>
      <c r="AF55" s="418"/>
      <c r="AG55" s="418"/>
      <c r="AH55" s="418"/>
      <c r="AI55" s="418"/>
      <c r="AJ55" s="418"/>
      <c r="AK55" s="419"/>
      <c r="AL55" s="398" t="str">
        <f t="shared" si="15"/>
        <v/>
      </c>
      <c r="AM55" s="418"/>
      <c r="AN55" s="418"/>
      <c r="AO55" s="418"/>
      <c r="AP55" s="418"/>
      <c r="AQ55" s="418"/>
      <c r="AR55" s="419"/>
      <c r="AS55" s="20"/>
      <c r="BK55" s="413" t="str">
        <f t="shared" si="16"/>
        <v/>
      </c>
      <c r="BL55" s="414"/>
      <c r="BM55" s="414"/>
      <c r="BN55" s="414"/>
      <c r="BO55" s="414"/>
      <c r="BP55" s="414"/>
      <c r="BQ55" s="414"/>
      <c r="BR55" s="414"/>
      <c r="BS55" s="415"/>
      <c r="BT55" s="413" t="str">
        <f t="shared" si="17"/>
        <v/>
      </c>
      <c r="BU55" s="416"/>
      <c r="BV55" s="416"/>
      <c r="BW55" s="416"/>
      <c r="BX55" s="416"/>
      <c r="BY55" s="416"/>
      <c r="BZ55" s="416"/>
      <c r="CA55" s="416"/>
      <c r="CB55" s="417"/>
      <c r="CC55" s="405"/>
      <c r="CD55" s="406"/>
      <c r="CE55" s="406"/>
      <c r="CF55" s="406"/>
      <c r="CG55" s="406"/>
      <c r="CH55" s="406"/>
      <c r="CI55" s="406"/>
      <c r="CJ55" s="406"/>
      <c r="CK55" s="406"/>
      <c r="CL55" s="406"/>
      <c r="CM55" s="406"/>
      <c r="CN55" s="406"/>
      <c r="CO55" s="406"/>
      <c r="CP55" s="406"/>
      <c r="CQ55" s="406"/>
      <c r="CR55" s="406"/>
      <c r="CS55" s="406"/>
      <c r="CT55" s="407"/>
      <c r="DO55" s="405"/>
      <c r="DP55" s="406"/>
      <c r="DQ55" s="406"/>
      <c r="DR55" s="406"/>
      <c r="DS55" s="406"/>
      <c r="DT55" s="406"/>
      <c r="DU55" s="406"/>
      <c r="DV55" s="406"/>
      <c r="DW55" s="406"/>
      <c r="DX55" s="406"/>
      <c r="DY55" s="406"/>
      <c r="DZ55" s="406"/>
      <c r="EA55" s="406"/>
      <c r="EB55" s="406"/>
      <c r="EC55" s="406"/>
      <c r="ED55" s="406"/>
      <c r="EE55" s="406"/>
      <c r="EF55" s="407"/>
      <c r="FT55" s="405"/>
      <c r="FU55" s="406"/>
      <c r="FV55" s="406"/>
      <c r="FW55" s="406"/>
      <c r="FX55" s="406"/>
      <c r="FY55" s="406"/>
      <c r="FZ55" s="406"/>
      <c r="GA55" s="406"/>
      <c r="GB55" s="406"/>
      <c r="GC55" s="406"/>
      <c r="GD55" s="406"/>
      <c r="GE55" s="406"/>
      <c r="GF55" s="406"/>
      <c r="GG55" s="406"/>
      <c r="GH55" s="406"/>
      <c r="GI55" s="406"/>
      <c r="GJ55" s="406"/>
      <c r="GK55" s="407"/>
    </row>
    <row r="56" spans="2:193" ht="13.5" customHeight="1" thickBot="1">
      <c r="B56" s="18"/>
      <c r="C56" s="19" t="s">
        <v>502</v>
      </c>
      <c r="D56" s="19"/>
      <c r="E56" s="19"/>
      <c r="F56" s="19"/>
      <c r="G56" s="19"/>
      <c r="H56" s="395"/>
      <c r="I56" s="418"/>
      <c r="J56" s="418"/>
      <c r="K56" s="418"/>
      <c r="L56" s="418"/>
      <c r="M56" s="418"/>
      <c r="N56" s="418"/>
      <c r="O56" s="418"/>
      <c r="P56" s="418"/>
      <c r="Q56" s="418"/>
      <c r="R56" s="419"/>
      <c r="S56" s="395"/>
      <c r="T56" s="418"/>
      <c r="U56" s="418"/>
      <c r="V56" s="418"/>
      <c r="W56" s="418"/>
      <c r="X56" s="419"/>
      <c r="Y56" s="252" t="str">
        <f t="shared" si="12"/>
        <v/>
      </c>
      <c r="Z56" s="418"/>
      <c r="AA56" s="419"/>
      <c r="AB56" s="252" t="str">
        <f t="shared" si="13"/>
        <v/>
      </c>
      <c r="AC56" s="418"/>
      <c r="AD56" s="419"/>
      <c r="AE56" s="252" t="str">
        <f t="shared" si="14"/>
        <v/>
      </c>
      <c r="AF56" s="418"/>
      <c r="AG56" s="418"/>
      <c r="AH56" s="418"/>
      <c r="AI56" s="418"/>
      <c r="AJ56" s="418"/>
      <c r="AK56" s="419"/>
      <c r="AL56" s="398" t="str">
        <f t="shared" si="15"/>
        <v/>
      </c>
      <c r="AM56" s="418"/>
      <c r="AN56" s="418"/>
      <c r="AO56" s="418"/>
      <c r="AP56" s="418"/>
      <c r="AQ56" s="418"/>
      <c r="AR56" s="419"/>
      <c r="AS56" s="20"/>
      <c r="BK56" s="413" t="str">
        <f t="shared" si="16"/>
        <v/>
      </c>
      <c r="BL56" s="414"/>
      <c r="BM56" s="414"/>
      <c r="BN56" s="414"/>
      <c r="BO56" s="414"/>
      <c r="BP56" s="414"/>
      <c r="BQ56" s="414"/>
      <c r="BR56" s="414"/>
      <c r="BS56" s="415"/>
      <c r="BT56" s="413" t="str">
        <f t="shared" si="17"/>
        <v/>
      </c>
      <c r="BU56" s="416"/>
      <c r="BV56" s="416"/>
      <c r="BW56" s="416"/>
      <c r="BX56" s="416"/>
      <c r="BY56" s="416"/>
      <c r="BZ56" s="416"/>
      <c r="CA56" s="416"/>
      <c r="CB56" s="417"/>
      <c r="CC56" s="405"/>
      <c r="CD56" s="406"/>
      <c r="CE56" s="406"/>
      <c r="CF56" s="406"/>
      <c r="CG56" s="406"/>
      <c r="CH56" s="406"/>
      <c r="CI56" s="406"/>
      <c r="CJ56" s="406"/>
      <c r="CK56" s="406"/>
      <c r="CL56" s="406"/>
      <c r="CM56" s="406"/>
      <c r="CN56" s="406"/>
      <c r="CO56" s="406"/>
      <c r="CP56" s="406"/>
      <c r="CQ56" s="406"/>
      <c r="CR56" s="406"/>
      <c r="CS56" s="406"/>
      <c r="CT56" s="407"/>
      <c r="DO56" s="405"/>
      <c r="DP56" s="406"/>
      <c r="DQ56" s="406"/>
      <c r="DR56" s="406"/>
      <c r="DS56" s="406"/>
      <c r="DT56" s="406"/>
      <c r="DU56" s="406"/>
      <c r="DV56" s="406"/>
      <c r="DW56" s="406"/>
      <c r="DX56" s="406"/>
      <c r="DY56" s="406"/>
      <c r="DZ56" s="406"/>
      <c r="EA56" s="406"/>
      <c r="EB56" s="406"/>
      <c r="EC56" s="406"/>
      <c r="ED56" s="406"/>
      <c r="EE56" s="406"/>
      <c r="EF56" s="407"/>
      <c r="FT56" s="405"/>
      <c r="FU56" s="406"/>
      <c r="FV56" s="406"/>
      <c r="FW56" s="406"/>
      <c r="FX56" s="406"/>
      <c r="FY56" s="406"/>
      <c r="FZ56" s="406"/>
      <c r="GA56" s="406"/>
      <c r="GB56" s="406"/>
      <c r="GC56" s="406"/>
      <c r="GD56" s="406"/>
      <c r="GE56" s="406"/>
      <c r="GF56" s="406"/>
      <c r="GG56" s="406"/>
      <c r="GH56" s="406"/>
      <c r="GI56" s="406"/>
      <c r="GJ56" s="406"/>
      <c r="GK56" s="407"/>
    </row>
    <row r="57" spans="2:193" ht="13.5" customHeight="1" thickBot="1">
      <c r="B57" s="18"/>
      <c r="C57" s="19" t="s">
        <v>503</v>
      </c>
      <c r="D57" s="19"/>
      <c r="E57" s="19"/>
      <c r="F57" s="19"/>
      <c r="G57" s="19"/>
      <c r="H57" s="395"/>
      <c r="I57" s="418"/>
      <c r="J57" s="418"/>
      <c r="K57" s="418"/>
      <c r="L57" s="418"/>
      <c r="M57" s="418"/>
      <c r="N57" s="418"/>
      <c r="O57" s="418"/>
      <c r="P57" s="418"/>
      <c r="Q57" s="418"/>
      <c r="R57" s="419"/>
      <c r="S57" s="395"/>
      <c r="T57" s="418"/>
      <c r="U57" s="418"/>
      <c r="V57" s="418"/>
      <c r="W57" s="418"/>
      <c r="X57" s="419"/>
      <c r="Y57" s="252" t="str">
        <f t="shared" si="12"/>
        <v/>
      </c>
      <c r="Z57" s="418"/>
      <c r="AA57" s="419"/>
      <c r="AB57" s="252" t="str">
        <f t="shared" si="13"/>
        <v/>
      </c>
      <c r="AC57" s="418"/>
      <c r="AD57" s="419"/>
      <c r="AE57" s="252" t="str">
        <f t="shared" si="14"/>
        <v/>
      </c>
      <c r="AF57" s="418"/>
      <c r="AG57" s="418"/>
      <c r="AH57" s="418"/>
      <c r="AI57" s="418"/>
      <c r="AJ57" s="418"/>
      <c r="AK57" s="419"/>
      <c r="AL57" s="398" t="str">
        <f t="shared" si="15"/>
        <v/>
      </c>
      <c r="AM57" s="418"/>
      <c r="AN57" s="418"/>
      <c r="AO57" s="418"/>
      <c r="AP57" s="418"/>
      <c r="AQ57" s="418"/>
      <c r="AR57" s="419"/>
      <c r="AS57" s="20"/>
      <c r="BK57" s="413" t="str">
        <f t="shared" si="16"/>
        <v/>
      </c>
      <c r="BL57" s="414"/>
      <c r="BM57" s="414"/>
      <c r="BN57" s="414"/>
      <c r="BO57" s="414"/>
      <c r="BP57" s="414"/>
      <c r="BQ57" s="414"/>
      <c r="BR57" s="414"/>
      <c r="BS57" s="415"/>
      <c r="BT57" s="413" t="str">
        <f t="shared" si="17"/>
        <v/>
      </c>
      <c r="BU57" s="416"/>
      <c r="BV57" s="416"/>
      <c r="BW57" s="416"/>
      <c r="BX57" s="416"/>
      <c r="BY57" s="416"/>
      <c r="BZ57" s="416"/>
      <c r="CA57" s="416"/>
      <c r="CB57" s="417"/>
      <c r="CC57" s="405"/>
      <c r="CD57" s="406"/>
      <c r="CE57" s="406"/>
      <c r="CF57" s="406"/>
      <c r="CG57" s="406"/>
      <c r="CH57" s="406"/>
      <c r="CI57" s="406"/>
      <c r="CJ57" s="406"/>
      <c r="CK57" s="406"/>
      <c r="CL57" s="406"/>
      <c r="CM57" s="406"/>
      <c r="CN57" s="406"/>
      <c r="CO57" s="406"/>
      <c r="CP57" s="406"/>
      <c r="CQ57" s="406"/>
      <c r="CR57" s="406"/>
      <c r="CS57" s="406"/>
      <c r="CT57" s="407"/>
      <c r="DO57" s="405"/>
      <c r="DP57" s="406"/>
      <c r="DQ57" s="406"/>
      <c r="DR57" s="406"/>
      <c r="DS57" s="406"/>
      <c r="DT57" s="406"/>
      <c r="DU57" s="406"/>
      <c r="DV57" s="406"/>
      <c r="DW57" s="406"/>
      <c r="DX57" s="406"/>
      <c r="DY57" s="406"/>
      <c r="DZ57" s="406"/>
      <c r="EA57" s="406"/>
      <c r="EB57" s="406"/>
      <c r="EC57" s="406"/>
      <c r="ED57" s="406"/>
      <c r="EE57" s="406"/>
      <c r="EF57" s="407"/>
      <c r="FT57" s="405"/>
      <c r="FU57" s="406"/>
      <c r="FV57" s="406"/>
      <c r="FW57" s="406"/>
      <c r="FX57" s="406"/>
      <c r="FY57" s="406"/>
      <c r="FZ57" s="406"/>
      <c r="GA57" s="406"/>
      <c r="GB57" s="406"/>
      <c r="GC57" s="406"/>
      <c r="GD57" s="406"/>
      <c r="GE57" s="406"/>
      <c r="GF57" s="406"/>
      <c r="GG57" s="406"/>
      <c r="GH57" s="406"/>
      <c r="GI57" s="406"/>
      <c r="GJ57" s="406"/>
      <c r="GK57" s="407"/>
    </row>
    <row r="58" spans="2:193" ht="13.5" customHeight="1" thickBot="1">
      <c r="B58" s="18"/>
      <c r="C58" s="19" t="s">
        <v>504</v>
      </c>
      <c r="D58" s="19"/>
      <c r="E58" s="19"/>
      <c r="F58" s="19"/>
      <c r="G58" s="19"/>
      <c r="H58" s="395"/>
      <c r="I58" s="418"/>
      <c r="J58" s="418"/>
      <c r="K58" s="418"/>
      <c r="L58" s="418"/>
      <c r="M58" s="418"/>
      <c r="N58" s="418"/>
      <c r="O58" s="418"/>
      <c r="P58" s="418"/>
      <c r="Q58" s="418"/>
      <c r="R58" s="419"/>
      <c r="S58" s="395"/>
      <c r="T58" s="418"/>
      <c r="U58" s="418"/>
      <c r="V58" s="418"/>
      <c r="W58" s="418"/>
      <c r="X58" s="419"/>
      <c r="Y58" s="252" t="str">
        <f t="shared" si="12"/>
        <v/>
      </c>
      <c r="Z58" s="418"/>
      <c r="AA58" s="419"/>
      <c r="AB58" s="252" t="str">
        <f t="shared" si="13"/>
        <v/>
      </c>
      <c r="AC58" s="418"/>
      <c r="AD58" s="419"/>
      <c r="AE58" s="252" t="str">
        <f t="shared" si="14"/>
        <v/>
      </c>
      <c r="AF58" s="418"/>
      <c r="AG58" s="418"/>
      <c r="AH58" s="418"/>
      <c r="AI58" s="418"/>
      <c r="AJ58" s="418"/>
      <c r="AK58" s="419"/>
      <c r="AL58" s="398" t="str">
        <f t="shared" si="15"/>
        <v/>
      </c>
      <c r="AM58" s="418"/>
      <c r="AN58" s="418"/>
      <c r="AO58" s="418"/>
      <c r="AP58" s="418"/>
      <c r="AQ58" s="418"/>
      <c r="AR58" s="419"/>
      <c r="AS58" s="20"/>
      <c r="BK58" s="413" t="str">
        <f t="shared" si="16"/>
        <v/>
      </c>
      <c r="BL58" s="414"/>
      <c r="BM58" s="414"/>
      <c r="BN58" s="414"/>
      <c r="BO58" s="414"/>
      <c r="BP58" s="414"/>
      <c r="BQ58" s="414"/>
      <c r="BR58" s="414"/>
      <c r="BS58" s="415"/>
      <c r="BT58" s="413" t="str">
        <f t="shared" si="17"/>
        <v/>
      </c>
      <c r="BU58" s="416"/>
      <c r="BV58" s="416"/>
      <c r="BW58" s="416"/>
      <c r="BX58" s="416"/>
      <c r="BY58" s="416"/>
      <c r="BZ58" s="416"/>
      <c r="CA58" s="416"/>
      <c r="CB58" s="417"/>
      <c r="CC58" s="405"/>
      <c r="CD58" s="406"/>
      <c r="CE58" s="406"/>
      <c r="CF58" s="406"/>
      <c r="CG58" s="406"/>
      <c r="CH58" s="406"/>
      <c r="CI58" s="406"/>
      <c r="CJ58" s="406"/>
      <c r="CK58" s="406"/>
      <c r="CL58" s="406"/>
      <c r="CM58" s="406"/>
      <c r="CN58" s="406"/>
      <c r="CO58" s="406"/>
      <c r="CP58" s="406"/>
      <c r="CQ58" s="406"/>
      <c r="CR58" s="406"/>
      <c r="CS58" s="406"/>
      <c r="CT58" s="407"/>
      <c r="DO58" s="405"/>
      <c r="DP58" s="406"/>
      <c r="DQ58" s="406"/>
      <c r="DR58" s="406"/>
      <c r="DS58" s="406"/>
      <c r="DT58" s="406"/>
      <c r="DU58" s="406"/>
      <c r="DV58" s="406"/>
      <c r="DW58" s="406"/>
      <c r="DX58" s="406"/>
      <c r="DY58" s="406"/>
      <c r="DZ58" s="406"/>
      <c r="EA58" s="406"/>
      <c r="EB58" s="406"/>
      <c r="EC58" s="406"/>
      <c r="ED58" s="406"/>
      <c r="EE58" s="406"/>
      <c r="EF58" s="407"/>
      <c r="FT58" s="405"/>
      <c r="FU58" s="406"/>
      <c r="FV58" s="406"/>
      <c r="FW58" s="406"/>
      <c r="FX58" s="406"/>
      <c r="FY58" s="406"/>
      <c r="FZ58" s="406"/>
      <c r="GA58" s="406"/>
      <c r="GB58" s="406"/>
      <c r="GC58" s="406"/>
      <c r="GD58" s="406"/>
      <c r="GE58" s="406"/>
      <c r="GF58" s="406"/>
      <c r="GG58" s="406"/>
      <c r="GH58" s="406"/>
      <c r="GI58" s="406"/>
      <c r="GJ58" s="406"/>
      <c r="GK58" s="407"/>
    </row>
    <row r="59" spans="2:193" ht="13.5" customHeight="1" thickBot="1">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20"/>
      <c r="CC59" s="405"/>
      <c r="CD59" s="406"/>
      <c r="CE59" s="406"/>
      <c r="CF59" s="406"/>
      <c r="CG59" s="406"/>
      <c r="CH59" s="406"/>
      <c r="CI59" s="406"/>
      <c r="CJ59" s="406"/>
      <c r="CK59" s="406"/>
      <c r="CL59" s="406"/>
      <c r="CM59" s="406"/>
      <c r="CN59" s="406"/>
      <c r="CO59" s="406"/>
      <c r="CP59" s="406"/>
      <c r="CQ59" s="406"/>
      <c r="CR59" s="406"/>
      <c r="CS59" s="406"/>
      <c r="CT59" s="407"/>
      <c r="DO59" s="405"/>
      <c r="DP59" s="406"/>
      <c r="DQ59" s="406"/>
      <c r="DR59" s="406"/>
      <c r="DS59" s="406"/>
      <c r="DT59" s="406"/>
      <c r="DU59" s="406"/>
      <c r="DV59" s="406"/>
      <c r="DW59" s="406"/>
      <c r="DX59" s="406"/>
      <c r="DY59" s="406"/>
      <c r="DZ59" s="406"/>
      <c r="EA59" s="406"/>
      <c r="EB59" s="406"/>
      <c r="EC59" s="406"/>
      <c r="ED59" s="406"/>
      <c r="EE59" s="406"/>
      <c r="EF59" s="407"/>
      <c r="FT59" s="405"/>
      <c r="FU59" s="406"/>
      <c r="FV59" s="406"/>
      <c r="FW59" s="406"/>
      <c r="FX59" s="406"/>
      <c r="FY59" s="406"/>
      <c r="FZ59" s="406"/>
      <c r="GA59" s="406"/>
      <c r="GB59" s="406"/>
      <c r="GC59" s="406"/>
      <c r="GD59" s="406"/>
      <c r="GE59" s="406"/>
      <c r="GF59" s="406"/>
      <c r="GG59" s="406"/>
      <c r="GH59" s="406"/>
      <c r="GI59" s="406"/>
      <c r="GJ59" s="406"/>
      <c r="GK59" s="407"/>
    </row>
    <row r="60" spans="2:193" ht="13.5" customHeight="1" thickBot="1">
      <c r="B60" s="18"/>
      <c r="C60" s="388" t="s">
        <v>525</v>
      </c>
      <c r="D60" s="388"/>
      <c r="E60" s="388"/>
      <c r="F60" s="388"/>
      <c r="G60" s="421"/>
      <c r="H60" s="389"/>
      <c r="I60" s="422"/>
      <c r="J60" s="422"/>
      <c r="K60" s="422"/>
      <c r="L60" s="422"/>
      <c r="M60" s="422"/>
      <c r="N60" s="422"/>
      <c r="O60" s="422"/>
      <c r="P60" s="422"/>
      <c r="Q60" s="422"/>
      <c r="R60" s="422"/>
      <c r="S60" s="422"/>
      <c r="T60" s="422"/>
      <c r="U60" s="422"/>
      <c r="V60" s="422"/>
      <c r="W60" s="422"/>
      <c r="X60" s="422"/>
      <c r="Y60" s="422"/>
      <c r="Z60" s="422"/>
      <c r="AA60" s="422"/>
      <c r="AB60" s="422"/>
      <c r="AC60" s="422"/>
      <c r="AD60" s="422"/>
      <c r="AE60" s="422"/>
      <c r="AF60" s="422"/>
      <c r="AG60" s="422"/>
      <c r="AH60" s="422"/>
      <c r="AI60" s="423"/>
      <c r="AJ60" s="19"/>
      <c r="AK60" s="19" t="s">
        <v>526</v>
      </c>
      <c r="AL60" s="19"/>
      <c r="AM60" s="19"/>
      <c r="AN60" s="19"/>
      <c r="AO60" s="252" t="str">
        <f>IF(H48="","",SUM(Y49:AA58))</f>
        <v/>
      </c>
      <c r="AP60" s="418"/>
      <c r="AQ60" s="418"/>
      <c r="AR60" s="419"/>
      <c r="AS60" s="20"/>
      <c r="CC60" s="405"/>
      <c r="CD60" s="406"/>
      <c r="CE60" s="406"/>
      <c r="CF60" s="406"/>
      <c r="CG60" s="406"/>
      <c r="CH60" s="406"/>
      <c r="CI60" s="406"/>
      <c r="CJ60" s="406"/>
      <c r="CK60" s="406"/>
      <c r="CL60" s="406"/>
      <c r="CM60" s="406"/>
      <c r="CN60" s="406"/>
      <c r="CO60" s="406"/>
      <c r="CP60" s="406"/>
      <c r="CQ60" s="406"/>
      <c r="CR60" s="406"/>
      <c r="CS60" s="406"/>
      <c r="CT60" s="407"/>
      <c r="DO60" s="405"/>
      <c r="DP60" s="406"/>
      <c r="DQ60" s="406"/>
      <c r="DR60" s="406"/>
      <c r="DS60" s="406"/>
      <c r="DT60" s="406"/>
      <c r="DU60" s="406"/>
      <c r="DV60" s="406"/>
      <c r="DW60" s="406"/>
      <c r="DX60" s="406"/>
      <c r="DY60" s="406"/>
      <c r="DZ60" s="406"/>
      <c r="EA60" s="406"/>
      <c r="EB60" s="406"/>
      <c r="EC60" s="406"/>
      <c r="ED60" s="406"/>
      <c r="EE60" s="406"/>
      <c r="EF60" s="407"/>
      <c r="FT60" s="405"/>
      <c r="FU60" s="406"/>
      <c r="FV60" s="406"/>
      <c r="FW60" s="406"/>
      <c r="FX60" s="406"/>
      <c r="FY60" s="406"/>
      <c r="FZ60" s="406"/>
      <c r="GA60" s="406"/>
      <c r="GB60" s="406"/>
      <c r="GC60" s="406"/>
      <c r="GD60" s="406"/>
      <c r="GE60" s="406"/>
      <c r="GF60" s="406"/>
      <c r="GG60" s="406"/>
      <c r="GH60" s="406"/>
      <c r="GI60" s="406"/>
      <c r="GJ60" s="406"/>
      <c r="GK60" s="407"/>
    </row>
    <row r="61" spans="2:193" ht="13.5" customHeight="1" thickBot="1">
      <c r="B61" s="18"/>
      <c r="C61" s="388"/>
      <c r="D61" s="388"/>
      <c r="E61" s="388"/>
      <c r="F61" s="388"/>
      <c r="G61" s="421"/>
      <c r="H61" s="424"/>
      <c r="I61" s="425"/>
      <c r="J61" s="425"/>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6"/>
      <c r="AJ61" s="19"/>
      <c r="AK61" s="19"/>
      <c r="AL61" s="19"/>
      <c r="AM61" s="19"/>
      <c r="AN61" s="19"/>
      <c r="AO61" s="19"/>
      <c r="AP61" s="19"/>
      <c r="AQ61" s="19"/>
      <c r="AR61" s="19"/>
      <c r="AS61" s="20"/>
      <c r="CC61" s="408"/>
      <c r="CD61" s="409"/>
      <c r="CE61" s="409"/>
      <c r="CF61" s="409"/>
      <c r="CG61" s="409"/>
      <c r="CH61" s="409"/>
      <c r="CI61" s="409"/>
      <c r="CJ61" s="409"/>
      <c r="CK61" s="409"/>
      <c r="CL61" s="409"/>
      <c r="CM61" s="409"/>
      <c r="CN61" s="409"/>
      <c r="CO61" s="409"/>
      <c r="CP61" s="409"/>
      <c r="CQ61" s="409"/>
      <c r="CR61" s="409"/>
      <c r="CS61" s="409"/>
      <c r="CT61" s="410"/>
      <c r="DO61" s="408"/>
      <c r="DP61" s="409"/>
      <c r="DQ61" s="409"/>
      <c r="DR61" s="409"/>
      <c r="DS61" s="409"/>
      <c r="DT61" s="409"/>
      <c r="DU61" s="409"/>
      <c r="DV61" s="409"/>
      <c r="DW61" s="409"/>
      <c r="DX61" s="409"/>
      <c r="DY61" s="409"/>
      <c r="DZ61" s="409"/>
      <c r="EA61" s="409"/>
      <c r="EB61" s="409"/>
      <c r="EC61" s="409"/>
      <c r="ED61" s="409"/>
      <c r="EE61" s="409"/>
      <c r="EF61" s="410"/>
      <c r="FT61" s="408"/>
      <c r="FU61" s="409"/>
      <c r="FV61" s="409"/>
      <c r="FW61" s="409"/>
      <c r="FX61" s="409"/>
      <c r="FY61" s="409"/>
      <c r="FZ61" s="409"/>
      <c r="GA61" s="409"/>
      <c r="GB61" s="409"/>
      <c r="GC61" s="409"/>
      <c r="GD61" s="409"/>
      <c r="GE61" s="409"/>
      <c r="GF61" s="409"/>
      <c r="GG61" s="409"/>
      <c r="GH61" s="409"/>
      <c r="GI61" s="409"/>
      <c r="GJ61" s="409"/>
      <c r="GK61" s="410"/>
    </row>
    <row r="62" spans="2:193" ht="13.5" customHeight="1" thickBot="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3"/>
    </row>
    <row r="63" spans="2:193" ht="13.5" customHeight="1" thickBot="1"/>
    <row r="64" spans="2:193" ht="13.5" customHeight="1" thickBot="1">
      <c r="B64" s="15"/>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7"/>
      <c r="BK64" s="12" t="s">
        <v>620</v>
      </c>
      <c r="BT64" s="12" t="s">
        <v>621</v>
      </c>
      <c r="CL64" s="44"/>
      <c r="CM64" s="44"/>
      <c r="CN64" s="44"/>
      <c r="CO64" s="44"/>
      <c r="CP64" s="44"/>
      <c r="CQ64" s="44"/>
      <c r="CR64" s="44"/>
      <c r="CS64" s="44"/>
      <c r="CT64" s="44"/>
    </row>
    <row r="65" spans="2:193" ht="13.5" customHeight="1" thickBot="1">
      <c r="B65" s="18"/>
      <c r="C65" s="19" t="s">
        <v>385</v>
      </c>
      <c r="D65" s="19"/>
      <c r="E65" s="19"/>
      <c r="F65" s="19"/>
      <c r="G65" s="19"/>
      <c r="H65" s="249"/>
      <c r="I65" s="418"/>
      <c r="J65" s="418"/>
      <c r="K65" s="418"/>
      <c r="L65" s="418"/>
      <c r="M65" s="418"/>
      <c r="N65" s="418"/>
      <c r="O65" s="418"/>
      <c r="P65" s="418"/>
      <c r="Q65" s="418"/>
      <c r="R65" s="419"/>
      <c r="S65" s="401" t="s">
        <v>505</v>
      </c>
      <c r="T65" s="425"/>
      <c r="U65" s="425"/>
      <c r="V65" s="425"/>
      <c r="W65" s="425"/>
      <c r="X65" s="425"/>
      <c r="Y65" s="262" t="s">
        <v>37</v>
      </c>
      <c r="Z65" s="262"/>
      <c r="AA65" s="262"/>
      <c r="AB65" s="262" t="s">
        <v>36</v>
      </c>
      <c r="AC65" s="262"/>
      <c r="AD65" s="262"/>
      <c r="AE65" s="262" t="s">
        <v>506</v>
      </c>
      <c r="AF65" s="262"/>
      <c r="AG65" s="262"/>
      <c r="AH65" s="262"/>
      <c r="AI65" s="262"/>
      <c r="AJ65" s="262"/>
      <c r="AK65" s="262"/>
      <c r="AL65" s="262" t="s">
        <v>507</v>
      </c>
      <c r="AM65" s="262"/>
      <c r="AN65" s="262"/>
      <c r="AO65" s="262"/>
      <c r="AP65" s="262"/>
      <c r="AQ65" s="262"/>
      <c r="AR65" s="262"/>
      <c r="AS65" s="20"/>
      <c r="BK65" s="384" t="str">
        <f>IF(H65="","",H65&amp;IF(H77="",""," ["&amp;H77&amp;"]"))</f>
        <v/>
      </c>
      <c r="BL65" s="414"/>
      <c r="BM65" s="414"/>
      <c r="BN65" s="414"/>
      <c r="BO65" s="414"/>
      <c r="BP65" s="414"/>
      <c r="BQ65" s="414"/>
      <c r="BR65" s="414"/>
      <c r="BS65" s="415"/>
      <c r="BT65" s="384"/>
      <c r="BU65" s="385"/>
      <c r="BV65" s="385"/>
      <c r="BW65" s="385"/>
      <c r="BX65" s="385"/>
      <c r="BY65" s="385"/>
      <c r="BZ65" s="385"/>
      <c r="CA65" s="385"/>
      <c r="CB65" s="386"/>
      <c r="CC65" s="346" t="str">
        <f>IF(BK65="","",CHAR(149)&amp;" "&amp;BK65&amp;CHAR(10)&amp;BT75)</f>
        <v/>
      </c>
      <c r="CD65" s="403"/>
      <c r="CE65" s="403"/>
      <c r="CF65" s="403"/>
      <c r="CG65" s="403"/>
      <c r="CH65" s="403"/>
      <c r="CI65" s="403"/>
      <c r="CJ65" s="403"/>
      <c r="CK65" s="403"/>
      <c r="CL65" s="403"/>
      <c r="CM65" s="403"/>
      <c r="CN65" s="403"/>
      <c r="CO65" s="403"/>
      <c r="CP65" s="403"/>
      <c r="CQ65" s="403"/>
      <c r="CR65" s="403"/>
      <c r="CS65" s="403"/>
      <c r="CT65" s="404"/>
      <c r="DO65" s="346" t="str">
        <f>IF($BK65="","","[b]"&amp;$BK65&amp;"[/b]"&amp;CHAR(10)&amp;$BT75)</f>
        <v/>
      </c>
      <c r="DP65" s="403"/>
      <c r="DQ65" s="403"/>
      <c r="DR65" s="403"/>
      <c r="DS65" s="403"/>
      <c r="DT65" s="403"/>
      <c r="DU65" s="403"/>
      <c r="DV65" s="403"/>
      <c r="DW65" s="403"/>
      <c r="DX65" s="403"/>
      <c r="DY65" s="403"/>
      <c r="DZ65" s="403"/>
      <c r="EA65" s="403"/>
      <c r="EB65" s="403"/>
      <c r="EC65" s="403"/>
      <c r="ED65" s="403"/>
      <c r="EE65" s="403"/>
      <c r="EF65" s="404"/>
      <c r="FT65" s="346" t="str">
        <f>IF($BK65="","","**"&amp;$BK65&amp;"**"&amp;CHAR(10)&amp;$BT75)</f>
        <v/>
      </c>
      <c r="FU65" s="403"/>
      <c r="FV65" s="403"/>
      <c r="FW65" s="403"/>
      <c r="FX65" s="403"/>
      <c r="FY65" s="403"/>
      <c r="FZ65" s="403"/>
      <c r="GA65" s="403"/>
      <c r="GB65" s="403"/>
      <c r="GC65" s="403"/>
      <c r="GD65" s="403"/>
      <c r="GE65" s="403"/>
      <c r="GF65" s="403"/>
      <c r="GG65" s="403"/>
      <c r="GH65" s="403"/>
      <c r="GI65" s="403"/>
      <c r="GJ65" s="403"/>
      <c r="GK65" s="404"/>
    </row>
    <row r="66" spans="2:193" ht="13.5" customHeight="1" thickBot="1">
      <c r="B66" s="18"/>
      <c r="C66" s="19" t="s">
        <v>495</v>
      </c>
      <c r="D66" s="19"/>
      <c r="E66" s="19"/>
      <c r="F66" s="19"/>
      <c r="G66" s="19"/>
      <c r="H66" s="395"/>
      <c r="I66" s="418"/>
      <c r="J66" s="418"/>
      <c r="K66" s="418"/>
      <c r="L66" s="418"/>
      <c r="M66" s="418"/>
      <c r="N66" s="418"/>
      <c r="O66" s="418"/>
      <c r="P66" s="418"/>
      <c r="Q66" s="418"/>
      <c r="R66" s="419"/>
      <c r="S66" s="395"/>
      <c r="T66" s="418"/>
      <c r="U66" s="418"/>
      <c r="V66" s="418"/>
      <c r="W66" s="418"/>
      <c r="X66" s="419"/>
      <c r="Y66" s="252" t="str">
        <f t="shared" ref="Y66:Y75" si="18">IF($H66="","",IF($S66="Normal",VLOOKUP($H66,EqCompMatrix,7,FALSE),IF($S66="Alternate",1,IF($S66="Dynamic",2,IF($S66="None",0,"")))))</f>
        <v/>
      </c>
      <c r="Z66" s="418"/>
      <c r="AA66" s="419"/>
      <c r="AB66" s="252" t="str">
        <f t="shared" ref="AB66:AB75" si="19">IF($H66="","",VLOOKUP($H66,EqCompMatrix,5,FALSE))</f>
        <v/>
      </c>
      <c r="AC66" s="418"/>
      <c r="AD66" s="419"/>
      <c r="AE66" s="252" t="str">
        <f t="shared" ref="AE66:AE75" si="20">IF($H66="","",VLOOKUP($H66,EqCompMatrix,9,FALSE))</f>
        <v/>
      </c>
      <c r="AF66" s="418"/>
      <c r="AG66" s="418"/>
      <c r="AH66" s="418"/>
      <c r="AI66" s="418"/>
      <c r="AJ66" s="418"/>
      <c r="AK66" s="419"/>
      <c r="AL66" s="398" t="str">
        <f t="shared" ref="AL66:AL75" si="21">IF($H66="","",VLOOKUP($H66,EqCompMatrix,15,FALSE))</f>
        <v/>
      </c>
      <c r="AM66" s="418"/>
      <c r="AN66" s="418"/>
      <c r="AO66" s="418"/>
      <c r="AP66" s="418"/>
      <c r="AQ66" s="418"/>
      <c r="AR66" s="419"/>
      <c r="AS66" s="20"/>
      <c r="BK66" s="413" t="str">
        <f>IF(H66="","",IF(S66="Alternate","Alt: ","")&amp;IF(S66="Dynamic","Dyn: ","")&amp;IF(H66=AE66,AE66&amp;" "&amp;AB66&amp;IF(AL66="",""," ["&amp;AL66&amp;"]"),IF(AE66="Custom",H66&amp;" ("&amp;Y66&amp;" points)"&amp;CHAR(10),H66&amp;": "&amp;AE66&amp;" "&amp;AB66&amp;IF(AL66="",""," ["&amp;AL66&amp;"]"))))</f>
        <v/>
      </c>
      <c r="BL66" s="414"/>
      <c r="BM66" s="414"/>
      <c r="BN66" s="414"/>
      <c r="BO66" s="414"/>
      <c r="BP66" s="414"/>
      <c r="BQ66" s="414"/>
      <c r="BR66" s="414"/>
      <c r="BS66" s="415"/>
      <c r="BT66" s="384" t="str">
        <f>IF(BK66="","","     "&amp;BK66)</f>
        <v/>
      </c>
      <c r="BU66" s="385"/>
      <c r="BV66" s="385"/>
      <c r="BW66" s="385"/>
      <c r="BX66" s="385"/>
      <c r="BY66" s="385"/>
      <c r="BZ66" s="385"/>
      <c r="CA66" s="385"/>
      <c r="CB66" s="386"/>
      <c r="CC66" s="405"/>
      <c r="CD66" s="406"/>
      <c r="CE66" s="406"/>
      <c r="CF66" s="406"/>
      <c r="CG66" s="406"/>
      <c r="CH66" s="406"/>
      <c r="CI66" s="406"/>
      <c r="CJ66" s="406"/>
      <c r="CK66" s="406"/>
      <c r="CL66" s="406"/>
      <c r="CM66" s="406"/>
      <c r="CN66" s="406"/>
      <c r="CO66" s="406"/>
      <c r="CP66" s="406"/>
      <c r="CQ66" s="406"/>
      <c r="CR66" s="406"/>
      <c r="CS66" s="406"/>
      <c r="CT66" s="407"/>
      <c r="DO66" s="405"/>
      <c r="DP66" s="406"/>
      <c r="DQ66" s="406"/>
      <c r="DR66" s="406"/>
      <c r="DS66" s="406"/>
      <c r="DT66" s="406"/>
      <c r="DU66" s="406"/>
      <c r="DV66" s="406"/>
      <c r="DW66" s="406"/>
      <c r="DX66" s="406"/>
      <c r="DY66" s="406"/>
      <c r="DZ66" s="406"/>
      <c r="EA66" s="406"/>
      <c r="EB66" s="406"/>
      <c r="EC66" s="406"/>
      <c r="ED66" s="406"/>
      <c r="EE66" s="406"/>
      <c r="EF66" s="407"/>
      <c r="FT66" s="405"/>
      <c r="FU66" s="406"/>
      <c r="FV66" s="406"/>
      <c r="FW66" s="406"/>
      <c r="FX66" s="406"/>
      <c r="FY66" s="406"/>
      <c r="FZ66" s="406"/>
      <c r="GA66" s="406"/>
      <c r="GB66" s="406"/>
      <c r="GC66" s="406"/>
      <c r="GD66" s="406"/>
      <c r="GE66" s="406"/>
      <c r="GF66" s="406"/>
      <c r="GG66" s="406"/>
      <c r="GH66" s="406"/>
      <c r="GI66" s="406"/>
      <c r="GJ66" s="406"/>
      <c r="GK66" s="407"/>
    </row>
    <row r="67" spans="2:193" ht="13.5" customHeight="1" thickBot="1">
      <c r="B67" s="18"/>
      <c r="C67" s="19" t="s">
        <v>496</v>
      </c>
      <c r="D67" s="19"/>
      <c r="E67" s="19"/>
      <c r="F67" s="19"/>
      <c r="G67" s="19"/>
      <c r="H67" s="395"/>
      <c r="I67" s="418"/>
      <c r="J67" s="418"/>
      <c r="K67" s="418"/>
      <c r="L67" s="418"/>
      <c r="M67" s="418"/>
      <c r="N67" s="418"/>
      <c r="O67" s="418"/>
      <c r="P67" s="418"/>
      <c r="Q67" s="418"/>
      <c r="R67" s="419"/>
      <c r="S67" s="395"/>
      <c r="T67" s="418"/>
      <c r="U67" s="418"/>
      <c r="V67" s="418"/>
      <c r="W67" s="418"/>
      <c r="X67" s="419"/>
      <c r="Y67" s="252" t="str">
        <f t="shared" si="18"/>
        <v/>
      </c>
      <c r="Z67" s="418"/>
      <c r="AA67" s="419"/>
      <c r="AB67" s="252" t="str">
        <f t="shared" si="19"/>
        <v/>
      </c>
      <c r="AC67" s="418"/>
      <c r="AD67" s="419"/>
      <c r="AE67" s="252" t="str">
        <f t="shared" si="20"/>
        <v/>
      </c>
      <c r="AF67" s="418"/>
      <c r="AG67" s="418"/>
      <c r="AH67" s="418"/>
      <c r="AI67" s="418"/>
      <c r="AJ67" s="418"/>
      <c r="AK67" s="419"/>
      <c r="AL67" s="398" t="str">
        <f t="shared" si="21"/>
        <v/>
      </c>
      <c r="AM67" s="418"/>
      <c r="AN67" s="418"/>
      <c r="AO67" s="418"/>
      <c r="AP67" s="418"/>
      <c r="AQ67" s="418"/>
      <c r="AR67" s="419"/>
      <c r="AS67" s="20"/>
      <c r="BK67" s="413" t="str">
        <f t="shared" ref="BK67:BK75" si="22">IF(H67="","",IF(S67="Alternate","Alt: ","")&amp;IF(S67="Dynamic","Dyn: ","")&amp;IF(H67=AE67,AE67&amp;" "&amp;AB67&amp;IF(AL67="",""," ["&amp;AL67&amp;"]"),IF(AE67="Custom",H67&amp;" ("&amp;Y67&amp;" points)"&amp;CHAR(10),H67&amp;": "&amp;AE67&amp;" "&amp;AB67&amp;IF(AL67="",""," ["&amp;AL67&amp;"]"))))</f>
        <v/>
      </c>
      <c r="BL67" s="414"/>
      <c r="BM67" s="414"/>
      <c r="BN67" s="414"/>
      <c r="BO67" s="414"/>
      <c r="BP67" s="414"/>
      <c r="BQ67" s="414"/>
      <c r="BR67" s="414"/>
      <c r="BS67" s="415"/>
      <c r="BT67" s="413" t="str">
        <f>BT66&amp;IF(AE66="Custom","     "&amp;BK67,IF(S67="None",", "&amp;BK67,"")&amp;IF(OR(S67="Alternate",S67="Dynamic"),CHAR(10)&amp;"     "&amp;BK67,"")&amp;IF(S67="Normal",IF(OR(S66="Alternate",S66="Dynamic",S66="None"),CHAR(10)&amp;"     "&amp;BK67,", "&amp;BK67),""))</f>
        <v/>
      </c>
      <c r="BU67" s="416"/>
      <c r="BV67" s="416"/>
      <c r="BW67" s="416"/>
      <c r="BX67" s="416"/>
      <c r="BY67" s="416"/>
      <c r="BZ67" s="416"/>
      <c r="CA67" s="416"/>
      <c r="CB67" s="417"/>
      <c r="CC67" s="405"/>
      <c r="CD67" s="406"/>
      <c r="CE67" s="406"/>
      <c r="CF67" s="406"/>
      <c r="CG67" s="406"/>
      <c r="CH67" s="406"/>
      <c r="CI67" s="406"/>
      <c r="CJ67" s="406"/>
      <c r="CK67" s="406"/>
      <c r="CL67" s="406"/>
      <c r="CM67" s="406"/>
      <c r="CN67" s="406"/>
      <c r="CO67" s="406"/>
      <c r="CP67" s="406"/>
      <c r="CQ67" s="406"/>
      <c r="CR67" s="406"/>
      <c r="CS67" s="406"/>
      <c r="CT67" s="407"/>
      <c r="DO67" s="405"/>
      <c r="DP67" s="406"/>
      <c r="DQ67" s="406"/>
      <c r="DR67" s="406"/>
      <c r="DS67" s="406"/>
      <c r="DT67" s="406"/>
      <c r="DU67" s="406"/>
      <c r="DV67" s="406"/>
      <c r="DW67" s="406"/>
      <c r="DX67" s="406"/>
      <c r="DY67" s="406"/>
      <c r="DZ67" s="406"/>
      <c r="EA67" s="406"/>
      <c r="EB67" s="406"/>
      <c r="EC67" s="406"/>
      <c r="ED67" s="406"/>
      <c r="EE67" s="406"/>
      <c r="EF67" s="407"/>
      <c r="FT67" s="405"/>
      <c r="FU67" s="406"/>
      <c r="FV67" s="406"/>
      <c r="FW67" s="406"/>
      <c r="FX67" s="406"/>
      <c r="FY67" s="406"/>
      <c r="FZ67" s="406"/>
      <c r="GA67" s="406"/>
      <c r="GB67" s="406"/>
      <c r="GC67" s="406"/>
      <c r="GD67" s="406"/>
      <c r="GE67" s="406"/>
      <c r="GF67" s="406"/>
      <c r="GG67" s="406"/>
      <c r="GH67" s="406"/>
      <c r="GI67" s="406"/>
      <c r="GJ67" s="406"/>
      <c r="GK67" s="407"/>
    </row>
    <row r="68" spans="2:193" ht="13.5" customHeight="1" thickBot="1">
      <c r="B68" s="18"/>
      <c r="C68" s="19" t="s">
        <v>497</v>
      </c>
      <c r="D68" s="19"/>
      <c r="E68" s="19"/>
      <c r="F68" s="19"/>
      <c r="G68" s="19"/>
      <c r="H68" s="395"/>
      <c r="I68" s="418"/>
      <c r="J68" s="418"/>
      <c r="K68" s="418"/>
      <c r="L68" s="418"/>
      <c r="M68" s="418"/>
      <c r="N68" s="418"/>
      <c r="O68" s="418"/>
      <c r="P68" s="418"/>
      <c r="Q68" s="418"/>
      <c r="R68" s="419"/>
      <c r="S68" s="395"/>
      <c r="T68" s="418"/>
      <c r="U68" s="418"/>
      <c r="V68" s="418"/>
      <c r="W68" s="418"/>
      <c r="X68" s="419"/>
      <c r="Y68" s="252" t="str">
        <f t="shared" si="18"/>
        <v/>
      </c>
      <c r="Z68" s="418"/>
      <c r="AA68" s="419"/>
      <c r="AB68" s="252" t="str">
        <f t="shared" si="19"/>
        <v/>
      </c>
      <c r="AC68" s="418"/>
      <c r="AD68" s="419"/>
      <c r="AE68" s="252" t="str">
        <f t="shared" si="20"/>
        <v/>
      </c>
      <c r="AF68" s="418"/>
      <c r="AG68" s="418"/>
      <c r="AH68" s="418"/>
      <c r="AI68" s="418"/>
      <c r="AJ68" s="418"/>
      <c r="AK68" s="419"/>
      <c r="AL68" s="398" t="str">
        <f t="shared" si="21"/>
        <v/>
      </c>
      <c r="AM68" s="418"/>
      <c r="AN68" s="418"/>
      <c r="AO68" s="418"/>
      <c r="AP68" s="418"/>
      <c r="AQ68" s="418"/>
      <c r="AR68" s="419"/>
      <c r="AS68" s="20"/>
      <c r="BK68" s="413" t="str">
        <f t="shared" si="22"/>
        <v/>
      </c>
      <c r="BL68" s="414"/>
      <c r="BM68" s="414"/>
      <c r="BN68" s="414"/>
      <c r="BO68" s="414"/>
      <c r="BP68" s="414"/>
      <c r="BQ68" s="414"/>
      <c r="BR68" s="414"/>
      <c r="BS68" s="415"/>
      <c r="BT68" s="413" t="str">
        <f t="shared" ref="BT68:BT75" si="23">BT67&amp;IF(AE67="Custom","     "&amp;BK68,IF(S68="None",", "&amp;BK68,"")&amp;IF(OR(S68="Alternate",S68="Dynamic"),CHAR(10)&amp;"     "&amp;BK68,"")&amp;IF(S68="Normal",IF(OR(S67="Alternate",S67="Dynamic",S67="None"),CHAR(10)&amp;"     "&amp;BK68,", "&amp;BK68),""))</f>
        <v/>
      </c>
      <c r="BU68" s="416"/>
      <c r="BV68" s="416"/>
      <c r="BW68" s="416"/>
      <c r="BX68" s="416"/>
      <c r="BY68" s="416"/>
      <c r="BZ68" s="416"/>
      <c r="CA68" s="416"/>
      <c r="CB68" s="417"/>
      <c r="CC68" s="405"/>
      <c r="CD68" s="406"/>
      <c r="CE68" s="406"/>
      <c r="CF68" s="406"/>
      <c r="CG68" s="406"/>
      <c r="CH68" s="406"/>
      <c r="CI68" s="406"/>
      <c r="CJ68" s="406"/>
      <c r="CK68" s="406"/>
      <c r="CL68" s="406"/>
      <c r="CM68" s="406"/>
      <c r="CN68" s="406"/>
      <c r="CO68" s="406"/>
      <c r="CP68" s="406"/>
      <c r="CQ68" s="406"/>
      <c r="CR68" s="406"/>
      <c r="CS68" s="406"/>
      <c r="CT68" s="407"/>
      <c r="DO68" s="405"/>
      <c r="DP68" s="406"/>
      <c r="DQ68" s="406"/>
      <c r="DR68" s="406"/>
      <c r="DS68" s="406"/>
      <c r="DT68" s="406"/>
      <c r="DU68" s="406"/>
      <c r="DV68" s="406"/>
      <c r="DW68" s="406"/>
      <c r="DX68" s="406"/>
      <c r="DY68" s="406"/>
      <c r="DZ68" s="406"/>
      <c r="EA68" s="406"/>
      <c r="EB68" s="406"/>
      <c r="EC68" s="406"/>
      <c r="ED68" s="406"/>
      <c r="EE68" s="406"/>
      <c r="EF68" s="407"/>
      <c r="FT68" s="405"/>
      <c r="FU68" s="406"/>
      <c r="FV68" s="406"/>
      <c r="FW68" s="406"/>
      <c r="FX68" s="406"/>
      <c r="FY68" s="406"/>
      <c r="FZ68" s="406"/>
      <c r="GA68" s="406"/>
      <c r="GB68" s="406"/>
      <c r="GC68" s="406"/>
      <c r="GD68" s="406"/>
      <c r="GE68" s="406"/>
      <c r="GF68" s="406"/>
      <c r="GG68" s="406"/>
      <c r="GH68" s="406"/>
      <c r="GI68" s="406"/>
      <c r="GJ68" s="406"/>
      <c r="GK68" s="407"/>
    </row>
    <row r="69" spans="2:193" ht="13.5" customHeight="1" thickBot="1">
      <c r="B69" s="18"/>
      <c r="C69" s="19" t="s">
        <v>498</v>
      </c>
      <c r="D69" s="19"/>
      <c r="E69" s="19"/>
      <c r="F69" s="19"/>
      <c r="G69" s="19"/>
      <c r="H69" s="395"/>
      <c r="I69" s="418"/>
      <c r="J69" s="418"/>
      <c r="K69" s="418"/>
      <c r="L69" s="418"/>
      <c r="M69" s="418"/>
      <c r="N69" s="418"/>
      <c r="O69" s="418"/>
      <c r="P69" s="418"/>
      <c r="Q69" s="418"/>
      <c r="R69" s="419"/>
      <c r="S69" s="395"/>
      <c r="T69" s="418"/>
      <c r="U69" s="418"/>
      <c r="V69" s="418"/>
      <c r="W69" s="418"/>
      <c r="X69" s="419"/>
      <c r="Y69" s="252" t="str">
        <f t="shared" si="18"/>
        <v/>
      </c>
      <c r="Z69" s="418"/>
      <c r="AA69" s="419"/>
      <c r="AB69" s="252" t="str">
        <f t="shared" si="19"/>
        <v/>
      </c>
      <c r="AC69" s="418"/>
      <c r="AD69" s="419"/>
      <c r="AE69" s="252" t="str">
        <f t="shared" si="20"/>
        <v/>
      </c>
      <c r="AF69" s="418"/>
      <c r="AG69" s="418"/>
      <c r="AH69" s="418"/>
      <c r="AI69" s="418"/>
      <c r="AJ69" s="418"/>
      <c r="AK69" s="419"/>
      <c r="AL69" s="398" t="str">
        <f t="shared" si="21"/>
        <v/>
      </c>
      <c r="AM69" s="418"/>
      <c r="AN69" s="418"/>
      <c r="AO69" s="418"/>
      <c r="AP69" s="418"/>
      <c r="AQ69" s="418"/>
      <c r="AR69" s="419"/>
      <c r="AS69" s="20"/>
      <c r="BK69" s="413" t="str">
        <f t="shared" si="22"/>
        <v/>
      </c>
      <c r="BL69" s="414"/>
      <c r="BM69" s="414"/>
      <c r="BN69" s="414"/>
      <c r="BO69" s="414"/>
      <c r="BP69" s="414"/>
      <c r="BQ69" s="414"/>
      <c r="BR69" s="414"/>
      <c r="BS69" s="415"/>
      <c r="BT69" s="413" t="str">
        <f t="shared" si="23"/>
        <v/>
      </c>
      <c r="BU69" s="416"/>
      <c r="BV69" s="416"/>
      <c r="BW69" s="416"/>
      <c r="BX69" s="416"/>
      <c r="BY69" s="416"/>
      <c r="BZ69" s="416"/>
      <c r="CA69" s="416"/>
      <c r="CB69" s="417"/>
      <c r="CC69" s="405"/>
      <c r="CD69" s="406"/>
      <c r="CE69" s="406"/>
      <c r="CF69" s="406"/>
      <c r="CG69" s="406"/>
      <c r="CH69" s="406"/>
      <c r="CI69" s="406"/>
      <c r="CJ69" s="406"/>
      <c r="CK69" s="406"/>
      <c r="CL69" s="406"/>
      <c r="CM69" s="406"/>
      <c r="CN69" s="406"/>
      <c r="CO69" s="406"/>
      <c r="CP69" s="406"/>
      <c r="CQ69" s="406"/>
      <c r="CR69" s="406"/>
      <c r="CS69" s="406"/>
      <c r="CT69" s="407"/>
      <c r="DO69" s="405"/>
      <c r="DP69" s="406"/>
      <c r="DQ69" s="406"/>
      <c r="DR69" s="406"/>
      <c r="DS69" s="406"/>
      <c r="DT69" s="406"/>
      <c r="DU69" s="406"/>
      <c r="DV69" s="406"/>
      <c r="DW69" s="406"/>
      <c r="DX69" s="406"/>
      <c r="DY69" s="406"/>
      <c r="DZ69" s="406"/>
      <c r="EA69" s="406"/>
      <c r="EB69" s="406"/>
      <c r="EC69" s="406"/>
      <c r="ED69" s="406"/>
      <c r="EE69" s="406"/>
      <c r="EF69" s="407"/>
      <c r="FT69" s="405"/>
      <c r="FU69" s="406"/>
      <c r="FV69" s="406"/>
      <c r="FW69" s="406"/>
      <c r="FX69" s="406"/>
      <c r="FY69" s="406"/>
      <c r="FZ69" s="406"/>
      <c r="GA69" s="406"/>
      <c r="GB69" s="406"/>
      <c r="GC69" s="406"/>
      <c r="GD69" s="406"/>
      <c r="GE69" s="406"/>
      <c r="GF69" s="406"/>
      <c r="GG69" s="406"/>
      <c r="GH69" s="406"/>
      <c r="GI69" s="406"/>
      <c r="GJ69" s="406"/>
      <c r="GK69" s="407"/>
    </row>
    <row r="70" spans="2:193" ht="13.5" customHeight="1" thickBot="1">
      <c r="B70" s="18"/>
      <c r="C70" s="19" t="s">
        <v>499</v>
      </c>
      <c r="D70" s="19"/>
      <c r="E70" s="19"/>
      <c r="F70" s="19"/>
      <c r="G70" s="19"/>
      <c r="H70" s="395"/>
      <c r="I70" s="418"/>
      <c r="J70" s="418"/>
      <c r="K70" s="418"/>
      <c r="L70" s="418"/>
      <c r="M70" s="418"/>
      <c r="N70" s="418"/>
      <c r="O70" s="418"/>
      <c r="P70" s="418"/>
      <c r="Q70" s="418"/>
      <c r="R70" s="419"/>
      <c r="S70" s="395"/>
      <c r="T70" s="418"/>
      <c r="U70" s="418"/>
      <c r="V70" s="418"/>
      <c r="W70" s="418"/>
      <c r="X70" s="419"/>
      <c r="Y70" s="252" t="str">
        <f t="shared" si="18"/>
        <v/>
      </c>
      <c r="Z70" s="418"/>
      <c r="AA70" s="419"/>
      <c r="AB70" s="252" t="str">
        <f t="shared" si="19"/>
        <v/>
      </c>
      <c r="AC70" s="418"/>
      <c r="AD70" s="419"/>
      <c r="AE70" s="252" t="str">
        <f t="shared" si="20"/>
        <v/>
      </c>
      <c r="AF70" s="418"/>
      <c r="AG70" s="418"/>
      <c r="AH70" s="418"/>
      <c r="AI70" s="418"/>
      <c r="AJ70" s="418"/>
      <c r="AK70" s="419"/>
      <c r="AL70" s="398" t="str">
        <f t="shared" si="21"/>
        <v/>
      </c>
      <c r="AM70" s="418"/>
      <c r="AN70" s="418"/>
      <c r="AO70" s="418"/>
      <c r="AP70" s="418"/>
      <c r="AQ70" s="418"/>
      <c r="AR70" s="419"/>
      <c r="AS70" s="20"/>
      <c r="BK70" s="413" t="str">
        <f t="shared" si="22"/>
        <v/>
      </c>
      <c r="BL70" s="414"/>
      <c r="BM70" s="414"/>
      <c r="BN70" s="414"/>
      <c r="BO70" s="414"/>
      <c r="BP70" s="414"/>
      <c r="BQ70" s="414"/>
      <c r="BR70" s="414"/>
      <c r="BS70" s="415"/>
      <c r="BT70" s="413" t="str">
        <f t="shared" si="23"/>
        <v/>
      </c>
      <c r="BU70" s="416"/>
      <c r="BV70" s="416"/>
      <c r="BW70" s="416"/>
      <c r="BX70" s="416"/>
      <c r="BY70" s="416"/>
      <c r="BZ70" s="416"/>
      <c r="CA70" s="416"/>
      <c r="CB70" s="417"/>
      <c r="CC70" s="405"/>
      <c r="CD70" s="406"/>
      <c r="CE70" s="406"/>
      <c r="CF70" s="406"/>
      <c r="CG70" s="406"/>
      <c r="CH70" s="406"/>
      <c r="CI70" s="406"/>
      <c r="CJ70" s="406"/>
      <c r="CK70" s="406"/>
      <c r="CL70" s="406"/>
      <c r="CM70" s="406"/>
      <c r="CN70" s="406"/>
      <c r="CO70" s="406"/>
      <c r="CP70" s="406"/>
      <c r="CQ70" s="406"/>
      <c r="CR70" s="406"/>
      <c r="CS70" s="406"/>
      <c r="CT70" s="407"/>
      <c r="DO70" s="405"/>
      <c r="DP70" s="406"/>
      <c r="DQ70" s="406"/>
      <c r="DR70" s="406"/>
      <c r="DS70" s="406"/>
      <c r="DT70" s="406"/>
      <c r="DU70" s="406"/>
      <c r="DV70" s="406"/>
      <c r="DW70" s="406"/>
      <c r="DX70" s="406"/>
      <c r="DY70" s="406"/>
      <c r="DZ70" s="406"/>
      <c r="EA70" s="406"/>
      <c r="EB70" s="406"/>
      <c r="EC70" s="406"/>
      <c r="ED70" s="406"/>
      <c r="EE70" s="406"/>
      <c r="EF70" s="407"/>
      <c r="FT70" s="405"/>
      <c r="FU70" s="406"/>
      <c r="FV70" s="406"/>
      <c r="FW70" s="406"/>
      <c r="FX70" s="406"/>
      <c r="FY70" s="406"/>
      <c r="FZ70" s="406"/>
      <c r="GA70" s="406"/>
      <c r="GB70" s="406"/>
      <c r="GC70" s="406"/>
      <c r="GD70" s="406"/>
      <c r="GE70" s="406"/>
      <c r="GF70" s="406"/>
      <c r="GG70" s="406"/>
      <c r="GH70" s="406"/>
      <c r="GI70" s="406"/>
      <c r="GJ70" s="406"/>
      <c r="GK70" s="407"/>
    </row>
    <row r="71" spans="2:193" ht="13.5" customHeight="1" thickBot="1">
      <c r="B71" s="18"/>
      <c r="C71" s="19" t="s">
        <v>500</v>
      </c>
      <c r="D71" s="19"/>
      <c r="E71" s="19"/>
      <c r="F71" s="19"/>
      <c r="G71" s="19"/>
      <c r="H71" s="395"/>
      <c r="I71" s="418"/>
      <c r="J71" s="418"/>
      <c r="K71" s="418"/>
      <c r="L71" s="418"/>
      <c r="M71" s="418"/>
      <c r="N71" s="418"/>
      <c r="O71" s="418"/>
      <c r="P71" s="418"/>
      <c r="Q71" s="418"/>
      <c r="R71" s="419"/>
      <c r="S71" s="395"/>
      <c r="T71" s="418"/>
      <c r="U71" s="418"/>
      <c r="V71" s="418"/>
      <c r="W71" s="418"/>
      <c r="X71" s="419"/>
      <c r="Y71" s="252" t="str">
        <f t="shared" si="18"/>
        <v/>
      </c>
      <c r="Z71" s="418"/>
      <c r="AA71" s="419"/>
      <c r="AB71" s="252" t="str">
        <f t="shared" si="19"/>
        <v/>
      </c>
      <c r="AC71" s="418"/>
      <c r="AD71" s="419"/>
      <c r="AE71" s="252" t="str">
        <f t="shared" si="20"/>
        <v/>
      </c>
      <c r="AF71" s="418"/>
      <c r="AG71" s="418"/>
      <c r="AH71" s="418"/>
      <c r="AI71" s="418"/>
      <c r="AJ71" s="418"/>
      <c r="AK71" s="419"/>
      <c r="AL71" s="398" t="str">
        <f t="shared" si="21"/>
        <v/>
      </c>
      <c r="AM71" s="418"/>
      <c r="AN71" s="418"/>
      <c r="AO71" s="418"/>
      <c r="AP71" s="418"/>
      <c r="AQ71" s="418"/>
      <c r="AR71" s="419"/>
      <c r="AS71" s="20"/>
      <c r="BK71" s="413" t="str">
        <f t="shared" si="22"/>
        <v/>
      </c>
      <c r="BL71" s="414"/>
      <c r="BM71" s="414"/>
      <c r="BN71" s="414"/>
      <c r="BO71" s="414"/>
      <c r="BP71" s="414"/>
      <c r="BQ71" s="414"/>
      <c r="BR71" s="414"/>
      <c r="BS71" s="415"/>
      <c r="BT71" s="413" t="str">
        <f t="shared" si="23"/>
        <v/>
      </c>
      <c r="BU71" s="416"/>
      <c r="BV71" s="416"/>
      <c r="BW71" s="416"/>
      <c r="BX71" s="416"/>
      <c r="BY71" s="416"/>
      <c r="BZ71" s="416"/>
      <c r="CA71" s="416"/>
      <c r="CB71" s="417"/>
      <c r="CC71" s="405"/>
      <c r="CD71" s="406"/>
      <c r="CE71" s="406"/>
      <c r="CF71" s="406"/>
      <c r="CG71" s="406"/>
      <c r="CH71" s="406"/>
      <c r="CI71" s="406"/>
      <c r="CJ71" s="406"/>
      <c r="CK71" s="406"/>
      <c r="CL71" s="406"/>
      <c r="CM71" s="406"/>
      <c r="CN71" s="406"/>
      <c r="CO71" s="406"/>
      <c r="CP71" s="406"/>
      <c r="CQ71" s="406"/>
      <c r="CR71" s="406"/>
      <c r="CS71" s="406"/>
      <c r="CT71" s="407"/>
      <c r="DO71" s="405"/>
      <c r="DP71" s="406"/>
      <c r="DQ71" s="406"/>
      <c r="DR71" s="406"/>
      <c r="DS71" s="406"/>
      <c r="DT71" s="406"/>
      <c r="DU71" s="406"/>
      <c r="DV71" s="406"/>
      <c r="DW71" s="406"/>
      <c r="DX71" s="406"/>
      <c r="DY71" s="406"/>
      <c r="DZ71" s="406"/>
      <c r="EA71" s="406"/>
      <c r="EB71" s="406"/>
      <c r="EC71" s="406"/>
      <c r="ED71" s="406"/>
      <c r="EE71" s="406"/>
      <c r="EF71" s="407"/>
      <c r="FT71" s="405"/>
      <c r="FU71" s="406"/>
      <c r="FV71" s="406"/>
      <c r="FW71" s="406"/>
      <c r="FX71" s="406"/>
      <c r="FY71" s="406"/>
      <c r="FZ71" s="406"/>
      <c r="GA71" s="406"/>
      <c r="GB71" s="406"/>
      <c r="GC71" s="406"/>
      <c r="GD71" s="406"/>
      <c r="GE71" s="406"/>
      <c r="GF71" s="406"/>
      <c r="GG71" s="406"/>
      <c r="GH71" s="406"/>
      <c r="GI71" s="406"/>
      <c r="GJ71" s="406"/>
      <c r="GK71" s="407"/>
    </row>
    <row r="72" spans="2:193" ht="13.5" customHeight="1" thickBot="1">
      <c r="B72" s="18"/>
      <c r="C72" s="19" t="s">
        <v>501</v>
      </c>
      <c r="D72" s="19"/>
      <c r="E72" s="19"/>
      <c r="F72" s="19"/>
      <c r="G72" s="19"/>
      <c r="H72" s="395"/>
      <c r="I72" s="418"/>
      <c r="J72" s="418"/>
      <c r="K72" s="418"/>
      <c r="L72" s="418"/>
      <c r="M72" s="418"/>
      <c r="N72" s="418"/>
      <c r="O72" s="418"/>
      <c r="P72" s="418"/>
      <c r="Q72" s="418"/>
      <c r="R72" s="419"/>
      <c r="S72" s="395"/>
      <c r="T72" s="418"/>
      <c r="U72" s="418"/>
      <c r="V72" s="418"/>
      <c r="W72" s="418"/>
      <c r="X72" s="419"/>
      <c r="Y72" s="252" t="str">
        <f t="shared" si="18"/>
        <v/>
      </c>
      <c r="Z72" s="418"/>
      <c r="AA72" s="419"/>
      <c r="AB72" s="252" t="str">
        <f t="shared" si="19"/>
        <v/>
      </c>
      <c r="AC72" s="418"/>
      <c r="AD72" s="419"/>
      <c r="AE72" s="252" t="str">
        <f t="shared" si="20"/>
        <v/>
      </c>
      <c r="AF72" s="418"/>
      <c r="AG72" s="418"/>
      <c r="AH72" s="418"/>
      <c r="AI72" s="418"/>
      <c r="AJ72" s="418"/>
      <c r="AK72" s="419"/>
      <c r="AL72" s="398" t="str">
        <f t="shared" si="21"/>
        <v/>
      </c>
      <c r="AM72" s="418"/>
      <c r="AN72" s="418"/>
      <c r="AO72" s="418"/>
      <c r="AP72" s="418"/>
      <c r="AQ72" s="418"/>
      <c r="AR72" s="419"/>
      <c r="AS72" s="20"/>
      <c r="BK72" s="413" t="str">
        <f t="shared" si="22"/>
        <v/>
      </c>
      <c r="BL72" s="414"/>
      <c r="BM72" s="414"/>
      <c r="BN72" s="414"/>
      <c r="BO72" s="414"/>
      <c r="BP72" s="414"/>
      <c r="BQ72" s="414"/>
      <c r="BR72" s="414"/>
      <c r="BS72" s="415"/>
      <c r="BT72" s="413" t="str">
        <f t="shared" si="23"/>
        <v/>
      </c>
      <c r="BU72" s="416"/>
      <c r="BV72" s="416"/>
      <c r="BW72" s="416"/>
      <c r="BX72" s="416"/>
      <c r="BY72" s="416"/>
      <c r="BZ72" s="416"/>
      <c r="CA72" s="416"/>
      <c r="CB72" s="417"/>
      <c r="CC72" s="405"/>
      <c r="CD72" s="406"/>
      <c r="CE72" s="406"/>
      <c r="CF72" s="406"/>
      <c r="CG72" s="406"/>
      <c r="CH72" s="406"/>
      <c r="CI72" s="406"/>
      <c r="CJ72" s="406"/>
      <c r="CK72" s="406"/>
      <c r="CL72" s="406"/>
      <c r="CM72" s="406"/>
      <c r="CN72" s="406"/>
      <c r="CO72" s="406"/>
      <c r="CP72" s="406"/>
      <c r="CQ72" s="406"/>
      <c r="CR72" s="406"/>
      <c r="CS72" s="406"/>
      <c r="CT72" s="407"/>
      <c r="DO72" s="405"/>
      <c r="DP72" s="406"/>
      <c r="DQ72" s="406"/>
      <c r="DR72" s="406"/>
      <c r="DS72" s="406"/>
      <c r="DT72" s="406"/>
      <c r="DU72" s="406"/>
      <c r="DV72" s="406"/>
      <c r="DW72" s="406"/>
      <c r="DX72" s="406"/>
      <c r="DY72" s="406"/>
      <c r="DZ72" s="406"/>
      <c r="EA72" s="406"/>
      <c r="EB72" s="406"/>
      <c r="EC72" s="406"/>
      <c r="ED72" s="406"/>
      <c r="EE72" s="406"/>
      <c r="EF72" s="407"/>
      <c r="FT72" s="405"/>
      <c r="FU72" s="406"/>
      <c r="FV72" s="406"/>
      <c r="FW72" s="406"/>
      <c r="FX72" s="406"/>
      <c r="FY72" s="406"/>
      <c r="FZ72" s="406"/>
      <c r="GA72" s="406"/>
      <c r="GB72" s="406"/>
      <c r="GC72" s="406"/>
      <c r="GD72" s="406"/>
      <c r="GE72" s="406"/>
      <c r="GF72" s="406"/>
      <c r="GG72" s="406"/>
      <c r="GH72" s="406"/>
      <c r="GI72" s="406"/>
      <c r="GJ72" s="406"/>
      <c r="GK72" s="407"/>
    </row>
    <row r="73" spans="2:193" ht="13.5" customHeight="1" thickBot="1">
      <c r="B73" s="18"/>
      <c r="C73" s="19" t="s">
        <v>502</v>
      </c>
      <c r="D73" s="19"/>
      <c r="E73" s="19"/>
      <c r="F73" s="19"/>
      <c r="G73" s="19"/>
      <c r="H73" s="395"/>
      <c r="I73" s="418"/>
      <c r="J73" s="418"/>
      <c r="K73" s="418"/>
      <c r="L73" s="418"/>
      <c r="M73" s="418"/>
      <c r="N73" s="418"/>
      <c r="O73" s="418"/>
      <c r="P73" s="418"/>
      <c r="Q73" s="418"/>
      <c r="R73" s="419"/>
      <c r="S73" s="395"/>
      <c r="T73" s="418"/>
      <c r="U73" s="418"/>
      <c r="V73" s="418"/>
      <c r="W73" s="418"/>
      <c r="X73" s="419"/>
      <c r="Y73" s="252" t="str">
        <f t="shared" si="18"/>
        <v/>
      </c>
      <c r="Z73" s="418"/>
      <c r="AA73" s="419"/>
      <c r="AB73" s="252" t="str">
        <f t="shared" si="19"/>
        <v/>
      </c>
      <c r="AC73" s="418"/>
      <c r="AD73" s="419"/>
      <c r="AE73" s="252" t="str">
        <f t="shared" si="20"/>
        <v/>
      </c>
      <c r="AF73" s="418"/>
      <c r="AG73" s="418"/>
      <c r="AH73" s="418"/>
      <c r="AI73" s="418"/>
      <c r="AJ73" s="418"/>
      <c r="AK73" s="419"/>
      <c r="AL73" s="398" t="str">
        <f t="shared" si="21"/>
        <v/>
      </c>
      <c r="AM73" s="418"/>
      <c r="AN73" s="418"/>
      <c r="AO73" s="418"/>
      <c r="AP73" s="418"/>
      <c r="AQ73" s="418"/>
      <c r="AR73" s="419"/>
      <c r="AS73" s="20"/>
      <c r="BK73" s="413" t="str">
        <f t="shared" si="22"/>
        <v/>
      </c>
      <c r="BL73" s="414"/>
      <c r="BM73" s="414"/>
      <c r="BN73" s="414"/>
      <c r="BO73" s="414"/>
      <c r="BP73" s="414"/>
      <c r="BQ73" s="414"/>
      <c r="BR73" s="414"/>
      <c r="BS73" s="415"/>
      <c r="BT73" s="413" t="str">
        <f t="shared" si="23"/>
        <v/>
      </c>
      <c r="BU73" s="416"/>
      <c r="BV73" s="416"/>
      <c r="BW73" s="416"/>
      <c r="BX73" s="416"/>
      <c r="BY73" s="416"/>
      <c r="BZ73" s="416"/>
      <c r="CA73" s="416"/>
      <c r="CB73" s="417"/>
      <c r="CC73" s="405"/>
      <c r="CD73" s="406"/>
      <c r="CE73" s="406"/>
      <c r="CF73" s="406"/>
      <c r="CG73" s="406"/>
      <c r="CH73" s="406"/>
      <c r="CI73" s="406"/>
      <c r="CJ73" s="406"/>
      <c r="CK73" s="406"/>
      <c r="CL73" s="406"/>
      <c r="CM73" s="406"/>
      <c r="CN73" s="406"/>
      <c r="CO73" s="406"/>
      <c r="CP73" s="406"/>
      <c r="CQ73" s="406"/>
      <c r="CR73" s="406"/>
      <c r="CS73" s="406"/>
      <c r="CT73" s="407"/>
      <c r="DO73" s="405"/>
      <c r="DP73" s="406"/>
      <c r="DQ73" s="406"/>
      <c r="DR73" s="406"/>
      <c r="DS73" s="406"/>
      <c r="DT73" s="406"/>
      <c r="DU73" s="406"/>
      <c r="DV73" s="406"/>
      <c r="DW73" s="406"/>
      <c r="DX73" s="406"/>
      <c r="DY73" s="406"/>
      <c r="DZ73" s="406"/>
      <c r="EA73" s="406"/>
      <c r="EB73" s="406"/>
      <c r="EC73" s="406"/>
      <c r="ED73" s="406"/>
      <c r="EE73" s="406"/>
      <c r="EF73" s="407"/>
      <c r="FT73" s="405"/>
      <c r="FU73" s="406"/>
      <c r="FV73" s="406"/>
      <c r="FW73" s="406"/>
      <c r="FX73" s="406"/>
      <c r="FY73" s="406"/>
      <c r="FZ73" s="406"/>
      <c r="GA73" s="406"/>
      <c r="GB73" s="406"/>
      <c r="GC73" s="406"/>
      <c r="GD73" s="406"/>
      <c r="GE73" s="406"/>
      <c r="GF73" s="406"/>
      <c r="GG73" s="406"/>
      <c r="GH73" s="406"/>
      <c r="GI73" s="406"/>
      <c r="GJ73" s="406"/>
      <c r="GK73" s="407"/>
    </row>
    <row r="74" spans="2:193" ht="13.5" customHeight="1" thickBot="1">
      <c r="B74" s="18"/>
      <c r="C74" s="19" t="s">
        <v>503</v>
      </c>
      <c r="D74" s="19"/>
      <c r="E74" s="19"/>
      <c r="F74" s="19"/>
      <c r="G74" s="19"/>
      <c r="H74" s="395"/>
      <c r="I74" s="418"/>
      <c r="J74" s="418"/>
      <c r="K74" s="418"/>
      <c r="L74" s="418"/>
      <c r="M74" s="418"/>
      <c r="N74" s="418"/>
      <c r="O74" s="418"/>
      <c r="P74" s="418"/>
      <c r="Q74" s="418"/>
      <c r="R74" s="419"/>
      <c r="S74" s="395"/>
      <c r="T74" s="418"/>
      <c r="U74" s="418"/>
      <c r="V74" s="418"/>
      <c r="W74" s="418"/>
      <c r="X74" s="419"/>
      <c r="Y74" s="252" t="str">
        <f t="shared" si="18"/>
        <v/>
      </c>
      <c r="Z74" s="418"/>
      <c r="AA74" s="419"/>
      <c r="AB74" s="252" t="str">
        <f t="shared" si="19"/>
        <v/>
      </c>
      <c r="AC74" s="418"/>
      <c r="AD74" s="419"/>
      <c r="AE74" s="252" t="str">
        <f t="shared" si="20"/>
        <v/>
      </c>
      <c r="AF74" s="418"/>
      <c r="AG74" s="418"/>
      <c r="AH74" s="418"/>
      <c r="AI74" s="418"/>
      <c r="AJ74" s="418"/>
      <c r="AK74" s="419"/>
      <c r="AL74" s="398" t="str">
        <f t="shared" si="21"/>
        <v/>
      </c>
      <c r="AM74" s="418"/>
      <c r="AN74" s="418"/>
      <c r="AO74" s="418"/>
      <c r="AP74" s="418"/>
      <c r="AQ74" s="418"/>
      <c r="AR74" s="419"/>
      <c r="AS74" s="20"/>
      <c r="BK74" s="413" t="str">
        <f t="shared" si="22"/>
        <v/>
      </c>
      <c r="BL74" s="414"/>
      <c r="BM74" s="414"/>
      <c r="BN74" s="414"/>
      <c r="BO74" s="414"/>
      <c r="BP74" s="414"/>
      <c r="BQ74" s="414"/>
      <c r="BR74" s="414"/>
      <c r="BS74" s="415"/>
      <c r="BT74" s="413" t="str">
        <f t="shared" si="23"/>
        <v/>
      </c>
      <c r="BU74" s="416"/>
      <c r="BV74" s="416"/>
      <c r="BW74" s="416"/>
      <c r="BX74" s="416"/>
      <c r="BY74" s="416"/>
      <c r="BZ74" s="416"/>
      <c r="CA74" s="416"/>
      <c r="CB74" s="417"/>
      <c r="CC74" s="405"/>
      <c r="CD74" s="406"/>
      <c r="CE74" s="406"/>
      <c r="CF74" s="406"/>
      <c r="CG74" s="406"/>
      <c r="CH74" s="406"/>
      <c r="CI74" s="406"/>
      <c r="CJ74" s="406"/>
      <c r="CK74" s="406"/>
      <c r="CL74" s="406"/>
      <c r="CM74" s="406"/>
      <c r="CN74" s="406"/>
      <c r="CO74" s="406"/>
      <c r="CP74" s="406"/>
      <c r="CQ74" s="406"/>
      <c r="CR74" s="406"/>
      <c r="CS74" s="406"/>
      <c r="CT74" s="407"/>
      <c r="DO74" s="405"/>
      <c r="DP74" s="406"/>
      <c r="DQ74" s="406"/>
      <c r="DR74" s="406"/>
      <c r="DS74" s="406"/>
      <c r="DT74" s="406"/>
      <c r="DU74" s="406"/>
      <c r="DV74" s="406"/>
      <c r="DW74" s="406"/>
      <c r="DX74" s="406"/>
      <c r="DY74" s="406"/>
      <c r="DZ74" s="406"/>
      <c r="EA74" s="406"/>
      <c r="EB74" s="406"/>
      <c r="EC74" s="406"/>
      <c r="ED74" s="406"/>
      <c r="EE74" s="406"/>
      <c r="EF74" s="407"/>
      <c r="FT74" s="405"/>
      <c r="FU74" s="406"/>
      <c r="FV74" s="406"/>
      <c r="FW74" s="406"/>
      <c r="FX74" s="406"/>
      <c r="FY74" s="406"/>
      <c r="FZ74" s="406"/>
      <c r="GA74" s="406"/>
      <c r="GB74" s="406"/>
      <c r="GC74" s="406"/>
      <c r="GD74" s="406"/>
      <c r="GE74" s="406"/>
      <c r="GF74" s="406"/>
      <c r="GG74" s="406"/>
      <c r="GH74" s="406"/>
      <c r="GI74" s="406"/>
      <c r="GJ74" s="406"/>
      <c r="GK74" s="407"/>
    </row>
    <row r="75" spans="2:193" ht="13.5" customHeight="1" thickBot="1">
      <c r="B75" s="18"/>
      <c r="C75" s="19" t="s">
        <v>504</v>
      </c>
      <c r="D75" s="19"/>
      <c r="E75" s="19"/>
      <c r="F75" s="19"/>
      <c r="G75" s="19"/>
      <c r="H75" s="395"/>
      <c r="I75" s="418"/>
      <c r="J75" s="418"/>
      <c r="K75" s="418"/>
      <c r="L75" s="418"/>
      <c r="M75" s="418"/>
      <c r="N75" s="418"/>
      <c r="O75" s="418"/>
      <c r="P75" s="418"/>
      <c r="Q75" s="418"/>
      <c r="R75" s="419"/>
      <c r="S75" s="395"/>
      <c r="T75" s="418"/>
      <c r="U75" s="418"/>
      <c r="V75" s="418"/>
      <c r="W75" s="418"/>
      <c r="X75" s="419"/>
      <c r="Y75" s="252" t="str">
        <f t="shared" si="18"/>
        <v/>
      </c>
      <c r="Z75" s="418"/>
      <c r="AA75" s="419"/>
      <c r="AB75" s="252" t="str">
        <f t="shared" si="19"/>
        <v/>
      </c>
      <c r="AC75" s="418"/>
      <c r="AD75" s="419"/>
      <c r="AE75" s="252" t="str">
        <f t="shared" si="20"/>
        <v/>
      </c>
      <c r="AF75" s="418"/>
      <c r="AG75" s="418"/>
      <c r="AH75" s="418"/>
      <c r="AI75" s="418"/>
      <c r="AJ75" s="418"/>
      <c r="AK75" s="419"/>
      <c r="AL75" s="398" t="str">
        <f t="shared" si="21"/>
        <v/>
      </c>
      <c r="AM75" s="418"/>
      <c r="AN75" s="418"/>
      <c r="AO75" s="418"/>
      <c r="AP75" s="418"/>
      <c r="AQ75" s="418"/>
      <c r="AR75" s="419"/>
      <c r="AS75" s="20"/>
      <c r="BK75" s="413" t="str">
        <f t="shared" si="22"/>
        <v/>
      </c>
      <c r="BL75" s="414"/>
      <c r="BM75" s="414"/>
      <c r="BN75" s="414"/>
      <c r="BO75" s="414"/>
      <c r="BP75" s="414"/>
      <c r="BQ75" s="414"/>
      <c r="BR75" s="414"/>
      <c r="BS75" s="415"/>
      <c r="BT75" s="413" t="str">
        <f t="shared" si="23"/>
        <v/>
      </c>
      <c r="BU75" s="416"/>
      <c r="BV75" s="416"/>
      <c r="BW75" s="416"/>
      <c r="BX75" s="416"/>
      <c r="BY75" s="416"/>
      <c r="BZ75" s="416"/>
      <c r="CA75" s="416"/>
      <c r="CB75" s="417"/>
      <c r="CC75" s="405"/>
      <c r="CD75" s="406"/>
      <c r="CE75" s="406"/>
      <c r="CF75" s="406"/>
      <c r="CG75" s="406"/>
      <c r="CH75" s="406"/>
      <c r="CI75" s="406"/>
      <c r="CJ75" s="406"/>
      <c r="CK75" s="406"/>
      <c r="CL75" s="406"/>
      <c r="CM75" s="406"/>
      <c r="CN75" s="406"/>
      <c r="CO75" s="406"/>
      <c r="CP75" s="406"/>
      <c r="CQ75" s="406"/>
      <c r="CR75" s="406"/>
      <c r="CS75" s="406"/>
      <c r="CT75" s="407"/>
      <c r="DO75" s="405"/>
      <c r="DP75" s="406"/>
      <c r="DQ75" s="406"/>
      <c r="DR75" s="406"/>
      <c r="DS75" s="406"/>
      <c r="DT75" s="406"/>
      <c r="DU75" s="406"/>
      <c r="DV75" s="406"/>
      <c r="DW75" s="406"/>
      <c r="DX75" s="406"/>
      <c r="DY75" s="406"/>
      <c r="DZ75" s="406"/>
      <c r="EA75" s="406"/>
      <c r="EB75" s="406"/>
      <c r="EC75" s="406"/>
      <c r="ED75" s="406"/>
      <c r="EE75" s="406"/>
      <c r="EF75" s="407"/>
      <c r="FT75" s="405"/>
      <c r="FU75" s="406"/>
      <c r="FV75" s="406"/>
      <c r="FW75" s="406"/>
      <c r="FX75" s="406"/>
      <c r="FY75" s="406"/>
      <c r="FZ75" s="406"/>
      <c r="GA75" s="406"/>
      <c r="GB75" s="406"/>
      <c r="GC75" s="406"/>
      <c r="GD75" s="406"/>
      <c r="GE75" s="406"/>
      <c r="GF75" s="406"/>
      <c r="GG75" s="406"/>
      <c r="GH75" s="406"/>
      <c r="GI75" s="406"/>
      <c r="GJ75" s="406"/>
      <c r="GK75" s="407"/>
    </row>
    <row r="76" spans="2:193" ht="13.5" customHeight="1" thickBot="1">
      <c r="B76" s="18"/>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20"/>
      <c r="CC76" s="405"/>
      <c r="CD76" s="406"/>
      <c r="CE76" s="406"/>
      <c r="CF76" s="406"/>
      <c r="CG76" s="406"/>
      <c r="CH76" s="406"/>
      <c r="CI76" s="406"/>
      <c r="CJ76" s="406"/>
      <c r="CK76" s="406"/>
      <c r="CL76" s="406"/>
      <c r="CM76" s="406"/>
      <c r="CN76" s="406"/>
      <c r="CO76" s="406"/>
      <c r="CP76" s="406"/>
      <c r="CQ76" s="406"/>
      <c r="CR76" s="406"/>
      <c r="CS76" s="406"/>
      <c r="CT76" s="407"/>
      <c r="DO76" s="405"/>
      <c r="DP76" s="406"/>
      <c r="DQ76" s="406"/>
      <c r="DR76" s="406"/>
      <c r="DS76" s="406"/>
      <c r="DT76" s="406"/>
      <c r="DU76" s="406"/>
      <c r="DV76" s="406"/>
      <c r="DW76" s="406"/>
      <c r="DX76" s="406"/>
      <c r="DY76" s="406"/>
      <c r="DZ76" s="406"/>
      <c r="EA76" s="406"/>
      <c r="EB76" s="406"/>
      <c r="EC76" s="406"/>
      <c r="ED76" s="406"/>
      <c r="EE76" s="406"/>
      <c r="EF76" s="407"/>
      <c r="FT76" s="405"/>
      <c r="FU76" s="406"/>
      <c r="FV76" s="406"/>
      <c r="FW76" s="406"/>
      <c r="FX76" s="406"/>
      <c r="FY76" s="406"/>
      <c r="FZ76" s="406"/>
      <c r="GA76" s="406"/>
      <c r="GB76" s="406"/>
      <c r="GC76" s="406"/>
      <c r="GD76" s="406"/>
      <c r="GE76" s="406"/>
      <c r="GF76" s="406"/>
      <c r="GG76" s="406"/>
      <c r="GH76" s="406"/>
      <c r="GI76" s="406"/>
      <c r="GJ76" s="406"/>
      <c r="GK76" s="407"/>
    </row>
    <row r="77" spans="2:193" ht="13.5" customHeight="1" thickBot="1">
      <c r="B77" s="18"/>
      <c r="C77" s="388" t="s">
        <v>525</v>
      </c>
      <c r="D77" s="388"/>
      <c r="E77" s="388"/>
      <c r="F77" s="388"/>
      <c r="G77" s="421"/>
      <c r="H77" s="389"/>
      <c r="I77" s="422"/>
      <c r="J77" s="422"/>
      <c r="K77" s="422"/>
      <c r="L77" s="422"/>
      <c r="M77" s="422"/>
      <c r="N77" s="422"/>
      <c r="O77" s="422"/>
      <c r="P77" s="422"/>
      <c r="Q77" s="422"/>
      <c r="R77" s="422"/>
      <c r="S77" s="422"/>
      <c r="T77" s="422"/>
      <c r="U77" s="422"/>
      <c r="V77" s="422"/>
      <c r="W77" s="422"/>
      <c r="X77" s="422"/>
      <c r="Y77" s="422"/>
      <c r="Z77" s="422"/>
      <c r="AA77" s="422"/>
      <c r="AB77" s="422"/>
      <c r="AC77" s="422"/>
      <c r="AD77" s="422"/>
      <c r="AE77" s="422"/>
      <c r="AF77" s="422"/>
      <c r="AG77" s="422"/>
      <c r="AH77" s="422"/>
      <c r="AI77" s="423"/>
      <c r="AJ77" s="19"/>
      <c r="AK77" s="19" t="s">
        <v>526</v>
      </c>
      <c r="AL77" s="19"/>
      <c r="AM77" s="19"/>
      <c r="AN77" s="19"/>
      <c r="AO77" s="252" t="str">
        <f>IF(H65="","",SUM(Y66:AA75))</f>
        <v/>
      </c>
      <c r="AP77" s="418"/>
      <c r="AQ77" s="418"/>
      <c r="AR77" s="419"/>
      <c r="AS77" s="20"/>
      <c r="CC77" s="405"/>
      <c r="CD77" s="406"/>
      <c r="CE77" s="406"/>
      <c r="CF77" s="406"/>
      <c r="CG77" s="406"/>
      <c r="CH77" s="406"/>
      <c r="CI77" s="406"/>
      <c r="CJ77" s="406"/>
      <c r="CK77" s="406"/>
      <c r="CL77" s="406"/>
      <c r="CM77" s="406"/>
      <c r="CN77" s="406"/>
      <c r="CO77" s="406"/>
      <c r="CP77" s="406"/>
      <c r="CQ77" s="406"/>
      <c r="CR77" s="406"/>
      <c r="CS77" s="406"/>
      <c r="CT77" s="407"/>
      <c r="DO77" s="405"/>
      <c r="DP77" s="406"/>
      <c r="DQ77" s="406"/>
      <c r="DR77" s="406"/>
      <c r="DS77" s="406"/>
      <c r="DT77" s="406"/>
      <c r="DU77" s="406"/>
      <c r="DV77" s="406"/>
      <c r="DW77" s="406"/>
      <c r="DX77" s="406"/>
      <c r="DY77" s="406"/>
      <c r="DZ77" s="406"/>
      <c r="EA77" s="406"/>
      <c r="EB77" s="406"/>
      <c r="EC77" s="406"/>
      <c r="ED77" s="406"/>
      <c r="EE77" s="406"/>
      <c r="EF77" s="407"/>
      <c r="FT77" s="405"/>
      <c r="FU77" s="406"/>
      <c r="FV77" s="406"/>
      <c r="FW77" s="406"/>
      <c r="FX77" s="406"/>
      <c r="FY77" s="406"/>
      <c r="FZ77" s="406"/>
      <c r="GA77" s="406"/>
      <c r="GB77" s="406"/>
      <c r="GC77" s="406"/>
      <c r="GD77" s="406"/>
      <c r="GE77" s="406"/>
      <c r="GF77" s="406"/>
      <c r="GG77" s="406"/>
      <c r="GH77" s="406"/>
      <c r="GI77" s="406"/>
      <c r="GJ77" s="406"/>
      <c r="GK77" s="407"/>
    </row>
    <row r="78" spans="2:193" ht="13.5" customHeight="1" thickBot="1">
      <c r="B78" s="18"/>
      <c r="C78" s="388"/>
      <c r="D78" s="388"/>
      <c r="E78" s="388"/>
      <c r="F78" s="388"/>
      <c r="G78" s="421"/>
      <c r="H78" s="424"/>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6"/>
      <c r="AJ78" s="19"/>
      <c r="AK78" s="19"/>
      <c r="AL78" s="19"/>
      <c r="AM78" s="19"/>
      <c r="AN78" s="19"/>
      <c r="AO78" s="19"/>
      <c r="AP78" s="19"/>
      <c r="AQ78" s="19"/>
      <c r="AR78" s="19"/>
      <c r="AS78" s="20"/>
      <c r="CC78" s="408"/>
      <c r="CD78" s="409"/>
      <c r="CE78" s="409"/>
      <c r="CF78" s="409"/>
      <c r="CG78" s="409"/>
      <c r="CH78" s="409"/>
      <c r="CI78" s="409"/>
      <c r="CJ78" s="409"/>
      <c r="CK78" s="409"/>
      <c r="CL78" s="409"/>
      <c r="CM78" s="409"/>
      <c r="CN78" s="409"/>
      <c r="CO78" s="409"/>
      <c r="CP78" s="409"/>
      <c r="CQ78" s="409"/>
      <c r="CR78" s="409"/>
      <c r="CS78" s="409"/>
      <c r="CT78" s="410"/>
      <c r="DO78" s="408"/>
      <c r="DP78" s="409"/>
      <c r="DQ78" s="409"/>
      <c r="DR78" s="409"/>
      <c r="DS78" s="409"/>
      <c r="DT78" s="409"/>
      <c r="DU78" s="409"/>
      <c r="DV78" s="409"/>
      <c r="DW78" s="409"/>
      <c r="DX78" s="409"/>
      <c r="DY78" s="409"/>
      <c r="DZ78" s="409"/>
      <c r="EA78" s="409"/>
      <c r="EB78" s="409"/>
      <c r="EC78" s="409"/>
      <c r="ED78" s="409"/>
      <c r="EE78" s="409"/>
      <c r="EF78" s="410"/>
      <c r="FT78" s="408"/>
      <c r="FU78" s="409"/>
      <c r="FV78" s="409"/>
      <c r="FW78" s="409"/>
      <c r="FX78" s="409"/>
      <c r="FY78" s="409"/>
      <c r="FZ78" s="409"/>
      <c r="GA78" s="409"/>
      <c r="GB78" s="409"/>
      <c r="GC78" s="409"/>
      <c r="GD78" s="409"/>
      <c r="GE78" s="409"/>
      <c r="GF78" s="409"/>
      <c r="GG78" s="409"/>
      <c r="GH78" s="409"/>
      <c r="GI78" s="409"/>
      <c r="GJ78" s="409"/>
      <c r="GK78" s="410"/>
    </row>
    <row r="79" spans="2:193" ht="13.5" customHeight="1" thickBo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3"/>
    </row>
    <row r="80" spans="2:193" ht="13.5" customHeight="1" thickBot="1"/>
    <row r="81" spans="2:193" ht="13.5" customHeight="1" thickBot="1">
      <c r="B81" s="15"/>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7"/>
      <c r="BK81" s="12" t="s">
        <v>620</v>
      </c>
      <c r="BT81" s="12" t="s">
        <v>621</v>
      </c>
      <c r="CL81" s="44"/>
      <c r="CM81" s="44"/>
      <c r="CN81" s="44"/>
      <c r="CO81" s="44"/>
      <c r="CP81" s="44"/>
      <c r="CQ81" s="44"/>
      <c r="CR81" s="44"/>
      <c r="CS81" s="44"/>
      <c r="CT81" s="44"/>
    </row>
    <row r="82" spans="2:193" ht="13.5" customHeight="1" thickBot="1">
      <c r="B82" s="18"/>
      <c r="C82" s="19" t="s">
        <v>385</v>
      </c>
      <c r="D82" s="19"/>
      <c r="E82" s="19"/>
      <c r="F82" s="19"/>
      <c r="G82" s="19"/>
      <c r="H82" s="249"/>
      <c r="I82" s="418"/>
      <c r="J82" s="418"/>
      <c r="K82" s="418"/>
      <c r="L82" s="418"/>
      <c r="M82" s="418"/>
      <c r="N82" s="418"/>
      <c r="O82" s="418"/>
      <c r="P82" s="418"/>
      <c r="Q82" s="418"/>
      <c r="R82" s="419"/>
      <c r="S82" s="401" t="s">
        <v>505</v>
      </c>
      <c r="T82" s="425"/>
      <c r="U82" s="425"/>
      <c r="V82" s="425"/>
      <c r="W82" s="425"/>
      <c r="X82" s="425"/>
      <c r="Y82" s="262" t="s">
        <v>37</v>
      </c>
      <c r="Z82" s="262"/>
      <c r="AA82" s="262"/>
      <c r="AB82" s="262" t="s">
        <v>36</v>
      </c>
      <c r="AC82" s="262"/>
      <c r="AD82" s="262"/>
      <c r="AE82" s="262" t="s">
        <v>506</v>
      </c>
      <c r="AF82" s="262"/>
      <c r="AG82" s="262"/>
      <c r="AH82" s="262"/>
      <c r="AI82" s="262"/>
      <c r="AJ82" s="262"/>
      <c r="AK82" s="262"/>
      <c r="AL82" s="262" t="s">
        <v>507</v>
      </c>
      <c r="AM82" s="262"/>
      <c r="AN82" s="262"/>
      <c r="AO82" s="262"/>
      <c r="AP82" s="262"/>
      <c r="AQ82" s="262"/>
      <c r="AR82" s="262"/>
      <c r="AS82" s="20"/>
      <c r="BK82" s="384" t="str">
        <f>IF(H82="","",H82&amp;IF(H94="",""," ["&amp;H94&amp;"]"))</f>
        <v/>
      </c>
      <c r="BL82" s="414"/>
      <c r="BM82" s="414"/>
      <c r="BN82" s="414"/>
      <c r="BO82" s="414"/>
      <c r="BP82" s="414"/>
      <c r="BQ82" s="414"/>
      <c r="BR82" s="414"/>
      <c r="BS82" s="415"/>
      <c r="BT82" s="384"/>
      <c r="BU82" s="385"/>
      <c r="BV82" s="385"/>
      <c r="BW82" s="385"/>
      <c r="BX82" s="385"/>
      <c r="BY82" s="385"/>
      <c r="BZ82" s="385"/>
      <c r="CA82" s="385"/>
      <c r="CB82" s="386"/>
      <c r="CC82" s="346" t="str">
        <f>IF(BK82="","",CHAR(149)&amp;" "&amp;BK82&amp;CHAR(10)&amp;BT92)</f>
        <v/>
      </c>
      <c r="CD82" s="403"/>
      <c r="CE82" s="403"/>
      <c r="CF82" s="403"/>
      <c r="CG82" s="403"/>
      <c r="CH82" s="403"/>
      <c r="CI82" s="403"/>
      <c r="CJ82" s="403"/>
      <c r="CK82" s="403"/>
      <c r="CL82" s="403"/>
      <c r="CM82" s="403"/>
      <c r="CN82" s="403"/>
      <c r="CO82" s="403"/>
      <c r="CP82" s="403"/>
      <c r="CQ82" s="403"/>
      <c r="CR82" s="403"/>
      <c r="CS82" s="403"/>
      <c r="CT82" s="404"/>
      <c r="DO82" s="346" t="str">
        <f>IF($BK82="","","[b]"&amp;$BK82&amp;"[/b]"&amp;CHAR(10)&amp;$BT92)</f>
        <v/>
      </c>
      <c r="DP82" s="403"/>
      <c r="DQ82" s="403"/>
      <c r="DR82" s="403"/>
      <c r="DS82" s="403"/>
      <c r="DT82" s="403"/>
      <c r="DU82" s="403"/>
      <c r="DV82" s="403"/>
      <c r="DW82" s="403"/>
      <c r="DX82" s="403"/>
      <c r="DY82" s="403"/>
      <c r="DZ82" s="403"/>
      <c r="EA82" s="403"/>
      <c r="EB82" s="403"/>
      <c r="EC82" s="403"/>
      <c r="ED82" s="403"/>
      <c r="EE82" s="403"/>
      <c r="EF82" s="404"/>
      <c r="FT82" s="346" t="str">
        <f>IF($BK82="","","**"&amp;$BK82&amp;"**"&amp;CHAR(10)&amp;$BT92)</f>
        <v/>
      </c>
      <c r="FU82" s="403"/>
      <c r="FV82" s="403"/>
      <c r="FW82" s="403"/>
      <c r="FX82" s="403"/>
      <c r="FY82" s="403"/>
      <c r="FZ82" s="403"/>
      <c r="GA82" s="403"/>
      <c r="GB82" s="403"/>
      <c r="GC82" s="403"/>
      <c r="GD82" s="403"/>
      <c r="GE82" s="403"/>
      <c r="GF82" s="403"/>
      <c r="GG82" s="403"/>
      <c r="GH82" s="403"/>
      <c r="GI82" s="403"/>
      <c r="GJ82" s="403"/>
      <c r="GK82" s="404"/>
    </row>
    <row r="83" spans="2:193" ht="13.5" customHeight="1" thickBot="1">
      <c r="B83" s="18"/>
      <c r="C83" s="19" t="s">
        <v>495</v>
      </c>
      <c r="D83" s="19"/>
      <c r="E83" s="19"/>
      <c r="F83" s="19"/>
      <c r="G83" s="19"/>
      <c r="H83" s="395"/>
      <c r="I83" s="418"/>
      <c r="J83" s="418"/>
      <c r="K83" s="418"/>
      <c r="L83" s="418"/>
      <c r="M83" s="418"/>
      <c r="N83" s="418"/>
      <c r="O83" s="418"/>
      <c r="P83" s="418"/>
      <c r="Q83" s="418"/>
      <c r="R83" s="419"/>
      <c r="S83" s="395"/>
      <c r="T83" s="418"/>
      <c r="U83" s="418"/>
      <c r="V83" s="418"/>
      <c r="W83" s="418"/>
      <c r="X83" s="419"/>
      <c r="Y83" s="252" t="str">
        <f t="shared" ref="Y83:Y92" si="24">IF($H83="","",IF($S83="Normal",VLOOKUP($H83,EqCompMatrix,7,FALSE),IF($S83="Alternate",1,IF($S83="Dynamic",2,IF($S83="None",0,"")))))</f>
        <v/>
      </c>
      <c r="Z83" s="418"/>
      <c r="AA83" s="419"/>
      <c r="AB83" s="252" t="str">
        <f t="shared" ref="AB83:AB92" si="25">IF($H83="","",VLOOKUP($H83,EqCompMatrix,5,FALSE))</f>
        <v/>
      </c>
      <c r="AC83" s="418"/>
      <c r="AD83" s="419"/>
      <c r="AE83" s="252" t="str">
        <f t="shared" ref="AE83:AE92" si="26">IF($H83="","",VLOOKUP($H83,EqCompMatrix,9,FALSE))</f>
        <v/>
      </c>
      <c r="AF83" s="418"/>
      <c r="AG83" s="418"/>
      <c r="AH83" s="418"/>
      <c r="AI83" s="418"/>
      <c r="AJ83" s="418"/>
      <c r="AK83" s="419"/>
      <c r="AL83" s="398" t="str">
        <f t="shared" ref="AL83:AL92" si="27">IF($H83="","",VLOOKUP($H83,EqCompMatrix,15,FALSE))</f>
        <v/>
      </c>
      <c r="AM83" s="418"/>
      <c r="AN83" s="418"/>
      <c r="AO83" s="418"/>
      <c r="AP83" s="418"/>
      <c r="AQ83" s="418"/>
      <c r="AR83" s="419"/>
      <c r="AS83" s="20"/>
      <c r="BK83" s="413" t="str">
        <f>IF(H83="","",IF(S83="Alternate","Alt: ","")&amp;IF(S83="Dynamic","Dyn: ","")&amp;IF(H83=AE83,AE83&amp;" "&amp;AB83&amp;IF(AL83="",""," ["&amp;AL83&amp;"]"),IF(AE83="Custom",H83&amp;" ("&amp;Y83&amp;" points)"&amp;CHAR(10),H83&amp;": "&amp;AE83&amp;" "&amp;AB83&amp;IF(AL83="",""," ["&amp;AL83&amp;"]"))))</f>
        <v/>
      </c>
      <c r="BL83" s="414"/>
      <c r="BM83" s="414"/>
      <c r="BN83" s="414"/>
      <c r="BO83" s="414"/>
      <c r="BP83" s="414"/>
      <c r="BQ83" s="414"/>
      <c r="BR83" s="414"/>
      <c r="BS83" s="415"/>
      <c r="BT83" s="384" t="str">
        <f>IF(BK83="","","     "&amp;BK83)</f>
        <v/>
      </c>
      <c r="BU83" s="385"/>
      <c r="BV83" s="385"/>
      <c r="BW83" s="385"/>
      <c r="BX83" s="385"/>
      <c r="BY83" s="385"/>
      <c r="BZ83" s="385"/>
      <c r="CA83" s="385"/>
      <c r="CB83" s="386"/>
      <c r="CC83" s="405"/>
      <c r="CD83" s="406"/>
      <c r="CE83" s="406"/>
      <c r="CF83" s="406"/>
      <c r="CG83" s="406"/>
      <c r="CH83" s="406"/>
      <c r="CI83" s="406"/>
      <c r="CJ83" s="406"/>
      <c r="CK83" s="406"/>
      <c r="CL83" s="406"/>
      <c r="CM83" s="406"/>
      <c r="CN83" s="406"/>
      <c r="CO83" s="406"/>
      <c r="CP83" s="406"/>
      <c r="CQ83" s="406"/>
      <c r="CR83" s="406"/>
      <c r="CS83" s="406"/>
      <c r="CT83" s="407"/>
      <c r="DO83" s="405"/>
      <c r="DP83" s="406"/>
      <c r="DQ83" s="406"/>
      <c r="DR83" s="406"/>
      <c r="DS83" s="406"/>
      <c r="DT83" s="406"/>
      <c r="DU83" s="406"/>
      <c r="DV83" s="406"/>
      <c r="DW83" s="406"/>
      <c r="DX83" s="406"/>
      <c r="DY83" s="406"/>
      <c r="DZ83" s="406"/>
      <c r="EA83" s="406"/>
      <c r="EB83" s="406"/>
      <c r="EC83" s="406"/>
      <c r="ED83" s="406"/>
      <c r="EE83" s="406"/>
      <c r="EF83" s="407"/>
      <c r="FT83" s="405"/>
      <c r="FU83" s="406"/>
      <c r="FV83" s="406"/>
      <c r="FW83" s="406"/>
      <c r="FX83" s="406"/>
      <c r="FY83" s="406"/>
      <c r="FZ83" s="406"/>
      <c r="GA83" s="406"/>
      <c r="GB83" s="406"/>
      <c r="GC83" s="406"/>
      <c r="GD83" s="406"/>
      <c r="GE83" s="406"/>
      <c r="GF83" s="406"/>
      <c r="GG83" s="406"/>
      <c r="GH83" s="406"/>
      <c r="GI83" s="406"/>
      <c r="GJ83" s="406"/>
      <c r="GK83" s="407"/>
    </row>
    <row r="84" spans="2:193" ht="13.5" customHeight="1" thickBot="1">
      <c r="B84" s="18"/>
      <c r="C84" s="19" t="s">
        <v>496</v>
      </c>
      <c r="D84" s="19"/>
      <c r="E84" s="19"/>
      <c r="F84" s="19"/>
      <c r="G84" s="19"/>
      <c r="H84" s="395"/>
      <c r="I84" s="418"/>
      <c r="J84" s="418"/>
      <c r="K84" s="418"/>
      <c r="L84" s="418"/>
      <c r="M84" s="418"/>
      <c r="N84" s="418"/>
      <c r="O84" s="418"/>
      <c r="P84" s="418"/>
      <c r="Q84" s="418"/>
      <c r="R84" s="419"/>
      <c r="S84" s="395"/>
      <c r="T84" s="418"/>
      <c r="U84" s="418"/>
      <c r="V84" s="418"/>
      <c r="W84" s="418"/>
      <c r="X84" s="419"/>
      <c r="Y84" s="252" t="str">
        <f t="shared" si="24"/>
        <v/>
      </c>
      <c r="Z84" s="418"/>
      <c r="AA84" s="419"/>
      <c r="AB84" s="252" t="str">
        <f t="shared" si="25"/>
        <v/>
      </c>
      <c r="AC84" s="418"/>
      <c r="AD84" s="419"/>
      <c r="AE84" s="252" t="str">
        <f t="shared" si="26"/>
        <v/>
      </c>
      <c r="AF84" s="418"/>
      <c r="AG84" s="418"/>
      <c r="AH84" s="418"/>
      <c r="AI84" s="418"/>
      <c r="AJ84" s="418"/>
      <c r="AK84" s="419"/>
      <c r="AL84" s="398" t="str">
        <f t="shared" si="27"/>
        <v/>
      </c>
      <c r="AM84" s="418"/>
      <c r="AN84" s="418"/>
      <c r="AO84" s="418"/>
      <c r="AP84" s="418"/>
      <c r="AQ84" s="418"/>
      <c r="AR84" s="419"/>
      <c r="AS84" s="20"/>
      <c r="BK84" s="413" t="str">
        <f t="shared" ref="BK84:BK92" si="28">IF(H84="","",IF(S84="Alternate","Alt: ","")&amp;IF(S84="Dynamic","Dyn: ","")&amp;IF(H84=AE84,AE84&amp;" "&amp;AB84&amp;IF(AL84="",""," ["&amp;AL84&amp;"]"),IF(AE84="Custom",H84&amp;" ("&amp;Y84&amp;" points)"&amp;CHAR(10),H84&amp;": "&amp;AE84&amp;" "&amp;AB84&amp;IF(AL84="",""," ["&amp;AL84&amp;"]"))))</f>
        <v/>
      </c>
      <c r="BL84" s="414"/>
      <c r="BM84" s="414"/>
      <c r="BN84" s="414"/>
      <c r="BO84" s="414"/>
      <c r="BP84" s="414"/>
      <c r="BQ84" s="414"/>
      <c r="BR84" s="414"/>
      <c r="BS84" s="415"/>
      <c r="BT84" s="413" t="str">
        <f>BT83&amp;IF(AE83="Custom","     "&amp;BK84,IF(S84="None",", "&amp;BK84,"")&amp;IF(OR(S84="Alternate",S84="Dynamic"),CHAR(10)&amp;"     "&amp;BK84,"")&amp;IF(S84="Normal",IF(OR(S83="Alternate",S83="Dynamic",S83="None"),CHAR(10)&amp;"     "&amp;BK84,", "&amp;BK84),""))</f>
        <v/>
      </c>
      <c r="BU84" s="416"/>
      <c r="BV84" s="416"/>
      <c r="BW84" s="416"/>
      <c r="BX84" s="416"/>
      <c r="BY84" s="416"/>
      <c r="BZ84" s="416"/>
      <c r="CA84" s="416"/>
      <c r="CB84" s="417"/>
      <c r="CC84" s="405"/>
      <c r="CD84" s="406"/>
      <c r="CE84" s="406"/>
      <c r="CF84" s="406"/>
      <c r="CG84" s="406"/>
      <c r="CH84" s="406"/>
      <c r="CI84" s="406"/>
      <c r="CJ84" s="406"/>
      <c r="CK84" s="406"/>
      <c r="CL84" s="406"/>
      <c r="CM84" s="406"/>
      <c r="CN84" s="406"/>
      <c r="CO84" s="406"/>
      <c r="CP84" s="406"/>
      <c r="CQ84" s="406"/>
      <c r="CR84" s="406"/>
      <c r="CS84" s="406"/>
      <c r="CT84" s="407"/>
      <c r="DO84" s="405"/>
      <c r="DP84" s="406"/>
      <c r="DQ84" s="406"/>
      <c r="DR84" s="406"/>
      <c r="DS84" s="406"/>
      <c r="DT84" s="406"/>
      <c r="DU84" s="406"/>
      <c r="DV84" s="406"/>
      <c r="DW84" s="406"/>
      <c r="DX84" s="406"/>
      <c r="DY84" s="406"/>
      <c r="DZ84" s="406"/>
      <c r="EA84" s="406"/>
      <c r="EB84" s="406"/>
      <c r="EC84" s="406"/>
      <c r="ED84" s="406"/>
      <c r="EE84" s="406"/>
      <c r="EF84" s="407"/>
      <c r="FT84" s="405"/>
      <c r="FU84" s="406"/>
      <c r="FV84" s="406"/>
      <c r="FW84" s="406"/>
      <c r="FX84" s="406"/>
      <c r="FY84" s="406"/>
      <c r="FZ84" s="406"/>
      <c r="GA84" s="406"/>
      <c r="GB84" s="406"/>
      <c r="GC84" s="406"/>
      <c r="GD84" s="406"/>
      <c r="GE84" s="406"/>
      <c r="GF84" s="406"/>
      <c r="GG84" s="406"/>
      <c r="GH84" s="406"/>
      <c r="GI84" s="406"/>
      <c r="GJ84" s="406"/>
      <c r="GK84" s="407"/>
    </row>
    <row r="85" spans="2:193" ht="13.5" customHeight="1" thickBot="1">
      <c r="B85" s="18"/>
      <c r="C85" s="19" t="s">
        <v>497</v>
      </c>
      <c r="D85" s="19"/>
      <c r="E85" s="19"/>
      <c r="F85" s="19"/>
      <c r="G85" s="19"/>
      <c r="H85" s="395"/>
      <c r="I85" s="418"/>
      <c r="J85" s="418"/>
      <c r="K85" s="418"/>
      <c r="L85" s="418"/>
      <c r="M85" s="418"/>
      <c r="N85" s="418"/>
      <c r="O85" s="418"/>
      <c r="P85" s="418"/>
      <c r="Q85" s="418"/>
      <c r="R85" s="419"/>
      <c r="S85" s="395"/>
      <c r="T85" s="418"/>
      <c r="U85" s="418"/>
      <c r="V85" s="418"/>
      <c r="W85" s="418"/>
      <c r="X85" s="419"/>
      <c r="Y85" s="252" t="str">
        <f t="shared" si="24"/>
        <v/>
      </c>
      <c r="Z85" s="418"/>
      <c r="AA85" s="419"/>
      <c r="AB85" s="252" t="str">
        <f t="shared" si="25"/>
        <v/>
      </c>
      <c r="AC85" s="418"/>
      <c r="AD85" s="419"/>
      <c r="AE85" s="252" t="str">
        <f t="shared" si="26"/>
        <v/>
      </c>
      <c r="AF85" s="418"/>
      <c r="AG85" s="418"/>
      <c r="AH85" s="418"/>
      <c r="AI85" s="418"/>
      <c r="AJ85" s="418"/>
      <c r="AK85" s="419"/>
      <c r="AL85" s="398" t="str">
        <f t="shared" si="27"/>
        <v/>
      </c>
      <c r="AM85" s="418"/>
      <c r="AN85" s="418"/>
      <c r="AO85" s="418"/>
      <c r="AP85" s="418"/>
      <c r="AQ85" s="418"/>
      <c r="AR85" s="419"/>
      <c r="AS85" s="20"/>
      <c r="BK85" s="413" t="str">
        <f t="shared" si="28"/>
        <v/>
      </c>
      <c r="BL85" s="414"/>
      <c r="BM85" s="414"/>
      <c r="BN85" s="414"/>
      <c r="BO85" s="414"/>
      <c r="BP85" s="414"/>
      <c r="BQ85" s="414"/>
      <c r="BR85" s="414"/>
      <c r="BS85" s="415"/>
      <c r="BT85" s="413" t="str">
        <f t="shared" ref="BT85:BT92" si="29">BT84&amp;IF(AE84="Custom","     "&amp;BK85,IF(S85="None",", "&amp;BK85,"")&amp;IF(OR(S85="Alternate",S85="Dynamic"),CHAR(10)&amp;"     "&amp;BK85,"")&amp;IF(S85="Normal",IF(OR(S84="Alternate",S84="Dynamic",S84="None"),CHAR(10)&amp;"     "&amp;BK85,", "&amp;BK85),""))</f>
        <v/>
      </c>
      <c r="BU85" s="416"/>
      <c r="BV85" s="416"/>
      <c r="BW85" s="416"/>
      <c r="BX85" s="416"/>
      <c r="BY85" s="416"/>
      <c r="BZ85" s="416"/>
      <c r="CA85" s="416"/>
      <c r="CB85" s="417"/>
      <c r="CC85" s="405"/>
      <c r="CD85" s="406"/>
      <c r="CE85" s="406"/>
      <c r="CF85" s="406"/>
      <c r="CG85" s="406"/>
      <c r="CH85" s="406"/>
      <c r="CI85" s="406"/>
      <c r="CJ85" s="406"/>
      <c r="CK85" s="406"/>
      <c r="CL85" s="406"/>
      <c r="CM85" s="406"/>
      <c r="CN85" s="406"/>
      <c r="CO85" s="406"/>
      <c r="CP85" s="406"/>
      <c r="CQ85" s="406"/>
      <c r="CR85" s="406"/>
      <c r="CS85" s="406"/>
      <c r="CT85" s="407"/>
      <c r="DO85" s="405"/>
      <c r="DP85" s="406"/>
      <c r="DQ85" s="406"/>
      <c r="DR85" s="406"/>
      <c r="DS85" s="406"/>
      <c r="DT85" s="406"/>
      <c r="DU85" s="406"/>
      <c r="DV85" s="406"/>
      <c r="DW85" s="406"/>
      <c r="DX85" s="406"/>
      <c r="DY85" s="406"/>
      <c r="DZ85" s="406"/>
      <c r="EA85" s="406"/>
      <c r="EB85" s="406"/>
      <c r="EC85" s="406"/>
      <c r="ED85" s="406"/>
      <c r="EE85" s="406"/>
      <c r="EF85" s="407"/>
      <c r="FT85" s="405"/>
      <c r="FU85" s="406"/>
      <c r="FV85" s="406"/>
      <c r="FW85" s="406"/>
      <c r="FX85" s="406"/>
      <c r="FY85" s="406"/>
      <c r="FZ85" s="406"/>
      <c r="GA85" s="406"/>
      <c r="GB85" s="406"/>
      <c r="GC85" s="406"/>
      <c r="GD85" s="406"/>
      <c r="GE85" s="406"/>
      <c r="GF85" s="406"/>
      <c r="GG85" s="406"/>
      <c r="GH85" s="406"/>
      <c r="GI85" s="406"/>
      <c r="GJ85" s="406"/>
      <c r="GK85" s="407"/>
    </row>
    <row r="86" spans="2:193" ht="13.5" customHeight="1" thickBot="1">
      <c r="B86" s="18"/>
      <c r="C86" s="19" t="s">
        <v>498</v>
      </c>
      <c r="D86" s="19"/>
      <c r="E86" s="19"/>
      <c r="F86" s="19"/>
      <c r="G86" s="19"/>
      <c r="H86" s="395"/>
      <c r="I86" s="418"/>
      <c r="J86" s="418"/>
      <c r="K86" s="418"/>
      <c r="L86" s="418"/>
      <c r="M86" s="418"/>
      <c r="N86" s="418"/>
      <c r="O86" s="418"/>
      <c r="P86" s="418"/>
      <c r="Q86" s="418"/>
      <c r="R86" s="419"/>
      <c r="S86" s="395"/>
      <c r="T86" s="418"/>
      <c r="U86" s="418"/>
      <c r="V86" s="418"/>
      <c r="W86" s="418"/>
      <c r="X86" s="419"/>
      <c r="Y86" s="252" t="str">
        <f t="shared" si="24"/>
        <v/>
      </c>
      <c r="Z86" s="418"/>
      <c r="AA86" s="419"/>
      <c r="AB86" s="252" t="str">
        <f t="shared" si="25"/>
        <v/>
      </c>
      <c r="AC86" s="418"/>
      <c r="AD86" s="419"/>
      <c r="AE86" s="252" t="str">
        <f t="shared" si="26"/>
        <v/>
      </c>
      <c r="AF86" s="418"/>
      <c r="AG86" s="418"/>
      <c r="AH86" s="418"/>
      <c r="AI86" s="418"/>
      <c r="AJ86" s="418"/>
      <c r="AK86" s="419"/>
      <c r="AL86" s="398" t="str">
        <f t="shared" si="27"/>
        <v/>
      </c>
      <c r="AM86" s="418"/>
      <c r="AN86" s="418"/>
      <c r="AO86" s="418"/>
      <c r="AP86" s="418"/>
      <c r="AQ86" s="418"/>
      <c r="AR86" s="419"/>
      <c r="AS86" s="20"/>
      <c r="BK86" s="413" t="str">
        <f t="shared" si="28"/>
        <v/>
      </c>
      <c r="BL86" s="414"/>
      <c r="BM86" s="414"/>
      <c r="BN86" s="414"/>
      <c r="BO86" s="414"/>
      <c r="BP86" s="414"/>
      <c r="BQ86" s="414"/>
      <c r="BR86" s="414"/>
      <c r="BS86" s="415"/>
      <c r="BT86" s="413" t="str">
        <f t="shared" si="29"/>
        <v/>
      </c>
      <c r="BU86" s="416"/>
      <c r="BV86" s="416"/>
      <c r="BW86" s="416"/>
      <c r="BX86" s="416"/>
      <c r="BY86" s="416"/>
      <c r="BZ86" s="416"/>
      <c r="CA86" s="416"/>
      <c r="CB86" s="417"/>
      <c r="CC86" s="405"/>
      <c r="CD86" s="406"/>
      <c r="CE86" s="406"/>
      <c r="CF86" s="406"/>
      <c r="CG86" s="406"/>
      <c r="CH86" s="406"/>
      <c r="CI86" s="406"/>
      <c r="CJ86" s="406"/>
      <c r="CK86" s="406"/>
      <c r="CL86" s="406"/>
      <c r="CM86" s="406"/>
      <c r="CN86" s="406"/>
      <c r="CO86" s="406"/>
      <c r="CP86" s="406"/>
      <c r="CQ86" s="406"/>
      <c r="CR86" s="406"/>
      <c r="CS86" s="406"/>
      <c r="CT86" s="407"/>
      <c r="DO86" s="405"/>
      <c r="DP86" s="406"/>
      <c r="DQ86" s="406"/>
      <c r="DR86" s="406"/>
      <c r="DS86" s="406"/>
      <c r="DT86" s="406"/>
      <c r="DU86" s="406"/>
      <c r="DV86" s="406"/>
      <c r="DW86" s="406"/>
      <c r="DX86" s="406"/>
      <c r="DY86" s="406"/>
      <c r="DZ86" s="406"/>
      <c r="EA86" s="406"/>
      <c r="EB86" s="406"/>
      <c r="EC86" s="406"/>
      <c r="ED86" s="406"/>
      <c r="EE86" s="406"/>
      <c r="EF86" s="407"/>
      <c r="FT86" s="405"/>
      <c r="FU86" s="406"/>
      <c r="FV86" s="406"/>
      <c r="FW86" s="406"/>
      <c r="FX86" s="406"/>
      <c r="FY86" s="406"/>
      <c r="FZ86" s="406"/>
      <c r="GA86" s="406"/>
      <c r="GB86" s="406"/>
      <c r="GC86" s="406"/>
      <c r="GD86" s="406"/>
      <c r="GE86" s="406"/>
      <c r="GF86" s="406"/>
      <c r="GG86" s="406"/>
      <c r="GH86" s="406"/>
      <c r="GI86" s="406"/>
      <c r="GJ86" s="406"/>
      <c r="GK86" s="407"/>
    </row>
    <row r="87" spans="2:193" ht="13.5" customHeight="1" thickBot="1">
      <c r="B87" s="18"/>
      <c r="C87" s="19" t="s">
        <v>499</v>
      </c>
      <c r="D87" s="19"/>
      <c r="E87" s="19"/>
      <c r="F87" s="19"/>
      <c r="G87" s="19"/>
      <c r="H87" s="395"/>
      <c r="I87" s="418"/>
      <c r="J87" s="418"/>
      <c r="K87" s="418"/>
      <c r="L87" s="418"/>
      <c r="M87" s="418"/>
      <c r="N87" s="418"/>
      <c r="O87" s="418"/>
      <c r="P87" s="418"/>
      <c r="Q87" s="418"/>
      <c r="R87" s="419"/>
      <c r="S87" s="395"/>
      <c r="T87" s="418"/>
      <c r="U87" s="418"/>
      <c r="V87" s="418"/>
      <c r="W87" s="418"/>
      <c r="X87" s="419"/>
      <c r="Y87" s="252" t="str">
        <f t="shared" si="24"/>
        <v/>
      </c>
      <c r="Z87" s="418"/>
      <c r="AA87" s="419"/>
      <c r="AB87" s="252" t="str">
        <f t="shared" si="25"/>
        <v/>
      </c>
      <c r="AC87" s="418"/>
      <c r="AD87" s="419"/>
      <c r="AE87" s="252" t="str">
        <f t="shared" si="26"/>
        <v/>
      </c>
      <c r="AF87" s="418"/>
      <c r="AG87" s="418"/>
      <c r="AH87" s="418"/>
      <c r="AI87" s="418"/>
      <c r="AJ87" s="418"/>
      <c r="AK87" s="419"/>
      <c r="AL87" s="398" t="str">
        <f t="shared" si="27"/>
        <v/>
      </c>
      <c r="AM87" s="418"/>
      <c r="AN87" s="418"/>
      <c r="AO87" s="418"/>
      <c r="AP87" s="418"/>
      <c r="AQ87" s="418"/>
      <c r="AR87" s="419"/>
      <c r="AS87" s="20"/>
      <c r="BK87" s="413" t="str">
        <f t="shared" si="28"/>
        <v/>
      </c>
      <c r="BL87" s="414"/>
      <c r="BM87" s="414"/>
      <c r="BN87" s="414"/>
      <c r="BO87" s="414"/>
      <c r="BP87" s="414"/>
      <c r="BQ87" s="414"/>
      <c r="BR87" s="414"/>
      <c r="BS87" s="415"/>
      <c r="BT87" s="413" t="str">
        <f t="shared" si="29"/>
        <v/>
      </c>
      <c r="BU87" s="416"/>
      <c r="BV87" s="416"/>
      <c r="BW87" s="416"/>
      <c r="BX87" s="416"/>
      <c r="BY87" s="416"/>
      <c r="BZ87" s="416"/>
      <c r="CA87" s="416"/>
      <c r="CB87" s="417"/>
      <c r="CC87" s="405"/>
      <c r="CD87" s="406"/>
      <c r="CE87" s="406"/>
      <c r="CF87" s="406"/>
      <c r="CG87" s="406"/>
      <c r="CH87" s="406"/>
      <c r="CI87" s="406"/>
      <c r="CJ87" s="406"/>
      <c r="CK87" s="406"/>
      <c r="CL87" s="406"/>
      <c r="CM87" s="406"/>
      <c r="CN87" s="406"/>
      <c r="CO87" s="406"/>
      <c r="CP87" s="406"/>
      <c r="CQ87" s="406"/>
      <c r="CR87" s="406"/>
      <c r="CS87" s="406"/>
      <c r="CT87" s="407"/>
      <c r="DO87" s="405"/>
      <c r="DP87" s="406"/>
      <c r="DQ87" s="406"/>
      <c r="DR87" s="406"/>
      <c r="DS87" s="406"/>
      <c r="DT87" s="406"/>
      <c r="DU87" s="406"/>
      <c r="DV87" s="406"/>
      <c r="DW87" s="406"/>
      <c r="DX87" s="406"/>
      <c r="DY87" s="406"/>
      <c r="DZ87" s="406"/>
      <c r="EA87" s="406"/>
      <c r="EB87" s="406"/>
      <c r="EC87" s="406"/>
      <c r="ED87" s="406"/>
      <c r="EE87" s="406"/>
      <c r="EF87" s="407"/>
      <c r="FT87" s="405"/>
      <c r="FU87" s="406"/>
      <c r="FV87" s="406"/>
      <c r="FW87" s="406"/>
      <c r="FX87" s="406"/>
      <c r="FY87" s="406"/>
      <c r="FZ87" s="406"/>
      <c r="GA87" s="406"/>
      <c r="GB87" s="406"/>
      <c r="GC87" s="406"/>
      <c r="GD87" s="406"/>
      <c r="GE87" s="406"/>
      <c r="GF87" s="406"/>
      <c r="GG87" s="406"/>
      <c r="GH87" s="406"/>
      <c r="GI87" s="406"/>
      <c r="GJ87" s="406"/>
      <c r="GK87" s="407"/>
    </row>
    <row r="88" spans="2:193" ht="13.5" customHeight="1" thickBot="1">
      <c r="B88" s="18"/>
      <c r="C88" s="19" t="s">
        <v>500</v>
      </c>
      <c r="D88" s="19"/>
      <c r="E88" s="19"/>
      <c r="F88" s="19"/>
      <c r="G88" s="19"/>
      <c r="H88" s="395"/>
      <c r="I88" s="418"/>
      <c r="J88" s="418"/>
      <c r="K88" s="418"/>
      <c r="L88" s="418"/>
      <c r="M88" s="418"/>
      <c r="N88" s="418"/>
      <c r="O88" s="418"/>
      <c r="P88" s="418"/>
      <c r="Q88" s="418"/>
      <c r="R88" s="419"/>
      <c r="S88" s="395"/>
      <c r="T88" s="418"/>
      <c r="U88" s="418"/>
      <c r="V88" s="418"/>
      <c r="W88" s="418"/>
      <c r="X88" s="419"/>
      <c r="Y88" s="252" t="str">
        <f t="shared" si="24"/>
        <v/>
      </c>
      <c r="Z88" s="418"/>
      <c r="AA88" s="419"/>
      <c r="AB88" s="252" t="str">
        <f t="shared" si="25"/>
        <v/>
      </c>
      <c r="AC88" s="418"/>
      <c r="AD88" s="419"/>
      <c r="AE88" s="252" t="str">
        <f t="shared" si="26"/>
        <v/>
      </c>
      <c r="AF88" s="418"/>
      <c r="AG88" s="418"/>
      <c r="AH88" s="418"/>
      <c r="AI88" s="418"/>
      <c r="AJ88" s="418"/>
      <c r="AK88" s="419"/>
      <c r="AL88" s="398" t="str">
        <f t="shared" si="27"/>
        <v/>
      </c>
      <c r="AM88" s="418"/>
      <c r="AN88" s="418"/>
      <c r="AO88" s="418"/>
      <c r="AP88" s="418"/>
      <c r="AQ88" s="418"/>
      <c r="AR88" s="419"/>
      <c r="AS88" s="20"/>
      <c r="BK88" s="413" t="str">
        <f t="shared" si="28"/>
        <v/>
      </c>
      <c r="BL88" s="414"/>
      <c r="BM88" s="414"/>
      <c r="BN88" s="414"/>
      <c r="BO88" s="414"/>
      <c r="BP88" s="414"/>
      <c r="BQ88" s="414"/>
      <c r="BR88" s="414"/>
      <c r="BS88" s="415"/>
      <c r="BT88" s="413" t="str">
        <f t="shared" si="29"/>
        <v/>
      </c>
      <c r="BU88" s="416"/>
      <c r="BV88" s="416"/>
      <c r="BW88" s="416"/>
      <c r="BX88" s="416"/>
      <c r="BY88" s="416"/>
      <c r="BZ88" s="416"/>
      <c r="CA88" s="416"/>
      <c r="CB88" s="417"/>
      <c r="CC88" s="405"/>
      <c r="CD88" s="406"/>
      <c r="CE88" s="406"/>
      <c r="CF88" s="406"/>
      <c r="CG88" s="406"/>
      <c r="CH88" s="406"/>
      <c r="CI88" s="406"/>
      <c r="CJ88" s="406"/>
      <c r="CK88" s="406"/>
      <c r="CL88" s="406"/>
      <c r="CM88" s="406"/>
      <c r="CN88" s="406"/>
      <c r="CO88" s="406"/>
      <c r="CP88" s="406"/>
      <c r="CQ88" s="406"/>
      <c r="CR88" s="406"/>
      <c r="CS88" s="406"/>
      <c r="CT88" s="407"/>
      <c r="DO88" s="405"/>
      <c r="DP88" s="406"/>
      <c r="DQ88" s="406"/>
      <c r="DR88" s="406"/>
      <c r="DS88" s="406"/>
      <c r="DT88" s="406"/>
      <c r="DU88" s="406"/>
      <c r="DV88" s="406"/>
      <c r="DW88" s="406"/>
      <c r="DX88" s="406"/>
      <c r="DY88" s="406"/>
      <c r="DZ88" s="406"/>
      <c r="EA88" s="406"/>
      <c r="EB88" s="406"/>
      <c r="EC88" s="406"/>
      <c r="ED88" s="406"/>
      <c r="EE88" s="406"/>
      <c r="EF88" s="407"/>
      <c r="FT88" s="405"/>
      <c r="FU88" s="406"/>
      <c r="FV88" s="406"/>
      <c r="FW88" s="406"/>
      <c r="FX88" s="406"/>
      <c r="FY88" s="406"/>
      <c r="FZ88" s="406"/>
      <c r="GA88" s="406"/>
      <c r="GB88" s="406"/>
      <c r="GC88" s="406"/>
      <c r="GD88" s="406"/>
      <c r="GE88" s="406"/>
      <c r="GF88" s="406"/>
      <c r="GG88" s="406"/>
      <c r="GH88" s="406"/>
      <c r="GI88" s="406"/>
      <c r="GJ88" s="406"/>
      <c r="GK88" s="407"/>
    </row>
    <row r="89" spans="2:193" ht="13.5" customHeight="1" thickBot="1">
      <c r="B89" s="18"/>
      <c r="C89" s="19" t="s">
        <v>501</v>
      </c>
      <c r="D89" s="19"/>
      <c r="E89" s="19"/>
      <c r="F89" s="19"/>
      <c r="G89" s="19"/>
      <c r="H89" s="395"/>
      <c r="I89" s="418"/>
      <c r="J89" s="418"/>
      <c r="K89" s="418"/>
      <c r="L89" s="418"/>
      <c r="M89" s="418"/>
      <c r="N89" s="418"/>
      <c r="O89" s="418"/>
      <c r="P89" s="418"/>
      <c r="Q89" s="418"/>
      <c r="R89" s="419"/>
      <c r="S89" s="395"/>
      <c r="T89" s="418"/>
      <c r="U89" s="418"/>
      <c r="V89" s="418"/>
      <c r="W89" s="418"/>
      <c r="X89" s="419"/>
      <c r="Y89" s="252" t="str">
        <f t="shared" si="24"/>
        <v/>
      </c>
      <c r="Z89" s="418"/>
      <c r="AA89" s="419"/>
      <c r="AB89" s="252" t="str">
        <f t="shared" si="25"/>
        <v/>
      </c>
      <c r="AC89" s="418"/>
      <c r="AD89" s="419"/>
      <c r="AE89" s="252" t="str">
        <f t="shared" si="26"/>
        <v/>
      </c>
      <c r="AF89" s="418"/>
      <c r="AG89" s="418"/>
      <c r="AH89" s="418"/>
      <c r="AI89" s="418"/>
      <c r="AJ89" s="418"/>
      <c r="AK89" s="419"/>
      <c r="AL89" s="398" t="str">
        <f t="shared" si="27"/>
        <v/>
      </c>
      <c r="AM89" s="418"/>
      <c r="AN89" s="418"/>
      <c r="AO89" s="418"/>
      <c r="AP89" s="418"/>
      <c r="AQ89" s="418"/>
      <c r="AR89" s="419"/>
      <c r="AS89" s="20"/>
      <c r="BK89" s="413" t="str">
        <f t="shared" si="28"/>
        <v/>
      </c>
      <c r="BL89" s="414"/>
      <c r="BM89" s="414"/>
      <c r="BN89" s="414"/>
      <c r="BO89" s="414"/>
      <c r="BP89" s="414"/>
      <c r="BQ89" s="414"/>
      <c r="BR89" s="414"/>
      <c r="BS89" s="415"/>
      <c r="BT89" s="413" t="str">
        <f t="shared" si="29"/>
        <v/>
      </c>
      <c r="BU89" s="416"/>
      <c r="BV89" s="416"/>
      <c r="BW89" s="416"/>
      <c r="BX89" s="416"/>
      <c r="BY89" s="416"/>
      <c r="BZ89" s="416"/>
      <c r="CA89" s="416"/>
      <c r="CB89" s="417"/>
      <c r="CC89" s="405"/>
      <c r="CD89" s="406"/>
      <c r="CE89" s="406"/>
      <c r="CF89" s="406"/>
      <c r="CG89" s="406"/>
      <c r="CH89" s="406"/>
      <c r="CI89" s="406"/>
      <c r="CJ89" s="406"/>
      <c r="CK89" s="406"/>
      <c r="CL89" s="406"/>
      <c r="CM89" s="406"/>
      <c r="CN89" s="406"/>
      <c r="CO89" s="406"/>
      <c r="CP89" s="406"/>
      <c r="CQ89" s="406"/>
      <c r="CR89" s="406"/>
      <c r="CS89" s="406"/>
      <c r="CT89" s="407"/>
      <c r="DO89" s="405"/>
      <c r="DP89" s="406"/>
      <c r="DQ89" s="406"/>
      <c r="DR89" s="406"/>
      <c r="DS89" s="406"/>
      <c r="DT89" s="406"/>
      <c r="DU89" s="406"/>
      <c r="DV89" s="406"/>
      <c r="DW89" s="406"/>
      <c r="DX89" s="406"/>
      <c r="DY89" s="406"/>
      <c r="DZ89" s="406"/>
      <c r="EA89" s="406"/>
      <c r="EB89" s="406"/>
      <c r="EC89" s="406"/>
      <c r="ED89" s="406"/>
      <c r="EE89" s="406"/>
      <c r="EF89" s="407"/>
      <c r="FT89" s="405"/>
      <c r="FU89" s="406"/>
      <c r="FV89" s="406"/>
      <c r="FW89" s="406"/>
      <c r="FX89" s="406"/>
      <c r="FY89" s="406"/>
      <c r="FZ89" s="406"/>
      <c r="GA89" s="406"/>
      <c r="GB89" s="406"/>
      <c r="GC89" s="406"/>
      <c r="GD89" s="406"/>
      <c r="GE89" s="406"/>
      <c r="GF89" s="406"/>
      <c r="GG89" s="406"/>
      <c r="GH89" s="406"/>
      <c r="GI89" s="406"/>
      <c r="GJ89" s="406"/>
      <c r="GK89" s="407"/>
    </row>
    <row r="90" spans="2:193" ht="13.5" customHeight="1" thickBot="1">
      <c r="B90" s="18"/>
      <c r="C90" s="19" t="s">
        <v>502</v>
      </c>
      <c r="D90" s="19"/>
      <c r="E90" s="19"/>
      <c r="F90" s="19"/>
      <c r="G90" s="19"/>
      <c r="H90" s="395"/>
      <c r="I90" s="418"/>
      <c r="J90" s="418"/>
      <c r="K90" s="418"/>
      <c r="L90" s="418"/>
      <c r="M90" s="418"/>
      <c r="N90" s="418"/>
      <c r="O90" s="418"/>
      <c r="P90" s="418"/>
      <c r="Q90" s="418"/>
      <c r="R90" s="419"/>
      <c r="S90" s="395"/>
      <c r="T90" s="418"/>
      <c r="U90" s="418"/>
      <c r="V90" s="418"/>
      <c r="W90" s="418"/>
      <c r="X90" s="419"/>
      <c r="Y90" s="252" t="str">
        <f t="shared" si="24"/>
        <v/>
      </c>
      <c r="Z90" s="418"/>
      <c r="AA90" s="419"/>
      <c r="AB90" s="252" t="str">
        <f t="shared" si="25"/>
        <v/>
      </c>
      <c r="AC90" s="418"/>
      <c r="AD90" s="419"/>
      <c r="AE90" s="252" t="str">
        <f t="shared" si="26"/>
        <v/>
      </c>
      <c r="AF90" s="418"/>
      <c r="AG90" s="418"/>
      <c r="AH90" s="418"/>
      <c r="AI90" s="418"/>
      <c r="AJ90" s="418"/>
      <c r="AK90" s="419"/>
      <c r="AL90" s="398" t="str">
        <f t="shared" si="27"/>
        <v/>
      </c>
      <c r="AM90" s="418"/>
      <c r="AN90" s="418"/>
      <c r="AO90" s="418"/>
      <c r="AP90" s="418"/>
      <c r="AQ90" s="418"/>
      <c r="AR90" s="419"/>
      <c r="AS90" s="20"/>
      <c r="BK90" s="413" t="str">
        <f t="shared" si="28"/>
        <v/>
      </c>
      <c r="BL90" s="414"/>
      <c r="BM90" s="414"/>
      <c r="BN90" s="414"/>
      <c r="BO90" s="414"/>
      <c r="BP90" s="414"/>
      <c r="BQ90" s="414"/>
      <c r="BR90" s="414"/>
      <c r="BS90" s="415"/>
      <c r="BT90" s="413" t="str">
        <f t="shared" si="29"/>
        <v/>
      </c>
      <c r="BU90" s="416"/>
      <c r="BV90" s="416"/>
      <c r="BW90" s="416"/>
      <c r="BX90" s="416"/>
      <c r="BY90" s="416"/>
      <c r="BZ90" s="416"/>
      <c r="CA90" s="416"/>
      <c r="CB90" s="417"/>
      <c r="CC90" s="405"/>
      <c r="CD90" s="406"/>
      <c r="CE90" s="406"/>
      <c r="CF90" s="406"/>
      <c r="CG90" s="406"/>
      <c r="CH90" s="406"/>
      <c r="CI90" s="406"/>
      <c r="CJ90" s="406"/>
      <c r="CK90" s="406"/>
      <c r="CL90" s="406"/>
      <c r="CM90" s="406"/>
      <c r="CN90" s="406"/>
      <c r="CO90" s="406"/>
      <c r="CP90" s="406"/>
      <c r="CQ90" s="406"/>
      <c r="CR90" s="406"/>
      <c r="CS90" s="406"/>
      <c r="CT90" s="407"/>
      <c r="DO90" s="405"/>
      <c r="DP90" s="406"/>
      <c r="DQ90" s="406"/>
      <c r="DR90" s="406"/>
      <c r="DS90" s="406"/>
      <c r="DT90" s="406"/>
      <c r="DU90" s="406"/>
      <c r="DV90" s="406"/>
      <c r="DW90" s="406"/>
      <c r="DX90" s="406"/>
      <c r="DY90" s="406"/>
      <c r="DZ90" s="406"/>
      <c r="EA90" s="406"/>
      <c r="EB90" s="406"/>
      <c r="EC90" s="406"/>
      <c r="ED90" s="406"/>
      <c r="EE90" s="406"/>
      <c r="EF90" s="407"/>
      <c r="FT90" s="405"/>
      <c r="FU90" s="406"/>
      <c r="FV90" s="406"/>
      <c r="FW90" s="406"/>
      <c r="FX90" s="406"/>
      <c r="FY90" s="406"/>
      <c r="FZ90" s="406"/>
      <c r="GA90" s="406"/>
      <c r="GB90" s="406"/>
      <c r="GC90" s="406"/>
      <c r="GD90" s="406"/>
      <c r="GE90" s="406"/>
      <c r="GF90" s="406"/>
      <c r="GG90" s="406"/>
      <c r="GH90" s="406"/>
      <c r="GI90" s="406"/>
      <c r="GJ90" s="406"/>
      <c r="GK90" s="407"/>
    </row>
    <row r="91" spans="2:193" ht="13.5" customHeight="1" thickBot="1">
      <c r="B91" s="18"/>
      <c r="C91" s="19" t="s">
        <v>503</v>
      </c>
      <c r="D91" s="19"/>
      <c r="E91" s="19"/>
      <c r="F91" s="19"/>
      <c r="G91" s="19"/>
      <c r="H91" s="395"/>
      <c r="I91" s="418"/>
      <c r="J91" s="418"/>
      <c r="K91" s="418"/>
      <c r="L91" s="418"/>
      <c r="M91" s="418"/>
      <c r="N91" s="418"/>
      <c r="O91" s="418"/>
      <c r="P91" s="418"/>
      <c r="Q91" s="418"/>
      <c r="R91" s="419"/>
      <c r="S91" s="395"/>
      <c r="T91" s="418"/>
      <c r="U91" s="418"/>
      <c r="V91" s="418"/>
      <c r="W91" s="418"/>
      <c r="X91" s="419"/>
      <c r="Y91" s="252" t="str">
        <f t="shared" si="24"/>
        <v/>
      </c>
      <c r="Z91" s="418"/>
      <c r="AA91" s="419"/>
      <c r="AB91" s="252" t="str">
        <f t="shared" si="25"/>
        <v/>
      </c>
      <c r="AC91" s="418"/>
      <c r="AD91" s="419"/>
      <c r="AE91" s="252" t="str">
        <f t="shared" si="26"/>
        <v/>
      </c>
      <c r="AF91" s="418"/>
      <c r="AG91" s="418"/>
      <c r="AH91" s="418"/>
      <c r="AI91" s="418"/>
      <c r="AJ91" s="418"/>
      <c r="AK91" s="419"/>
      <c r="AL91" s="398" t="str">
        <f t="shared" si="27"/>
        <v/>
      </c>
      <c r="AM91" s="418"/>
      <c r="AN91" s="418"/>
      <c r="AO91" s="418"/>
      <c r="AP91" s="418"/>
      <c r="AQ91" s="418"/>
      <c r="AR91" s="419"/>
      <c r="AS91" s="20"/>
      <c r="BK91" s="413" t="str">
        <f t="shared" si="28"/>
        <v/>
      </c>
      <c r="BL91" s="414"/>
      <c r="BM91" s="414"/>
      <c r="BN91" s="414"/>
      <c r="BO91" s="414"/>
      <c r="BP91" s="414"/>
      <c r="BQ91" s="414"/>
      <c r="BR91" s="414"/>
      <c r="BS91" s="415"/>
      <c r="BT91" s="413" t="str">
        <f t="shared" si="29"/>
        <v/>
      </c>
      <c r="BU91" s="416"/>
      <c r="BV91" s="416"/>
      <c r="BW91" s="416"/>
      <c r="BX91" s="416"/>
      <c r="BY91" s="416"/>
      <c r="BZ91" s="416"/>
      <c r="CA91" s="416"/>
      <c r="CB91" s="417"/>
      <c r="CC91" s="405"/>
      <c r="CD91" s="406"/>
      <c r="CE91" s="406"/>
      <c r="CF91" s="406"/>
      <c r="CG91" s="406"/>
      <c r="CH91" s="406"/>
      <c r="CI91" s="406"/>
      <c r="CJ91" s="406"/>
      <c r="CK91" s="406"/>
      <c r="CL91" s="406"/>
      <c r="CM91" s="406"/>
      <c r="CN91" s="406"/>
      <c r="CO91" s="406"/>
      <c r="CP91" s="406"/>
      <c r="CQ91" s="406"/>
      <c r="CR91" s="406"/>
      <c r="CS91" s="406"/>
      <c r="CT91" s="407"/>
      <c r="DO91" s="405"/>
      <c r="DP91" s="406"/>
      <c r="DQ91" s="406"/>
      <c r="DR91" s="406"/>
      <c r="DS91" s="406"/>
      <c r="DT91" s="406"/>
      <c r="DU91" s="406"/>
      <c r="DV91" s="406"/>
      <c r="DW91" s="406"/>
      <c r="DX91" s="406"/>
      <c r="DY91" s="406"/>
      <c r="DZ91" s="406"/>
      <c r="EA91" s="406"/>
      <c r="EB91" s="406"/>
      <c r="EC91" s="406"/>
      <c r="ED91" s="406"/>
      <c r="EE91" s="406"/>
      <c r="EF91" s="407"/>
      <c r="FT91" s="405"/>
      <c r="FU91" s="406"/>
      <c r="FV91" s="406"/>
      <c r="FW91" s="406"/>
      <c r="FX91" s="406"/>
      <c r="FY91" s="406"/>
      <c r="FZ91" s="406"/>
      <c r="GA91" s="406"/>
      <c r="GB91" s="406"/>
      <c r="GC91" s="406"/>
      <c r="GD91" s="406"/>
      <c r="GE91" s="406"/>
      <c r="GF91" s="406"/>
      <c r="GG91" s="406"/>
      <c r="GH91" s="406"/>
      <c r="GI91" s="406"/>
      <c r="GJ91" s="406"/>
      <c r="GK91" s="407"/>
    </row>
    <row r="92" spans="2:193" ht="13.5" customHeight="1" thickBot="1">
      <c r="B92" s="18"/>
      <c r="C92" s="19" t="s">
        <v>504</v>
      </c>
      <c r="D92" s="19"/>
      <c r="E92" s="19"/>
      <c r="F92" s="19"/>
      <c r="G92" s="19"/>
      <c r="H92" s="395"/>
      <c r="I92" s="418"/>
      <c r="J92" s="418"/>
      <c r="K92" s="418"/>
      <c r="L92" s="418"/>
      <c r="M92" s="418"/>
      <c r="N92" s="418"/>
      <c r="O92" s="418"/>
      <c r="P92" s="418"/>
      <c r="Q92" s="418"/>
      <c r="R92" s="419"/>
      <c r="S92" s="395"/>
      <c r="T92" s="418"/>
      <c r="U92" s="418"/>
      <c r="V92" s="418"/>
      <c r="W92" s="418"/>
      <c r="X92" s="419"/>
      <c r="Y92" s="252" t="str">
        <f t="shared" si="24"/>
        <v/>
      </c>
      <c r="Z92" s="418"/>
      <c r="AA92" s="419"/>
      <c r="AB92" s="252" t="str">
        <f t="shared" si="25"/>
        <v/>
      </c>
      <c r="AC92" s="418"/>
      <c r="AD92" s="419"/>
      <c r="AE92" s="252" t="str">
        <f t="shared" si="26"/>
        <v/>
      </c>
      <c r="AF92" s="418"/>
      <c r="AG92" s="418"/>
      <c r="AH92" s="418"/>
      <c r="AI92" s="418"/>
      <c r="AJ92" s="418"/>
      <c r="AK92" s="419"/>
      <c r="AL92" s="398" t="str">
        <f t="shared" si="27"/>
        <v/>
      </c>
      <c r="AM92" s="418"/>
      <c r="AN92" s="418"/>
      <c r="AO92" s="418"/>
      <c r="AP92" s="418"/>
      <c r="AQ92" s="418"/>
      <c r="AR92" s="419"/>
      <c r="AS92" s="20"/>
      <c r="BK92" s="413" t="str">
        <f t="shared" si="28"/>
        <v/>
      </c>
      <c r="BL92" s="414"/>
      <c r="BM92" s="414"/>
      <c r="BN92" s="414"/>
      <c r="BO92" s="414"/>
      <c r="BP92" s="414"/>
      <c r="BQ92" s="414"/>
      <c r="BR92" s="414"/>
      <c r="BS92" s="415"/>
      <c r="BT92" s="413" t="str">
        <f t="shared" si="29"/>
        <v/>
      </c>
      <c r="BU92" s="416"/>
      <c r="BV92" s="416"/>
      <c r="BW92" s="416"/>
      <c r="BX92" s="416"/>
      <c r="BY92" s="416"/>
      <c r="BZ92" s="416"/>
      <c r="CA92" s="416"/>
      <c r="CB92" s="417"/>
      <c r="CC92" s="405"/>
      <c r="CD92" s="406"/>
      <c r="CE92" s="406"/>
      <c r="CF92" s="406"/>
      <c r="CG92" s="406"/>
      <c r="CH92" s="406"/>
      <c r="CI92" s="406"/>
      <c r="CJ92" s="406"/>
      <c r="CK92" s="406"/>
      <c r="CL92" s="406"/>
      <c r="CM92" s="406"/>
      <c r="CN92" s="406"/>
      <c r="CO92" s="406"/>
      <c r="CP92" s="406"/>
      <c r="CQ92" s="406"/>
      <c r="CR92" s="406"/>
      <c r="CS92" s="406"/>
      <c r="CT92" s="407"/>
      <c r="DO92" s="405"/>
      <c r="DP92" s="406"/>
      <c r="DQ92" s="406"/>
      <c r="DR92" s="406"/>
      <c r="DS92" s="406"/>
      <c r="DT92" s="406"/>
      <c r="DU92" s="406"/>
      <c r="DV92" s="406"/>
      <c r="DW92" s="406"/>
      <c r="DX92" s="406"/>
      <c r="DY92" s="406"/>
      <c r="DZ92" s="406"/>
      <c r="EA92" s="406"/>
      <c r="EB92" s="406"/>
      <c r="EC92" s="406"/>
      <c r="ED92" s="406"/>
      <c r="EE92" s="406"/>
      <c r="EF92" s="407"/>
      <c r="FT92" s="405"/>
      <c r="FU92" s="406"/>
      <c r="FV92" s="406"/>
      <c r="FW92" s="406"/>
      <c r="FX92" s="406"/>
      <c r="FY92" s="406"/>
      <c r="FZ92" s="406"/>
      <c r="GA92" s="406"/>
      <c r="GB92" s="406"/>
      <c r="GC92" s="406"/>
      <c r="GD92" s="406"/>
      <c r="GE92" s="406"/>
      <c r="GF92" s="406"/>
      <c r="GG92" s="406"/>
      <c r="GH92" s="406"/>
      <c r="GI92" s="406"/>
      <c r="GJ92" s="406"/>
      <c r="GK92" s="407"/>
    </row>
    <row r="93" spans="2:193" ht="13.5" customHeight="1" thickBot="1">
      <c r="B93" s="18"/>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20"/>
      <c r="CC93" s="405"/>
      <c r="CD93" s="406"/>
      <c r="CE93" s="406"/>
      <c r="CF93" s="406"/>
      <c r="CG93" s="406"/>
      <c r="CH93" s="406"/>
      <c r="CI93" s="406"/>
      <c r="CJ93" s="406"/>
      <c r="CK93" s="406"/>
      <c r="CL93" s="406"/>
      <c r="CM93" s="406"/>
      <c r="CN93" s="406"/>
      <c r="CO93" s="406"/>
      <c r="CP93" s="406"/>
      <c r="CQ93" s="406"/>
      <c r="CR93" s="406"/>
      <c r="CS93" s="406"/>
      <c r="CT93" s="407"/>
      <c r="DO93" s="405"/>
      <c r="DP93" s="406"/>
      <c r="DQ93" s="406"/>
      <c r="DR93" s="406"/>
      <c r="DS93" s="406"/>
      <c r="DT93" s="406"/>
      <c r="DU93" s="406"/>
      <c r="DV93" s="406"/>
      <c r="DW93" s="406"/>
      <c r="DX93" s="406"/>
      <c r="DY93" s="406"/>
      <c r="DZ93" s="406"/>
      <c r="EA93" s="406"/>
      <c r="EB93" s="406"/>
      <c r="EC93" s="406"/>
      <c r="ED93" s="406"/>
      <c r="EE93" s="406"/>
      <c r="EF93" s="407"/>
      <c r="FT93" s="405"/>
      <c r="FU93" s="406"/>
      <c r="FV93" s="406"/>
      <c r="FW93" s="406"/>
      <c r="FX93" s="406"/>
      <c r="FY93" s="406"/>
      <c r="FZ93" s="406"/>
      <c r="GA93" s="406"/>
      <c r="GB93" s="406"/>
      <c r="GC93" s="406"/>
      <c r="GD93" s="406"/>
      <c r="GE93" s="406"/>
      <c r="GF93" s="406"/>
      <c r="GG93" s="406"/>
      <c r="GH93" s="406"/>
      <c r="GI93" s="406"/>
      <c r="GJ93" s="406"/>
      <c r="GK93" s="407"/>
    </row>
    <row r="94" spans="2:193" ht="13.5" customHeight="1" thickBot="1">
      <c r="B94" s="18"/>
      <c r="C94" s="388" t="s">
        <v>525</v>
      </c>
      <c r="D94" s="388"/>
      <c r="E94" s="388"/>
      <c r="F94" s="388"/>
      <c r="G94" s="421"/>
      <c r="H94" s="389"/>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3"/>
      <c r="AJ94" s="19"/>
      <c r="AK94" s="19" t="s">
        <v>526</v>
      </c>
      <c r="AL94" s="19"/>
      <c r="AM94" s="19"/>
      <c r="AN94" s="19"/>
      <c r="AO94" s="252" t="str">
        <f>IF(H82="","",SUM(Y83:AA92))</f>
        <v/>
      </c>
      <c r="AP94" s="418"/>
      <c r="AQ94" s="418"/>
      <c r="AR94" s="419"/>
      <c r="AS94" s="20"/>
      <c r="CC94" s="405"/>
      <c r="CD94" s="406"/>
      <c r="CE94" s="406"/>
      <c r="CF94" s="406"/>
      <c r="CG94" s="406"/>
      <c r="CH94" s="406"/>
      <c r="CI94" s="406"/>
      <c r="CJ94" s="406"/>
      <c r="CK94" s="406"/>
      <c r="CL94" s="406"/>
      <c r="CM94" s="406"/>
      <c r="CN94" s="406"/>
      <c r="CO94" s="406"/>
      <c r="CP94" s="406"/>
      <c r="CQ94" s="406"/>
      <c r="CR94" s="406"/>
      <c r="CS94" s="406"/>
      <c r="CT94" s="407"/>
      <c r="DO94" s="405"/>
      <c r="DP94" s="406"/>
      <c r="DQ94" s="406"/>
      <c r="DR94" s="406"/>
      <c r="DS94" s="406"/>
      <c r="DT94" s="406"/>
      <c r="DU94" s="406"/>
      <c r="DV94" s="406"/>
      <c r="DW94" s="406"/>
      <c r="DX94" s="406"/>
      <c r="DY94" s="406"/>
      <c r="DZ94" s="406"/>
      <c r="EA94" s="406"/>
      <c r="EB94" s="406"/>
      <c r="EC94" s="406"/>
      <c r="ED94" s="406"/>
      <c r="EE94" s="406"/>
      <c r="EF94" s="407"/>
      <c r="FT94" s="405"/>
      <c r="FU94" s="406"/>
      <c r="FV94" s="406"/>
      <c r="FW94" s="406"/>
      <c r="FX94" s="406"/>
      <c r="FY94" s="406"/>
      <c r="FZ94" s="406"/>
      <c r="GA94" s="406"/>
      <c r="GB94" s="406"/>
      <c r="GC94" s="406"/>
      <c r="GD94" s="406"/>
      <c r="GE94" s="406"/>
      <c r="GF94" s="406"/>
      <c r="GG94" s="406"/>
      <c r="GH94" s="406"/>
      <c r="GI94" s="406"/>
      <c r="GJ94" s="406"/>
      <c r="GK94" s="407"/>
    </row>
    <row r="95" spans="2:193" ht="13.5" customHeight="1" thickBot="1">
      <c r="B95" s="18"/>
      <c r="C95" s="388"/>
      <c r="D95" s="388"/>
      <c r="E95" s="388"/>
      <c r="F95" s="388"/>
      <c r="G95" s="421"/>
      <c r="H95" s="424"/>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6"/>
      <c r="AJ95" s="19"/>
      <c r="AK95" s="19"/>
      <c r="AL95" s="19"/>
      <c r="AM95" s="19"/>
      <c r="AN95" s="19"/>
      <c r="AO95" s="19"/>
      <c r="AP95" s="19"/>
      <c r="AQ95" s="19"/>
      <c r="AR95" s="19"/>
      <c r="AS95" s="20"/>
      <c r="CC95" s="408"/>
      <c r="CD95" s="409"/>
      <c r="CE95" s="409"/>
      <c r="CF95" s="409"/>
      <c r="CG95" s="409"/>
      <c r="CH95" s="409"/>
      <c r="CI95" s="409"/>
      <c r="CJ95" s="409"/>
      <c r="CK95" s="409"/>
      <c r="CL95" s="409"/>
      <c r="CM95" s="409"/>
      <c r="CN95" s="409"/>
      <c r="CO95" s="409"/>
      <c r="CP95" s="409"/>
      <c r="CQ95" s="409"/>
      <c r="CR95" s="409"/>
      <c r="CS95" s="409"/>
      <c r="CT95" s="410"/>
      <c r="DO95" s="408"/>
      <c r="DP95" s="409"/>
      <c r="DQ95" s="409"/>
      <c r="DR95" s="409"/>
      <c r="DS95" s="409"/>
      <c r="DT95" s="409"/>
      <c r="DU95" s="409"/>
      <c r="DV95" s="409"/>
      <c r="DW95" s="409"/>
      <c r="DX95" s="409"/>
      <c r="DY95" s="409"/>
      <c r="DZ95" s="409"/>
      <c r="EA95" s="409"/>
      <c r="EB95" s="409"/>
      <c r="EC95" s="409"/>
      <c r="ED95" s="409"/>
      <c r="EE95" s="409"/>
      <c r="EF95" s="410"/>
      <c r="FT95" s="408"/>
      <c r="FU95" s="409"/>
      <c r="FV95" s="409"/>
      <c r="FW95" s="409"/>
      <c r="FX95" s="409"/>
      <c r="FY95" s="409"/>
      <c r="FZ95" s="409"/>
      <c r="GA95" s="409"/>
      <c r="GB95" s="409"/>
      <c r="GC95" s="409"/>
      <c r="GD95" s="409"/>
      <c r="GE95" s="409"/>
      <c r="GF95" s="409"/>
      <c r="GG95" s="409"/>
      <c r="GH95" s="409"/>
      <c r="GI95" s="409"/>
      <c r="GJ95" s="409"/>
      <c r="GK95" s="410"/>
    </row>
    <row r="96" spans="2:193" ht="13.5" customHeight="1" thickBo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3"/>
    </row>
    <row r="97" spans="2:193" ht="13.5" customHeight="1" thickBot="1"/>
    <row r="98" spans="2:193" ht="13.5" customHeight="1" thickBot="1">
      <c r="B98" s="15"/>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7"/>
      <c r="BK98" s="12" t="s">
        <v>620</v>
      </c>
      <c r="BT98" s="12" t="s">
        <v>621</v>
      </c>
      <c r="CL98" s="44"/>
      <c r="CM98" s="44"/>
      <c r="CN98" s="44"/>
      <c r="CO98" s="44"/>
      <c r="CP98" s="44"/>
      <c r="CQ98" s="44"/>
      <c r="CR98" s="44"/>
      <c r="CS98" s="44"/>
      <c r="CT98" s="44"/>
    </row>
    <row r="99" spans="2:193" ht="13.5" customHeight="1" thickBot="1">
      <c r="B99" s="18"/>
      <c r="C99" s="19" t="s">
        <v>385</v>
      </c>
      <c r="D99" s="19"/>
      <c r="E99" s="19"/>
      <c r="F99" s="19"/>
      <c r="G99" s="19"/>
      <c r="H99" s="249"/>
      <c r="I99" s="418"/>
      <c r="J99" s="418"/>
      <c r="K99" s="418"/>
      <c r="L99" s="418"/>
      <c r="M99" s="418"/>
      <c r="N99" s="418"/>
      <c r="O99" s="418"/>
      <c r="P99" s="418"/>
      <c r="Q99" s="418"/>
      <c r="R99" s="419"/>
      <c r="S99" s="401" t="s">
        <v>505</v>
      </c>
      <c r="T99" s="425"/>
      <c r="U99" s="425"/>
      <c r="V99" s="425"/>
      <c r="W99" s="425"/>
      <c r="X99" s="425"/>
      <c r="Y99" s="262" t="s">
        <v>37</v>
      </c>
      <c r="Z99" s="262"/>
      <c r="AA99" s="262"/>
      <c r="AB99" s="262" t="s">
        <v>36</v>
      </c>
      <c r="AC99" s="262"/>
      <c r="AD99" s="262"/>
      <c r="AE99" s="262" t="s">
        <v>506</v>
      </c>
      <c r="AF99" s="262"/>
      <c r="AG99" s="262"/>
      <c r="AH99" s="262"/>
      <c r="AI99" s="262"/>
      <c r="AJ99" s="262"/>
      <c r="AK99" s="262"/>
      <c r="AL99" s="262" t="s">
        <v>507</v>
      </c>
      <c r="AM99" s="262"/>
      <c r="AN99" s="262"/>
      <c r="AO99" s="262"/>
      <c r="AP99" s="262"/>
      <c r="AQ99" s="262"/>
      <c r="AR99" s="262"/>
      <c r="AS99" s="20"/>
      <c r="BK99" s="384" t="str">
        <f>IF(H99="","",H99&amp;IF(H111="",""," ["&amp;H111&amp;"]"))</f>
        <v/>
      </c>
      <c r="BL99" s="414"/>
      <c r="BM99" s="414"/>
      <c r="BN99" s="414"/>
      <c r="BO99" s="414"/>
      <c r="BP99" s="414"/>
      <c r="BQ99" s="414"/>
      <c r="BR99" s="414"/>
      <c r="BS99" s="415"/>
      <c r="BT99" s="384"/>
      <c r="BU99" s="385"/>
      <c r="BV99" s="385"/>
      <c r="BW99" s="385"/>
      <c r="BX99" s="385"/>
      <c r="BY99" s="385"/>
      <c r="BZ99" s="385"/>
      <c r="CA99" s="385"/>
      <c r="CB99" s="386"/>
      <c r="CC99" s="346" t="str">
        <f>IF(BK99="","",CHAR(149)&amp;" "&amp;BK99&amp;CHAR(10)&amp;BT109)</f>
        <v/>
      </c>
      <c r="CD99" s="403"/>
      <c r="CE99" s="403"/>
      <c r="CF99" s="403"/>
      <c r="CG99" s="403"/>
      <c r="CH99" s="403"/>
      <c r="CI99" s="403"/>
      <c r="CJ99" s="403"/>
      <c r="CK99" s="403"/>
      <c r="CL99" s="403"/>
      <c r="CM99" s="403"/>
      <c r="CN99" s="403"/>
      <c r="CO99" s="403"/>
      <c r="CP99" s="403"/>
      <c r="CQ99" s="403"/>
      <c r="CR99" s="403"/>
      <c r="CS99" s="403"/>
      <c r="CT99" s="404"/>
      <c r="DO99" s="346" t="str">
        <f>IF($BK99="","","[b]"&amp;$BK99&amp;"[/b]"&amp;CHAR(10)&amp;$BT109)</f>
        <v/>
      </c>
      <c r="DP99" s="403"/>
      <c r="DQ99" s="403"/>
      <c r="DR99" s="403"/>
      <c r="DS99" s="403"/>
      <c r="DT99" s="403"/>
      <c r="DU99" s="403"/>
      <c r="DV99" s="403"/>
      <c r="DW99" s="403"/>
      <c r="DX99" s="403"/>
      <c r="DY99" s="403"/>
      <c r="DZ99" s="403"/>
      <c r="EA99" s="403"/>
      <c r="EB99" s="403"/>
      <c r="EC99" s="403"/>
      <c r="ED99" s="403"/>
      <c r="EE99" s="403"/>
      <c r="EF99" s="404"/>
      <c r="FT99" s="346" t="str">
        <f>IF($BK99="","","**"&amp;$BK99&amp;"**"&amp;CHAR(10)&amp;$BT109)</f>
        <v/>
      </c>
      <c r="FU99" s="403"/>
      <c r="FV99" s="403"/>
      <c r="FW99" s="403"/>
      <c r="FX99" s="403"/>
      <c r="FY99" s="403"/>
      <c r="FZ99" s="403"/>
      <c r="GA99" s="403"/>
      <c r="GB99" s="403"/>
      <c r="GC99" s="403"/>
      <c r="GD99" s="403"/>
      <c r="GE99" s="403"/>
      <c r="GF99" s="403"/>
      <c r="GG99" s="403"/>
      <c r="GH99" s="403"/>
      <c r="GI99" s="403"/>
      <c r="GJ99" s="403"/>
      <c r="GK99" s="404"/>
    </row>
    <row r="100" spans="2:193" ht="13.5" customHeight="1" thickBot="1">
      <c r="B100" s="18"/>
      <c r="C100" s="19" t="s">
        <v>495</v>
      </c>
      <c r="D100" s="19"/>
      <c r="E100" s="19"/>
      <c r="F100" s="19"/>
      <c r="G100" s="19"/>
      <c r="H100" s="395"/>
      <c r="I100" s="418"/>
      <c r="J100" s="418"/>
      <c r="K100" s="418"/>
      <c r="L100" s="418"/>
      <c r="M100" s="418"/>
      <c r="N100" s="418"/>
      <c r="O100" s="418"/>
      <c r="P100" s="418"/>
      <c r="Q100" s="418"/>
      <c r="R100" s="419"/>
      <c r="S100" s="395"/>
      <c r="T100" s="418"/>
      <c r="U100" s="418"/>
      <c r="V100" s="418"/>
      <c r="W100" s="418"/>
      <c r="X100" s="419"/>
      <c r="Y100" s="252" t="str">
        <f t="shared" ref="Y100:Y109" si="30">IF($H100="","",IF($S100="Normal",VLOOKUP($H100,EqCompMatrix,7,FALSE),IF($S100="Alternate",1,IF($S100="Dynamic",2,IF($S100="None",0,"")))))</f>
        <v/>
      </c>
      <c r="Z100" s="418"/>
      <c r="AA100" s="419"/>
      <c r="AB100" s="252" t="str">
        <f t="shared" ref="AB100:AB109" si="31">IF($H100="","",VLOOKUP($H100,EqCompMatrix,5,FALSE))</f>
        <v/>
      </c>
      <c r="AC100" s="418"/>
      <c r="AD100" s="419"/>
      <c r="AE100" s="252" t="str">
        <f t="shared" ref="AE100:AE109" si="32">IF($H100="","",VLOOKUP($H100,EqCompMatrix,9,FALSE))</f>
        <v/>
      </c>
      <c r="AF100" s="418"/>
      <c r="AG100" s="418"/>
      <c r="AH100" s="418"/>
      <c r="AI100" s="418"/>
      <c r="AJ100" s="418"/>
      <c r="AK100" s="419"/>
      <c r="AL100" s="398" t="str">
        <f t="shared" ref="AL100:AL109" si="33">IF($H100="","",VLOOKUP($H100,EqCompMatrix,15,FALSE))</f>
        <v/>
      </c>
      <c r="AM100" s="418"/>
      <c r="AN100" s="418"/>
      <c r="AO100" s="418"/>
      <c r="AP100" s="418"/>
      <c r="AQ100" s="418"/>
      <c r="AR100" s="419"/>
      <c r="AS100" s="20"/>
      <c r="BK100" s="413" t="str">
        <f>IF(H100="","",IF(S100="Alternate","Alt: ","")&amp;IF(S100="Dynamic","Dyn: ","")&amp;IF(H100=AE100,AE100&amp;" "&amp;AB100&amp;IF(AL100="",""," ["&amp;AL100&amp;"]"),IF(AE100="Custom",H100&amp;" ("&amp;Y100&amp;" points)"&amp;CHAR(10),H100&amp;": "&amp;AE100&amp;" "&amp;AB100&amp;IF(AL100="",""," ["&amp;AL100&amp;"]"))))</f>
        <v/>
      </c>
      <c r="BL100" s="414"/>
      <c r="BM100" s="414"/>
      <c r="BN100" s="414"/>
      <c r="BO100" s="414"/>
      <c r="BP100" s="414"/>
      <c r="BQ100" s="414"/>
      <c r="BR100" s="414"/>
      <c r="BS100" s="415"/>
      <c r="BT100" s="384" t="str">
        <f>IF(BK100="","","     "&amp;BK100)</f>
        <v/>
      </c>
      <c r="BU100" s="385"/>
      <c r="BV100" s="385"/>
      <c r="BW100" s="385"/>
      <c r="BX100" s="385"/>
      <c r="BY100" s="385"/>
      <c r="BZ100" s="385"/>
      <c r="CA100" s="385"/>
      <c r="CB100" s="386"/>
      <c r="CC100" s="405"/>
      <c r="CD100" s="406"/>
      <c r="CE100" s="406"/>
      <c r="CF100" s="406"/>
      <c r="CG100" s="406"/>
      <c r="CH100" s="406"/>
      <c r="CI100" s="406"/>
      <c r="CJ100" s="406"/>
      <c r="CK100" s="406"/>
      <c r="CL100" s="406"/>
      <c r="CM100" s="406"/>
      <c r="CN100" s="406"/>
      <c r="CO100" s="406"/>
      <c r="CP100" s="406"/>
      <c r="CQ100" s="406"/>
      <c r="CR100" s="406"/>
      <c r="CS100" s="406"/>
      <c r="CT100" s="407"/>
      <c r="DO100" s="405"/>
      <c r="DP100" s="406"/>
      <c r="DQ100" s="406"/>
      <c r="DR100" s="406"/>
      <c r="DS100" s="406"/>
      <c r="DT100" s="406"/>
      <c r="DU100" s="406"/>
      <c r="DV100" s="406"/>
      <c r="DW100" s="406"/>
      <c r="DX100" s="406"/>
      <c r="DY100" s="406"/>
      <c r="DZ100" s="406"/>
      <c r="EA100" s="406"/>
      <c r="EB100" s="406"/>
      <c r="EC100" s="406"/>
      <c r="ED100" s="406"/>
      <c r="EE100" s="406"/>
      <c r="EF100" s="407"/>
      <c r="FT100" s="405"/>
      <c r="FU100" s="406"/>
      <c r="FV100" s="406"/>
      <c r="FW100" s="406"/>
      <c r="FX100" s="406"/>
      <c r="FY100" s="406"/>
      <c r="FZ100" s="406"/>
      <c r="GA100" s="406"/>
      <c r="GB100" s="406"/>
      <c r="GC100" s="406"/>
      <c r="GD100" s="406"/>
      <c r="GE100" s="406"/>
      <c r="GF100" s="406"/>
      <c r="GG100" s="406"/>
      <c r="GH100" s="406"/>
      <c r="GI100" s="406"/>
      <c r="GJ100" s="406"/>
      <c r="GK100" s="407"/>
    </row>
    <row r="101" spans="2:193" ht="13.5" customHeight="1" thickBot="1">
      <c r="B101" s="18"/>
      <c r="C101" s="19" t="s">
        <v>496</v>
      </c>
      <c r="D101" s="19"/>
      <c r="E101" s="19"/>
      <c r="F101" s="19"/>
      <c r="G101" s="19"/>
      <c r="H101" s="395"/>
      <c r="I101" s="418"/>
      <c r="J101" s="418"/>
      <c r="K101" s="418"/>
      <c r="L101" s="418"/>
      <c r="M101" s="418"/>
      <c r="N101" s="418"/>
      <c r="O101" s="418"/>
      <c r="P101" s="418"/>
      <c r="Q101" s="418"/>
      <c r="R101" s="419"/>
      <c r="S101" s="395"/>
      <c r="T101" s="418"/>
      <c r="U101" s="418"/>
      <c r="V101" s="418"/>
      <c r="W101" s="418"/>
      <c r="X101" s="419"/>
      <c r="Y101" s="252" t="str">
        <f t="shared" si="30"/>
        <v/>
      </c>
      <c r="Z101" s="418"/>
      <c r="AA101" s="419"/>
      <c r="AB101" s="252" t="str">
        <f t="shared" si="31"/>
        <v/>
      </c>
      <c r="AC101" s="418"/>
      <c r="AD101" s="419"/>
      <c r="AE101" s="252" t="str">
        <f t="shared" si="32"/>
        <v/>
      </c>
      <c r="AF101" s="418"/>
      <c r="AG101" s="418"/>
      <c r="AH101" s="418"/>
      <c r="AI101" s="418"/>
      <c r="AJ101" s="418"/>
      <c r="AK101" s="419"/>
      <c r="AL101" s="398" t="str">
        <f t="shared" si="33"/>
        <v/>
      </c>
      <c r="AM101" s="418"/>
      <c r="AN101" s="418"/>
      <c r="AO101" s="418"/>
      <c r="AP101" s="418"/>
      <c r="AQ101" s="418"/>
      <c r="AR101" s="419"/>
      <c r="AS101" s="20"/>
      <c r="BK101" s="413" t="str">
        <f t="shared" ref="BK101:BK109" si="34">IF(H101="","",IF(S101="Alternate","Alt: ","")&amp;IF(S101="Dynamic","Dyn: ","")&amp;IF(H101=AE101,AE101&amp;" "&amp;AB101&amp;IF(AL101="",""," ["&amp;AL101&amp;"]"),IF(AE101="Custom",H101&amp;" ("&amp;Y101&amp;" points)"&amp;CHAR(10),H101&amp;": "&amp;AE101&amp;" "&amp;AB101&amp;IF(AL101="",""," ["&amp;AL101&amp;"]"))))</f>
        <v/>
      </c>
      <c r="BL101" s="414"/>
      <c r="BM101" s="414"/>
      <c r="BN101" s="414"/>
      <c r="BO101" s="414"/>
      <c r="BP101" s="414"/>
      <c r="BQ101" s="414"/>
      <c r="BR101" s="414"/>
      <c r="BS101" s="415"/>
      <c r="BT101" s="413" t="str">
        <f>BT100&amp;IF(AE100="Custom","     "&amp;BK101,IF(S101="None",", "&amp;BK101,"")&amp;IF(OR(S101="Alternate",S101="Dynamic"),CHAR(10)&amp;"     "&amp;BK101,"")&amp;IF(S101="Normal",IF(OR(S100="Alternate",S100="Dynamic",S100="None"),CHAR(10)&amp;"     "&amp;BK101,", "&amp;BK101),""))</f>
        <v/>
      </c>
      <c r="BU101" s="416"/>
      <c r="BV101" s="416"/>
      <c r="BW101" s="416"/>
      <c r="BX101" s="416"/>
      <c r="BY101" s="416"/>
      <c r="BZ101" s="416"/>
      <c r="CA101" s="416"/>
      <c r="CB101" s="417"/>
      <c r="CC101" s="405"/>
      <c r="CD101" s="406"/>
      <c r="CE101" s="406"/>
      <c r="CF101" s="406"/>
      <c r="CG101" s="406"/>
      <c r="CH101" s="406"/>
      <c r="CI101" s="406"/>
      <c r="CJ101" s="406"/>
      <c r="CK101" s="406"/>
      <c r="CL101" s="406"/>
      <c r="CM101" s="406"/>
      <c r="CN101" s="406"/>
      <c r="CO101" s="406"/>
      <c r="CP101" s="406"/>
      <c r="CQ101" s="406"/>
      <c r="CR101" s="406"/>
      <c r="CS101" s="406"/>
      <c r="CT101" s="407"/>
      <c r="DO101" s="405"/>
      <c r="DP101" s="406"/>
      <c r="DQ101" s="406"/>
      <c r="DR101" s="406"/>
      <c r="DS101" s="406"/>
      <c r="DT101" s="406"/>
      <c r="DU101" s="406"/>
      <c r="DV101" s="406"/>
      <c r="DW101" s="406"/>
      <c r="DX101" s="406"/>
      <c r="DY101" s="406"/>
      <c r="DZ101" s="406"/>
      <c r="EA101" s="406"/>
      <c r="EB101" s="406"/>
      <c r="EC101" s="406"/>
      <c r="ED101" s="406"/>
      <c r="EE101" s="406"/>
      <c r="EF101" s="407"/>
      <c r="FT101" s="405"/>
      <c r="FU101" s="406"/>
      <c r="FV101" s="406"/>
      <c r="FW101" s="406"/>
      <c r="FX101" s="406"/>
      <c r="FY101" s="406"/>
      <c r="FZ101" s="406"/>
      <c r="GA101" s="406"/>
      <c r="GB101" s="406"/>
      <c r="GC101" s="406"/>
      <c r="GD101" s="406"/>
      <c r="GE101" s="406"/>
      <c r="GF101" s="406"/>
      <c r="GG101" s="406"/>
      <c r="GH101" s="406"/>
      <c r="GI101" s="406"/>
      <c r="GJ101" s="406"/>
      <c r="GK101" s="407"/>
    </row>
    <row r="102" spans="2:193" ht="13.5" customHeight="1" thickBot="1">
      <c r="B102" s="18"/>
      <c r="C102" s="19" t="s">
        <v>497</v>
      </c>
      <c r="D102" s="19"/>
      <c r="E102" s="19"/>
      <c r="F102" s="19"/>
      <c r="G102" s="19"/>
      <c r="H102" s="395"/>
      <c r="I102" s="418"/>
      <c r="J102" s="418"/>
      <c r="K102" s="418"/>
      <c r="L102" s="418"/>
      <c r="M102" s="418"/>
      <c r="N102" s="418"/>
      <c r="O102" s="418"/>
      <c r="P102" s="418"/>
      <c r="Q102" s="418"/>
      <c r="R102" s="419"/>
      <c r="S102" s="395"/>
      <c r="T102" s="418"/>
      <c r="U102" s="418"/>
      <c r="V102" s="418"/>
      <c r="W102" s="418"/>
      <c r="X102" s="419"/>
      <c r="Y102" s="252" t="str">
        <f t="shared" si="30"/>
        <v/>
      </c>
      <c r="Z102" s="418"/>
      <c r="AA102" s="419"/>
      <c r="AB102" s="252" t="str">
        <f t="shared" si="31"/>
        <v/>
      </c>
      <c r="AC102" s="418"/>
      <c r="AD102" s="419"/>
      <c r="AE102" s="252" t="str">
        <f t="shared" si="32"/>
        <v/>
      </c>
      <c r="AF102" s="418"/>
      <c r="AG102" s="418"/>
      <c r="AH102" s="418"/>
      <c r="AI102" s="418"/>
      <c r="AJ102" s="418"/>
      <c r="AK102" s="419"/>
      <c r="AL102" s="398" t="str">
        <f t="shared" si="33"/>
        <v/>
      </c>
      <c r="AM102" s="418"/>
      <c r="AN102" s="418"/>
      <c r="AO102" s="418"/>
      <c r="AP102" s="418"/>
      <c r="AQ102" s="418"/>
      <c r="AR102" s="419"/>
      <c r="AS102" s="20"/>
      <c r="BK102" s="413" t="str">
        <f t="shared" si="34"/>
        <v/>
      </c>
      <c r="BL102" s="414"/>
      <c r="BM102" s="414"/>
      <c r="BN102" s="414"/>
      <c r="BO102" s="414"/>
      <c r="BP102" s="414"/>
      <c r="BQ102" s="414"/>
      <c r="BR102" s="414"/>
      <c r="BS102" s="415"/>
      <c r="BT102" s="413" t="str">
        <f t="shared" ref="BT102:BT109" si="35">BT101&amp;IF(AE101="Custom","     "&amp;BK102,IF(S102="None",", "&amp;BK102,"")&amp;IF(OR(S102="Alternate",S102="Dynamic"),CHAR(10)&amp;"     "&amp;BK102,"")&amp;IF(S102="Normal",IF(OR(S101="Alternate",S101="Dynamic",S101="None"),CHAR(10)&amp;"     "&amp;BK102,", "&amp;BK102),""))</f>
        <v/>
      </c>
      <c r="BU102" s="416"/>
      <c r="BV102" s="416"/>
      <c r="BW102" s="416"/>
      <c r="BX102" s="416"/>
      <c r="BY102" s="416"/>
      <c r="BZ102" s="416"/>
      <c r="CA102" s="416"/>
      <c r="CB102" s="417"/>
      <c r="CC102" s="405"/>
      <c r="CD102" s="406"/>
      <c r="CE102" s="406"/>
      <c r="CF102" s="406"/>
      <c r="CG102" s="406"/>
      <c r="CH102" s="406"/>
      <c r="CI102" s="406"/>
      <c r="CJ102" s="406"/>
      <c r="CK102" s="406"/>
      <c r="CL102" s="406"/>
      <c r="CM102" s="406"/>
      <c r="CN102" s="406"/>
      <c r="CO102" s="406"/>
      <c r="CP102" s="406"/>
      <c r="CQ102" s="406"/>
      <c r="CR102" s="406"/>
      <c r="CS102" s="406"/>
      <c r="CT102" s="407"/>
      <c r="DO102" s="405"/>
      <c r="DP102" s="406"/>
      <c r="DQ102" s="406"/>
      <c r="DR102" s="406"/>
      <c r="DS102" s="406"/>
      <c r="DT102" s="406"/>
      <c r="DU102" s="406"/>
      <c r="DV102" s="406"/>
      <c r="DW102" s="406"/>
      <c r="DX102" s="406"/>
      <c r="DY102" s="406"/>
      <c r="DZ102" s="406"/>
      <c r="EA102" s="406"/>
      <c r="EB102" s="406"/>
      <c r="EC102" s="406"/>
      <c r="ED102" s="406"/>
      <c r="EE102" s="406"/>
      <c r="EF102" s="407"/>
      <c r="FT102" s="405"/>
      <c r="FU102" s="406"/>
      <c r="FV102" s="406"/>
      <c r="FW102" s="406"/>
      <c r="FX102" s="406"/>
      <c r="FY102" s="406"/>
      <c r="FZ102" s="406"/>
      <c r="GA102" s="406"/>
      <c r="GB102" s="406"/>
      <c r="GC102" s="406"/>
      <c r="GD102" s="406"/>
      <c r="GE102" s="406"/>
      <c r="GF102" s="406"/>
      <c r="GG102" s="406"/>
      <c r="GH102" s="406"/>
      <c r="GI102" s="406"/>
      <c r="GJ102" s="406"/>
      <c r="GK102" s="407"/>
    </row>
    <row r="103" spans="2:193" ht="13.5" customHeight="1" thickBot="1">
      <c r="B103" s="18"/>
      <c r="C103" s="19" t="s">
        <v>498</v>
      </c>
      <c r="D103" s="19"/>
      <c r="E103" s="19"/>
      <c r="F103" s="19"/>
      <c r="G103" s="19"/>
      <c r="H103" s="395"/>
      <c r="I103" s="418"/>
      <c r="J103" s="418"/>
      <c r="K103" s="418"/>
      <c r="L103" s="418"/>
      <c r="M103" s="418"/>
      <c r="N103" s="418"/>
      <c r="O103" s="418"/>
      <c r="P103" s="418"/>
      <c r="Q103" s="418"/>
      <c r="R103" s="419"/>
      <c r="S103" s="395"/>
      <c r="T103" s="418"/>
      <c r="U103" s="418"/>
      <c r="V103" s="418"/>
      <c r="W103" s="418"/>
      <c r="X103" s="419"/>
      <c r="Y103" s="252" t="str">
        <f t="shared" si="30"/>
        <v/>
      </c>
      <c r="Z103" s="418"/>
      <c r="AA103" s="419"/>
      <c r="AB103" s="252" t="str">
        <f t="shared" si="31"/>
        <v/>
      </c>
      <c r="AC103" s="418"/>
      <c r="AD103" s="419"/>
      <c r="AE103" s="252" t="str">
        <f t="shared" si="32"/>
        <v/>
      </c>
      <c r="AF103" s="418"/>
      <c r="AG103" s="418"/>
      <c r="AH103" s="418"/>
      <c r="AI103" s="418"/>
      <c r="AJ103" s="418"/>
      <c r="AK103" s="419"/>
      <c r="AL103" s="398" t="str">
        <f t="shared" si="33"/>
        <v/>
      </c>
      <c r="AM103" s="418"/>
      <c r="AN103" s="418"/>
      <c r="AO103" s="418"/>
      <c r="AP103" s="418"/>
      <c r="AQ103" s="418"/>
      <c r="AR103" s="419"/>
      <c r="AS103" s="20"/>
      <c r="BK103" s="413" t="str">
        <f t="shared" si="34"/>
        <v/>
      </c>
      <c r="BL103" s="414"/>
      <c r="BM103" s="414"/>
      <c r="BN103" s="414"/>
      <c r="BO103" s="414"/>
      <c r="BP103" s="414"/>
      <c r="BQ103" s="414"/>
      <c r="BR103" s="414"/>
      <c r="BS103" s="415"/>
      <c r="BT103" s="413" t="str">
        <f t="shared" si="35"/>
        <v/>
      </c>
      <c r="BU103" s="416"/>
      <c r="BV103" s="416"/>
      <c r="BW103" s="416"/>
      <c r="BX103" s="416"/>
      <c r="BY103" s="416"/>
      <c r="BZ103" s="416"/>
      <c r="CA103" s="416"/>
      <c r="CB103" s="417"/>
      <c r="CC103" s="405"/>
      <c r="CD103" s="406"/>
      <c r="CE103" s="406"/>
      <c r="CF103" s="406"/>
      <c r="CG103" s="406"/>
      <c r="CH103" s="406"/>
      <c r="CI103" s="406"/>
      <c r="CJ103" s="406"/>
      <c r="CK103" s="406"/>
      <c r="CL103" s="406"/>
      <c r="CM103" s="406"/>
      <c r="CN103" s="406"/>
      <c r="CO103" s="406"/>
      <c r="CP103" s="406"/>
      <c r="CQ103" s="406"/>
      <c r="CR103" s="406"/>
      <c r="CS103" s="406"/>
      <c r="CT103" s="407"/>
      <c r="DO103" s="405"/>
      <c r="DP103" s="406"/>
      <c r="DQ103" s="406"/>
      <c r="DR103" s="406"/>
      <c r="DS103" s="406"/>
      <c r="DT103" s="406"/>
      <c r="DU103" s="406"/>
      <c r="DV103" s="406"/>
      <c r="DW103" s="406"/>
      <c r="DX103" s="406"/>
      <c r="DY103" s="406"/>
      <c r="DZ103" s="406"/>
      <c r="EA103" s="406"/>
      <c r="EB103" s="406"/>
      <c r="EC103" s="406"/>
      <c r="ED103" s="406"/>
      <c r="EE103" s="406"/>
      <c r="EF103" s="407"/>
      <c r="FT103" s="405"/>
      <c r="FU103" s="406"/>
      <c r="FV103" s="406"/>
      <c r="FW103" s="406"/>
      <c r="FX103" s="406"/>
      <c r="FY103" s="406"/>
      <c r="FZ103" s="406"/>
      <c r="GA103" s="406"/>
      <c r="GB103" s="406"/>
      <c r="GC103" s="406"/>
      <c r="GD103" s="406"/>
      <c r="GE103" s="406"/>
      <c r="GF103" s="406"/>
      <c r="GG103" s="406"/>
      <c r="GH103" s="406"/>
      <c r="GI103" s="406"/>
      <c r="GJ103" s="406"/>
      <c r="GK103" s="407"/>
    </row>
    <row r="104" spans="2:193" ht="13.5" customHeight="1" thickBot="1">
      <c r="B104" s="18"/>
      <c r="C104" s="19" t="s">
        <v>499</v>
      </c>
      <c r="D104" s="19"/>
      <c r="E104" s="19"/>
      <c r="F104" s="19"/>
      <c r="G104" s="19"/>
      <c r="H104" s="395"/>
      <c r="I104" s="418"/>
      <c r="J104" s="418"/>
      <c r="K104" s="418"/>
      <c r="L104" s="418"/>
      <c r="M104" s="418"/>
      <c r="N104" s="418"/>
      <c r="O104" s="418"/>
      <c r="P104" s="418"/>
      <c r="Q104" s="418"/>
      <c r="R104" s="419"/>
      <c r="S104" s="395"/>
      <c r="T104" s="418"/>
      <c r="U104" s="418"/>
      <c r="V104" s="418"/>
      <c r="W104" s="418"/>
      <c r="X104" s="419"/>
      <c r="Y104" s="252" t="str">
        <f t="shared" si="30"/>
        <v/>
      </c>
      <c r="Z104" s="418"/>
      <c r="AA104" s="419"/>
      <c r="AB104" s="252" t="str">
        <f t="shared" si="31"/>
        <v/>
      </c>
      <c r="AC104" s="418"/>
      <c r="AD104" s="419"/>
      <c r="AE104" s="252" t="str">
        <f t="shared" si="32"/>
        <v/>
      </c>
      <c r="AF104" s="418"/>
      <c r="AG104" s="418"/>
      <c r="AH104" s="418"/>
      <c r="AI104" s="418"/>
      <c r="AJ104" s="418"/>
      <c r="AK104" s="419"/>
      <c r="AL104" s="398" t="str">
        <f t="shared" si="33"/>
        <v/>
      </c>
      <c r="AM104" s="418"/>
      <c r="AN104" s="418"/>
      <c r="AO104" s="418"/>
      <c r="AP104" s="418"/>
      <c r="AQ104" s="418"/>
      <c r="AR104" s="419"/>
      <c r="AS104" s="20"/>
      <c r="BK104" s="413" t="str">
        <f t="shared" si="34"/>
        <v/>
      </c>
      <c r="BL104" s="414"/>
      <c r="BM104" s="414"/>
      <c r="BN104" s="414"/>
      <c r="BO104" s="414"/>
      <c r="BP104" s="414"/>
      <c r="BQ104" s="414"/>
      <c r="BR104" s="414"/>
      <c r="BS104" s="415"/>
      <c r="BT104" s="413" t="str">
        <f t="shared" si="35"/>
        <v/>
      </c>
      <c r="BU104" s="416"/>
      <c r="BV104" s="416"/>
      <c r="BW104" s="416"/>
      <c r="BX104" s="416"/>
      <c r="BY104" s="416"/>
      <c r="BZ104" s="416"/>
      <c r="CA104" s="416"/>
      <c r="CB104" s="417"/>
      <c r="CC104" s="405"/>
      <c r="CD104" s="406"/>
      <c r="CE104" s="406"/>
      <c r="CF104" s="406"/>
      <c r="CG104" s="406"/>
      <c r="CH104" s="406"/>
      <c r="CI104" s="406"/>
      <c r="CJ104" s="406"/>
      <c r="CK104" s="406"/>
      <c r="CL104" s="406"/>
      <c r="CM104" s="406"/>
      <c r="CN104" s="406"/>
      <c r="CO104" s="406"/>
      <c r="CP104" s="406"/>
      <c r="CQ104" s="406"/>
      <c r="CR104" s="406"/>
      <c r="CS104" s="406"/>
      <c r="CT104" s="407"/>
      <c r="DO104" s="405"/>
      <c r="DP104" s="406"/>
      <c r="DQ104" s="406"/>
      <c r="DR104" s="406"/>
      <c r="DS104" s="406"/>
      <c r="DT104" s="406"/>
      <c r="DU104" s="406"/>
      <c r="DV104" s="406"/>
      <c r="DW104" s="406"/>
      <c r="DX104" s="406"/>
      <c r="DY104" s="406"/>
      <c r="DZ104" s="406"/>
      <c r="EA104" s="406"/>
      <c r="EB104" s="406"/>
      <c r="EC104" s="406"/>
      <c r="ED104" s="406"/>
      <c r="EE104" s="406"/>
      <c r="EF104" s="407"/>
      <c r="FT104" s="405"/>
      <c r="FU104" s="406"/>
      <c r="FV104" s="406"/>
      <c r="FW104" s="406"/>
      <c r="FX104" s="406"/>
      <c r="FY104" s="406"/>
      <c r="FZ104" s="406"/>
      <c r="GA104" s="406"/>
      <c r="GB104" s="406"/>
      <c r="GC104" s="406"/>
      <c r="GD104" s="406"/>
      <c r="GE104" s="406"/>
      <c r="GF104" s="406"/>
      <c r="GG104" s="406"/>
      <c r="GH104" s="406"/>
      <c r="GI104" s="406"/>
      <c r="GJ104" s="406"/>
      <c r="GK104" s="407"/>
    </row>
    <row r="105" spans="2:193" ht="13.5" customHeight="1" thickBot="1">
      <c r="B105" s="18"/>
      <c r="C105" s="19" t="s">
        <v>500</v>
      </c>
      <c r="D105" s="19"/>
      <c r="E105" s="19"/>
      <c r="F105" s="19"/>
      <c r="G105" s="19"/>
      <c r="H105" s="395"/>
      <c r="I105" s="418"/>
      <c r="J105" s="418"/>
      <c r="K105" s="418"/>
      <c r="L105" s="418"/>
      <c r="M105" s="418"/>
      <c r="N105" s="418"/>
      <c r="O105" s="418"/>
      <c r="P105" s="418"/>
      <c r="Q105" s="418"/>
      <c r="R105" s="419"/>
      <c r="S105" s="395"/>
      <c r="T105" s="418"/>
      <c r="U105" s="418"/>
      <c r="V105" s="418"/>
      <c r="W105" s="418"/>
      <c r="X105" s="419"/>
      <c r="Y105" s="252" t="str">
        <f t="shared" si="30"/>
        <v/>
      </c>
      <c r="Z105" s="418"/>
      <c r="AA105" s="419"/>
      <c r="AB105" s="252" t="str">
        <f t="shared" si="31"/>
        <v/>
      </c>
      <c r="AC105" s="418"/>
      <c r="AD105" s="419"/>
      <c r="AE105" s="252" t="str">
        <f t="shared" si="32"/>
        <v/>
      </c>
      <c r="AF105" s="418"/>
      <c r="AG105" s="418"/>
      <c r="AH105" s="418"/>
      <c r="AI105" s="418"/>
      <c r="AJ105" s="418"/>
      <c r="AK105" s="419"/>
      <c r="AL105" s="398" t="str">
        <f t="shared" si="33"/>
        <v/>
      </c>
      <c r="AM105" s="418"/>
      <c r="AN105" s="418"/>
      <c r="AO105" s="418"/>
      <c r="AP105" s="418"/>
      <c r="AQ105" s="418"/>
      <c r="AR105" s="419"/>
      <c r="AS105" s="20"/>
      <c r="BK105" s="413" t="str">
        <f t="shared" si="34"/>
        <v/>
      </c>
      <c r="BL105" s="414"/>
      <c r="BM105" s="414"/>
      <c r="BN105" s="414"/>
      <c r="BO105" s="414"/>
      <c r="BP105" s="414"/>
      <c r="BQ105" s="414"/>
      <c r="BR105" s="414"/>
      <c r="BS105" s="415"/>
      <c r="BT105" s="413" t="str">
        <f t="shared" si="35"/>
        <v/>
      </c>
      <c r="BU105" s="416"/>
      <c r="BV105" s="416"/>
      <c r="BW105" s="416"/>
      <c r="BX105" s="416"/>
      <c r="BY105" s="416"/>
      <c r="BZ105" s="416"/>
      <c r="CA105" s="416"/>
      <c r="CB105" s="417"/>
      <c r="CC105" s="405"/>
      <c r="CD105" s="406"/>
      <c r="CE105" s="406"/>
      <c r="CF105" s="406"/>
      <c r="CG105" s="406"/>
      <c r="CH105" s="406"/>
      <c r="CI105" s="406"/>
      <c r="CJ105" s="406"/>
      <c r="CK105" s="406"/>
      <c r="CL105" s="406"/>
      <c r="CM105" s="406"/>
      <c r="CN105" s="406"/>
      <c r="CO105" s="406"/>
      <c r="CP105" s="406"/>
      <c r="CQ105" s="406"/>
      <c r="CR105" s="406"/>
      <c r="CS105" s="406"/>
      <c r="CT105" s="407"/>
      <c r="DO105" s="405"/>
      <c r="DP105" s="406"/>
      <c r="DQ105" s="406"/>
      <c r="DR105" s="406"/>
      <c r="DS105" s="406"/>
      <c r="DT105" s="406"/>
      <c r="DU105" s="406"/>
      <c r="DV105" s="406"/>
      <c r="DW105" s="406"/>
      <c r="DX105" s="406"/>
      <c r="DY105" s="406"/>
      <c r="DZ105" s="406"/>
      <c r="EA105" s="406"/>
      <c r="EB105" s="406"/>
      <c r="EC105" s="406"/>
      <c r="ED105" s="406"/>
      <c r="EE105" s="406"/>
      <c r="EF105" s="407"/>
      <c r="FT105" s="405"/>
      <c r="FU105" s="406"/>
      <c r="FV105" s="406"/>
      <c r="FW105" s="406"/>
      <c r="FX105" s="406"/>
      <c r="FY105" s="406"/>
      <c r="FZ105" s="406"/>
      <c r="GA105" s="406"/>
      <c r="GB105" s="406"/>
      <c r="GC105" s="406"/>
      <c r="GD105" s="406"/>
      <c r="GE105" s="406"/>
      <c r="GF105" s="406"/>
      <c r="GG105" s="406"/>
      <c r="GH105" s="406"/>
      <c r="GI105" s="406"/>
      <c r="GJ105" s="406"/>
      <c r="GK105" s="407"/>
    </row>
    <row r="106" spans="2:193" ht="13.5" customHeight="1" thickBot="1">
      <c r="B106" s="18"/>
      <c r="C106" s="19" t="s">
        <v>501</v>
      </c>
      <c r="D106" s="19"/>
      <c r="E106" s="19"/>
      <c r="F106" s="19"/>
      <c r="G106" s="19"/>
      <c r="H106" s="395"/>
      <c r="I106" s="418"/>
      <c r="J106" s="418"/>
      <c r="K106" s="418"/>
      <c r="L106" s="418"/>
      <c r="M106" s="418"/>
      <c r="N106" s="418"/>
      <c r="O106" s="418"/>
      <c r="P106" s="418"/>
      <c r="Q106" s="418"/>
      <c r="R106" s="419"/>
      <c r="S106" s="395"/>
      <c r="T106" s="418"/>
      <c r="U106" s="418"/>
      <c r="V106" s="418"/>
      <c r="W106" s="418"/>
      <c r="X106" s="419"/>
      <c r="Y106" s="252" t="str">
        <f t="shared" si="30"/>
        <v/>
      </c>
      <c r="Z106" s="418"/>
      <c r="AA106" s="419"/>
      <c r="AB106" s="252" t="str">
        <f t="shared" si="31"/>
        <v/>
      </c>
      <c r="AC106" s="418"/>
      <c r="AD106" s="419"/>
      <c r="AE106" s="252" t="str">
        <f t="shared" si="32"/>
        <v/>
      </c>
      <c r="AF106" s="418"/>
      <c r="AG106" s="418"/>
      <c r="AH106" s="418"/>
      <c r="AI106" s="418"/>
      <c r="AJ106" s="418"/>
      <c r="AK106" s="419"/>
      <c r="AL106" s="398" t="str">
        <f t="shared" si="33"/>
        <v/>
      </c>
      <c r="AM106" s="418"/>
      <c r="AN106" s="418"/>
      <c r="AO106" s="418"/>
      <c r="AP106" s="418"/>
      <c r="AQ106" s="418"/>
      <c r="AR106" s="419"/>
      <c r="AS106" s="20"/>
      <c r="BK106" s="413" t="str">
        <f t="shared" si="34"/>
        <v/>
      </c>
      <c r="BL106" s="414"/>
      <c r="BM106" s="414"/>
      <c r="BN106" s="414"/>
      <c r="BO106" s="414"/>
      <c r="BP106" s="414"/>
      <c r="BQ106" s="414"/>
      <c r="BR106" s="414"/>
      <c r="BS106" s="415"/>
      <c r="BT106" s="413" t="str">
        <f t="shared" si="35"/>
        <v/>
      </c>
      <c r="BU106" s="416"/>
      <c r="BV106" s="416"/>
      <c r="BW106" s="416"/>
      <c r="BX106" s="416"/>
      <c r="BY106" s="416"/>
      <c r="BZ106" s="416"/>
      <c r="CA106" s="416"/>
      <c r="CB106" s="417"/>
      <c r="CC106" s="405"/>
      <c r="CD106" s="406"/>
      <c r="CE106" s="406"/>
      <c r="CF106" s="406"/>
      <c r="CG106" s="406"/>
      <c r="CH106" s="406"/>
      <c r="CI106" s="406"/>
      <c r="CJ106" s="406"/>
      <c r="CK106" s="406"/>
      <c r="CL106" s="406"/>
      <c r="CM106" s="406"/>
      <c r="CN106" s="406"/>
      <c r="CO106" s="406"/>
      <c r="CP106" s="406"/>
      <c r="CQ106" s="406"/>
      <c r="CR106" s="406"/>
      <c r="CS106" s="406"/>
      <c r="CT106" s="407"/>
      <c r="DO106" s="405"/>
      <c r="DP106" s="406"/>
      <c r="DQ106" s="406"/>
      <c r="DR106" s="406"/>
      <c r="DS106" s="406"/>
      <c r="DT106" s="406"/>
      <c r="DU106" s="406"/>
      <c r="DV106" s="406"/>
      <c r="DW106" s="406"/>
      <c r="DX106" s="406"/>
      <c r="DY106" s="406"/>
      <c r="DZ106" s="406"/>
      <c r="EA106" s="406"/>
      <c r="EB106" s="406"/>
      <c r="EC106" s="406"/>
      <c r="ED106" s="406"/>
      <c r="EE106" s="406"/>
      <c r="EF106" s="407"/>
      <c r="FT106" s="405"/>
      <c r="FU106" s="406"/>
      <c r="FV106" s="406"/>
      <c r="FW106" s="406"/>
      <c r="FX106" s="406"/>
      <c r="FY106" s="406"/>
      <c r="FZ106" s="406"/>
      <c r="GA106" s="406"/>
      <c r="GB106" s="406"/>
      <c r="GC106" s="406"/>
      <c r="GD106" s="406"/>
      <c r="GE106" s="406"/>
      <c r="GF106" s="406"/>
      <c r="GG106" s="406"/>
      <c r="GH106" s="406"/>
      <c r="GI106" s="406"/>
      <c r="GJ106" s="406"/>
      <c r="GK106" s="407"/>
    </row>
    <row r="107" spans="2:193" ht="13.5" customHeight="1" thickBot="1">
      <c r="B107" s="18"/>
      <c r="C107" s="19" t="s">
        <v>502</v>
      </c>
      <c r="D107" s="19"/>
      <c r="E107" s="19"/>
      <c r="F107" s="19"/>
      <c r="G107" s="19"/>
      <c r="H107" s="395"/>
      <c r="I107" s="418"/>
      <c r="J107" s="418"/>
      <c r="K107" s="418"/>
      <c r="L107" s="418"/>
      <c r="M107" s="418"/>
      <c r="N107" s="418"/>
      <c r="O107" s="418"/>
      <c r="P107" s="418"/>
      <c r="Q107" s="418"/>
      <c r="R107" s="419"/>
      <c r="S107" s="395"/>
      <c r="T107" s="418"/>
      <c r="U107" s="418"/>
      <c r="V107" s="418"/>
      <c r="W107" s="418"/>
      <c r="X107" s="419"/>
      <c r="Y107" s="252" t="str">
        <f t="shared" si="30"/>
        <v/>
      </c>
      <c r="Z107" s="418"/>
      <c r="AA107" s="419"/>
      <c r="AB107" s="252" t="str">
        <f t="shared" si="31"/>
        <v/>
      </c>
      <c r="AC107" s="418"/>
      <c r="AD107" s="419"/>
      <c r="AE107" s="252" t="str">
        <f t="shared" si="32"/>
        <v/>
      </c>
      <c r="AF107" s="418"/>
      <c r="AG107" s="418"/>
      <c r="AH107" s="418"/>
      <c r="AI107" s="418"/>
      <c r="AJ107" s="418"/>
      <c r="AK107" s="419"/>
      <c r="AL107" s="398" t="str">
        <f t="shared" si="33"/>
        <v/>
      </c>
      <c r="AM107" s="418"/>
      <c r="AN107" s="418"/>
      <c r="AO107" s="418"/>
      <c r="AP107" s="418"/>
      <c r="AQ107" s="418"/>
      <c r="AR107" s="419"/>
      <c r="AS107" s="20"/>
      <c r="BK107" s="413" t="str">
        <f t="shared" si="34"/>
        <v/>
      </c>
      <c r="BL107" s="414"/>
      <c r="BM107" s="414"/>
      <c r="BN107" s="414"/>
      <c r="BO107" s="414"/>
      <c r="BP107" s="414"/>
      <c r="BQ107" s="414"/>
      <c r="BR107" s="414"/>
      <c r="BS107" s="415"/>
      <c r="BT107" s="413" t="str">
        <f t="shared" si="35"/>
        <v/>
      </c>
      <c r="BU107" s="416"/>
      <c r="BV107" s="416"/>
      <c r="BW107" s="416"/>
      <c r="BX107" s="416"/>
      <c r="BY107" s="416"/>
      <c r="BZ107" s="416"/>
      <c r="CA107" s="416"/>
      <c r="CB107" s="417"/>
      <c r="CC107" s="405"/>
      <c r="CD107" s="406"/>
      <c r="CE107" s="406"/>
      <c r="CF107" s="406"/>
      <c r="CG107" s="406"/>
      <c r="CH107" s="406"/>
      <c r="CI107" s="406"/>
      <c r="CJ107" s="406"/>
      <c r="CK107" s="406"/>
      <c r="CL107" s="406"/>
      <c r="CM107" s="406"/>
      <c r="CN107" s="406"/>
      <c r="CO107" s="406"/>
      <c r="CP107" s="406"/>
      <c r="CQ107" s="406"/>
      <c r="CR107" s="406"/>
      <c r="CS107" s="406"/>
      <c r="CT107" s="407"/>
      <c r="DO107" s="405"/>
      <c r="DP107" s="406"/>
      <c r="DQ107" s="406"/>
      <c r="DR107" s="406"/>
      <c r="DS107" s="406"/>
      <c r="DT107" s="406"/>
      <c r="DU107" s="406"/>
      <c r="DV107" s="406"/>
      <c r="DW107" s="406"/>
      <c r="DX107" s="406"/>
      <c r="DY107" s="406"/>
      <c r="DZ107" s="406"/>
      <c r="EA107" s="406"/>
      <c r="EB107" s="406"/>
      <c r="EC107" s="406"/>
      <c r="ED107" s="406"/>
      <c r="EE107" s="406"/>
      <c r="EF107" s="407"/>
      <c r="FT107" s="405"/>
      <c r="FU107" s="406"/>
      <c r="FV107" s="406"/>
      <c r="FW107" s="406"/>
      <c r="FX107" s="406"/>
      <c r="FY107" s="406"/>
      <c r="FZ107" s="406"/>
      <c r="GA107" s="406"/>
      <c r="GB107" s="406"/>
      <c r="GC107" s="406"/>
      <c r="GD107" s="406"/>
      <c r="GE107" s="406"/>
      <c r="GF107" s="406"/>
      <c r="GG107" s="406"/>
      <c r="GH107" s="406"/>
      <c r="GI107" s="406"/>
      <c r="GJ107" s="406"/>
      <c r="GK107" s="407"/>
    </row>
    <row r="108" spans="2:193" ht="13.5" customHeight="1" thickBot="1">
      <c r="B108" s="18"/>
      <c r="C108" s="19" t="s">
        <v>503</v>
      </c>
      <c r="D108" s="19"/>
      <c r="E108" s="19"/>
      <c r="F108" s="19"/>
      <c r="G108" s="19"/>
      <c r="H108" s="395"/>
      <c r="I108" s="418"/>
      <c r="J108" s="418"/>
      <c r="K108" s="418"/>
      <c r="L108" s="418"/>
      <c r="M108" s="418"/>
      <c r="N108" s="418"/>
      <c r="O108" s="418"/>
      <c r="P108" s="418"/>
      <c r="Q108" s="418"/>
      <c r="R108" s="419"/>
      <c r="S108" s="395"/>
      <c r="T108" s="418"/>
      <c r="U108" s="418"/>
      <c r="V108" s="418"/>
      <c r="W108" s="418"/>
      <c r="X108" s="419"/>
      <c r="Y108" s="252" t="str">
        <f t="shared" si="30"/>
        <v/>
      </c>
      <c r="Z108" s="418"/>
      <c r="AA108" s="419"/>
      <c r="AB108" s="252" t="str">
        <f t="shared" si="31"/>
        <v/>
      </c>
      <c r="AC108" s="418"/>
      <c r="AD108" s="419"/>
      <c r="AE108" s="252" t="str">
        <f t="shared" si="32"/>
        <v/>
      </c>
      <c r="AF108" s="418"/>
      <c r="AG108" s="418"/>
      <c r="AH108" s="418"/>
      <c r="AI108" s="418"/>
      <c r="AJ108" s="418"/>
      <c r="AK108" s="419"/>
      <c r="AL108" s="398" t="str">
        <f t="shared" si="33"/>
        <v/>
      </c>
      <c r="AM108" s="418"/>
      <c r="AN108" s="418"/>
      <c r="AO108" s="418"/>
      <c r="AP108" s="418"/>
      <c r="AQ108" s="418"/>
      <c r="AR108" s="419"/>
      <c r="AS108" s="20"/>
      <c r="BK108" s="413" t="str">
        <f t="shared" si="34"/>
        <v/>
      </c>
      <c r="BL108" s="414"/>
      <c r="BM108" s="414"/>
      <c r="BN108" s="414"/>
      <c r="BO108" s="414"/>
      <c r="BP108" s="414"/>
      <c r="BQ108" s="414"/>
      <c r="BR108" s="414"/>
      <c r="BS108" s="415"/>
      <c r="BT108" s="413" t="str">
        <f t="shared" si="35"/>
        <v/>
      </c>
      <c r="BU108" s="416"/>
      <c r="BV108" s="416"/>
      <c r="BW108" s="416"/>
      <c r="BX108" s="416"/>
      <c r="BY108" s="416"/>
      <c r="BZ108" s="416"/>
      <c r="CA108" s="416"/>
      <c r="CB108" s="417"/>
      <c r="CC108" s="405"/>
      <c r="CD108" s="406"/>
      <c r="CE108" s="406"/>
      <c r="CF108" s="406"/>
      <c r="CG108" s="406"/>
      <c r="CH108" s="406"/>
      <c r="CI108" s="406"/>
      <c r="CJ108" s="406"/>
      <c r="CK108" s="406"/>
      <c r="CL108" s="406"/>
      <c r="CM108" s="406"/>
      <c r="CN108" s="406"/>
      <c r="CO108" s="406"/>
      <c r="CP108" s="406"/>
      <c r="CQ108" s="406"/>
      <c r="CR108" s="406"/>
      <c r="CS108" s="406"/>
      <c r="CT108" s="407"/>
      <c r="DO108" s="405"/>
      <c r="DP108" s="406"/>
      <c r="DQ108" s="406"/>
      <c r="DR108" s="406"/>
      <c r="DS108" s="406"/>
      <c r="DT108" s="406"/>
      <c r="DU108" s="406"/>
      <c r="DV108" s="406"/>
      <c r="DW108" s="406"/>
      <c r="DX108" s="406"/>
      <c r="DY108" s="406"/>
      <c r="DZ108" s="406"/>
      <c r="EA108" s="406"/>
      <c r="EB108" s="406"/>
      <c r="EC108" s="406"/>
      <c r="ED108" s="406"/>
      <c r="EE108" s="406"/>
      <c r="EF108" s="407"/>
      <c r="FT108" s="405"/>
      <c r="FU108" s="406"/>
      <c r="FV108" s="406"/>
      <c r="FW108" s="406"/>
      <c r="FX108" s="406"/>
      <c r="FY108" s="406"/>
      <c r="FZ108" s="406"/>
      <c r="GA108" s="406"/>
      <c r="GB108" s="406"/>
      <c r="GC108" s="406"/>
      <c r="GD108" s="406"/>
      <c r="GE108" s="406"/>
      <c r="GF108" s="406"/>
      <c r="GG108" s="406"/>
      <c r="GH108" s="406"/>
      <c r="GI108" s="406"/>
      <c r="GJ108" s="406"/>
      <c r="GK108" s="407"/>
    </row>
    <row r="109" spans="2:193" ht="13.5" customHeight="1" thickBot="1">
      <c r="B109" s="18"/>
      <c r="C109" s="19" t="s">
        <v>504</v>
      </c>
      <c r="D109" s="19"/>
      <c r="E109" s="19"/>
      <c r="F109" s="19"/>
      <c r="G109" s="19"/>
      <c r="H109" s="395"/>
      <c r="I109" s="418"/>
      <c r="J109" s="418"/>
      <c r="K109" s="418"/>
      <c r="L109" s="418"/>
      <c r="M109" s="418"/>
      <c r="N109" s="418"/>
      <c r="O109" s="418"/>
      <c r="P109" s="418"/>
      <c r="Q109" s="418"/>
      <c r="R109" s="419"/>
      <c r="S109" s="395"/>
      <c r="T109" s="418"/>
      <c r="U109" s="418"/>
      <c r="V109" s="418"/>
      <c r="W109" s="418"/>
      <c r="X109" s="419"/>
      <c r="Y109" s="252" t="str">
        <f t="shared" si="30"/>
        <v/>
      </c>
      <c r="Z109" s="418"/>
      <c r="AA109" s="419"/>
      <c r="AB109" s="252" t="str">
        <f t="shared" si="31"/>
        <v/>
      </c>
      <c r="AC109" s="418"/>
      <c r="AD109" s="419"/>
      <c r="AE109" s="252" t="str">
        <f t="shared" si="32"/>
        <v/>
      </c>
      <c r="AF109" s="418"/>
      <c r="AG109" s="418"/>
      <c r="AH109" s="418"/>
      <c r="AI109" s="418"/>
      <c r="AJ109" s="418"/>
      <c r="AK109" s="419"/>
      <c r="AL109" s="398" t="str">
        <f t="shared" si="33"/>
        <v/>
      </c>
      <c r="AM109" s="418"/>
      <c r="AN109" s="418"/>
      <c r="AO109" s="418"/>
      <c r="AP109" s="418"/>
      <c r="AQ109" s="418"/>
      <c r="AR109" s="419"/>
      <c r="AS109" s="20"/>
      <c r="BK109" s="413" t="str">
        <f t="shared" si="34"/>
        <v/>
      </c>
      <c r="BL109" s="414"/>
      <c r="BM109" s="414"/>
      <c r="BN109" s="414"/>
      <c r="BO109" s="414"/>
      <c r="BP109" s="414"/>
      <c r="BQ109" s="414"/>
      <c r="BR109" s="414"/>
      <c r="BS109" s="415"/>
      <c r="BT109" s="413" t="str">
        <f t="shared" si="35"/>
        <v/>
      </c>
      <c r="BU109" s="416"/>
      <c r="BV109" s="416"/>
      <c r="BW109" s="416"/>
      <c r="BX109" s="416"/>
      <c r="BY109" s="416"/>
      <c r="BZ109" s="416"/>
      <c r="CA109" s="416"/>
      <c r="CB109" s="417"/>
      <c r="CC109" s="405"/>
      <c r="CD109" s="406"/>
      <c r="CE109" s="406"/>
      <c r="CF109" s="406"/>
      <c r="CG109" s="406"/>
      <c r="CH109" s="406"/>
      <c r="CI109" s="406"/>
      <c r="CJ109" s="406"/>
      <c r="CK109" s="406"/>
      <c r="CL109" s="406"/>
      <c r="CM109" s="406"/>
      <c r="CN109" s="406"/>
      <c r="CO109" s="406"/>
      <c r="CP109" s="406"/>
      <c r="CQ109" s="406"/>
      <c r="CR109" s="406"/>
      <c r="CS109" s="406"/>
      <c r="CT109" s="407"/>
      <c r="DO109" s="405"/>
      <c r="DP109" s="406"/>
      <c r="DQ109" s="406"/>
      <c r="DR109" s="406"/>
      <c r="DS109" s="406"/>
      <c r="DT109" s="406"/>
      <c r="DU109" s="406"/>
      <c r="DV109" s="406"/>
      <c r="DW109" s="406"/>
      <c r="DX109" s="406"/>
      <c r="DY109" s="406"/>
      <c r="DZ109" s="406"/>
      <c r="EA109" s="406"/>
      <c r="EB109" s="406"/>
      <c r="EC109" s="406"/>
      <c r="ED109" s="406"/>
      <c r="EE109" s="406"/>
      <c r="EF109" s="407"/>
      <c r="FT109" s="405"/>
      <c r="FU109" s="406"/>
      <c r="FV109" s="406"/>
      <c r="FW109" s="406"/>
      <c r="FX109" s="406"/>
      <c r="FY109" s="406"/>
      <c r="FZ109" s="406"/>
      <c r="GA109" s="406"/>
      <c r="GB109" s="406"/>
      <c r="GC109" s="406"/>
      <c r="GD109" s="406"/>
      <c r="GE109" s="406"/>
      <c r="GF109" s="406"/>
      <c r="GG109" s="406"/>
      <c r="GH109" s="406"/>
      <c r="GI109" s="406"/>
      <c r="GJ109" s="406"/>
      <c r="GK109" s="407"/>
    </row>
    <row r="110" spans="2:193" ht="13.5" customHeight="1" thickBot="1">
      <c r="B110" s="18"/>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20"/>
      <c r="CC110" s="405"/>
      <c r="CD110" s="406"/>
      <c r="CE110" s="406"/>
      <c r="CF110" s="406"/>
      <c r="CG110" s="406"/>
      <c r="CH110" s="406"/>
      <c r="CI110" s="406"/>
      <c r="CJ110" s="406"/>
      <c r="CK110" s="406"/>
      <c r="CL110" s="406"/>
      <c r="CM110" s="406"/>
      <c r="CN110" s="406"/>
      <c r="CO110" s="406"/>
      <c r="CP110" s="406"/>
      <c r="CQ110" s="406"/>
      <c r="CR110" s="406"/>
      <c r="CS110" s="406"/>
      <c r="CT110" s="407"/>
      <c r="DO110" s="405"/>
      <c r="DP110" s="406"/>
      <c r="DQ110" s="406"/>
      <c r="DR110" s="406"/>
      <c r="DS110" s="406"/>
      <c r="DT110" s="406"/>
      <c r="DU110" s="406"/>
      <c r="DV110" s="406"/>
      <c r="DW110" s="406"/>
      <c r="DX110" s="406"/>
      <c r="DY110" s="406"/>
      <c r="DZ110" s="406"/>
      <c r="EA110" s="406"/>
      <c r="EB110" s="406"/>
      <c r="EC110" s="406"/>
      <c r="ED110" s="406"/>
      <c r="EE110" s="406"/>
      <c r="EF110" s="407"/>
      <c r="FT110" s="405"/>
      <c r="FU110" s="406"/>
      <c r="FV110" s="406"/>
      <c r="FW110" s="406"/>
      <c r="FX110" s="406"/>
      <c r="FY110" s="406"/>
      <c r="FZ110" s="406"/>
      <c r="GA110" s="406"/>
      <c r="GB110" s="406"/>
      <c r="GC110" s="406"/>
      <c r="GD110" s="406"/>
      <c r="GE110" s="406"/>
      <c r="GF110" s="406"/>
      <c r="GG110" s="406"/>
      <c r="GH110" s="406"/>
      <c r="GI110" s="406"/>
      <c r="GJ110" s="406"/>
      <c r="GK110" s="407"/>
    </row>
    <row r="111" spans="2:193" ht="13.5" customHeight="1" thickBot="1">
      <c r="B111" s="18"/>
      <c r="C111" s="388" t="s">
        <v>525</v>
      </c>
      <c r="D111" s="388"/>
      <c r="E111" s="388"/>
      <c r="F111" s="388"/>
      <c r="G111" s="421"/>
      <c r="H111" s="389"/>
      <c r="I111" s="422"/>
      <c r="J111" s="422"/>
      <c r="K111" s="422"/>
      <c r="L111" s="422"/>
      <c r="M111" s="422"/>
      <c r="N111" s="422"/>
      <c r="O111" s="422"/>
      <c r="P111" s="422"/>
      <c r="Q111" s="422"/>
      <c r="R111" s="422"/>
      <c r="S111" s="422"/>
      <c r="T111" s="422"/>
      <c r="U111" s="422"/>
      <c r="V111" s="422"/>
      <c r="W111" s="422"/>
      <c r="X111" s="422"/>
      <c r="Y111" s="422"/>
      <c r="Z111" s="422"/>
      <c r="AA111" s="422"/>
      <c r="AB111" s="422"/>
      <c r="AC111" s="422"/>
      <c r="AD111" s="422"/>
      <c r="AE111" s="422"/>
      <c r="AF111" s="422"/>
      <c r="AG111" s="422"/>
      <c r="AH111" s="422"/>
      <c r="AI111" s="423"/>
      <c r="AJ111" s="19"/>
      <c r="AK111" s="19" t="s">
        <v>526</v>
      </c>
      <c r="AL111" s="19"/>
      <c r="AM111" s="19"/>
      <c r="AN111" s="19"/>
      <c r="AO111" s="252" t="str">
        <f>IF(H99="","",SUM(Y100:AA109))</f>
        <v/>
      </c>
      <c r="AP111" s="418"/>
      <c r="AQ111" s="418"/>
      <c r="AR111" s="419"/>
      <c r="AS111" s="20"/>
      <c r="CC111" s="405"/>
      <c r="CD111" s="406"/>
      <c r="CE111" s="406"/>
      <c r="CF111" s="406"/>
      <c r="CG111" s="406"/>
      <c r="CH111" s="406"/>
      <c r="CI111" s="406"/>
      <c r="CJ111" s="406"/>
      <c r="CK111" s="406"/>
      <c r="CL111" s="406"/>
      <c r="CM111" s="406"/>
      <c r="CN111" s="406"/>
      <c r="CO111" s="406"/>
      <c r="CP111" s="406"/>
      <c r="CQ111" s="406"/>
      <c r="CR111" s="406"/>
      <c r="CS111" s="406"/>
      <c r="CT111" s="407"/>
      <c r="DO111" s="405"/>
      <c r="DP111" s="406"/>
      <c r="DQ111" s="406"/>
      <c r="DR111" s="406"/>
      <c r="DS111" s="406"/>
      <c r="DT111" s="406"/>
      <c r="DU111" s="406"/>
      <c r="DV111" s="406"/>
      <c r="DW111" s="406"/>
      <c r="DX111" s="406"/>
      <c r="DY111" s="406"/>
      <c r="DZ111" s="406"/>
      <c r="EA111" s="406"/>
      <c r="EB111" s="406"/>
      <c r="EC111" s="406"/>
      <c r="ED111" s="406"/>
      <c r="EE111" s="406"/>
      <c r="EF111" s="407"/>
      <c r="FT111" s="405"/>
      <c r="FU111" s="406"/>
      <c r="FV111" s="406"/>
      <c r="FW111" s="406"/>
      <c r="FX111" s="406"/>
      <c r="FY111" s="406"/>
      <c r="FZ111" s="406"/>
      <c r="GA111" s="406"/>
      <c r="GB111" s="406"/>
      <c r="GC111" s="406"/>
      <c r="GD111" s="406"/>
      <c r="GE111" s="406"/>
      <c r="GF111" s="406"/>
      <c r="GG111" s="406"/>
      <c r="GH111" s="406"/>
      <c r="GI111" s="406"/>
      <c r="GJ111" s="406"/>
      <c r="GK111" s="407"/>
    </row>
    <row r="112" spans="2:193" ht="13.5" customHeight="1" thickBot="1">
      <c r="B112" s="18"/>
      <c r="C112" s="388"/>
      <c r="D112" s="388"/>
      <c r="E112" s="388"/>
      <c r="F112" s="388"/>
      <c r="G112" s="421"/>
      <c r="H112" s="424"/>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6"/>
      <c r="AJ112" s="19"/>
      <c r="AK112" s="19"/>
      <c r="AL112" s="19"/>
      <c r="AM112" s="19"/>
      <c r="AN112" s="19"/>
      <c r="AO112" s="19"/>
      <c r="AP112" s="19"/>
      <c r="AQ112" s="19"/>
      <c r="AR112" s="19"/>
      <c r="AS112" s="20"/>
      <c r="CC112" s="408"/>
      <c r="CD112" s="409"/>
      <c r="CE112" s="409"/>
      <c r="CF112" s="409"/>
      <c r="CG112" s="409"/>
      <c r="CH112" s="409"/>
      <c r="CI112" s="409"/>
      <c r="CJ112" s="409"/>
      <c r="CK112" s="409"/>
      <c r="CL112" s="409"/>
      <c r="CM112" s="409"/>
      <c r="CN112" s="409"/>
      <c r="CO112" s="409"/>
      <c r="CP112" s="409"/>
      <c r="CQ112" s="409"/>
      <c r="CR112" s="409"/>
      <c r="CS112" s="409"/>
      <c r="CT112" s="410"/>
      <c r="DO112" s="408"/>
      <c r="DP112" s="409"/>
      <c r="DQ112" s="409"/>
      <c r="DR112" s="409"/>
      <c r="DS112" s="409"/>
      <c r="DT112" s="409"/>
      <c r="DU112" s="409"/>
      <c r="DV112" s="409"/>
      <c r="DW112" s="409"/>
      <c r="DX112" s="409"/>
      <c r="DY112" s="409"/>
      <c r="DZ112" s="409"/>
      <c r="EA112" s="409"/>
      <c r="EB112" s="409"/>
      <c r="EC112" s="409"/>
      <c r="ED112" s="409"/>
      <c r="EE112" s="409"/>
      <c r="EF112" s="410"/>
      <c r="FT112" s="408"/>
      <c r="FU112" s="409"/>
      <c r="FV112" s="409"/>
      <c r="FW112" s="409"/>
      <c r="FX112" s="409"/>
      <c r="FY112" s="409"/>
      <c r="FZ112" s="409"/>
      <c r="GA112" s="409"/>
      <c r="GB112" s="409"/>
      <c r="GC112" s="409"/>
      <c r="GD112" s="409"/>
      <c r="GE112" s="409"/>
      <c r="GF112" s="409"/>
      <c r="GG112" s="409"/>
      <c r="GH112" s="409"/>
      <c r="GI112" s="409"/>
      <c r="GJ112" s="409"/>
      <c r="GK112" s="410"/>
    </row>
    <row r="113" spans="2:193" ht="13.5" customHeight="1" thickBo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3"/>
    </row>
    <row r="114" spans="2:193" ht="13.5" customHeight="1" thickBot="1"/>
    <row r="115" spans="2:193" ht="13.5" customHeight="1" thickBot="1">
      <c r="B115" s="15"/>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7"/>
      <c r="BK115" s="12" t="s">
        <v>620</v>
      </c>
      <c r="BT115" s="12" t="s">
        <v>621</v>
      </c>
      <c r="CL115" s="44"/>
      <c r="CM115" s="44"/>
      <c r="CN115" s="44"/>
      <c r="CO115" s="44"/>
      <c r="CP115" s="44"/>
      <c r="CQ115" s="44"/>
      <c r="CR115" s="44"/>
      <c r="CS115" s="44"/>
      <c r="CT115" s="44"/>
    </row>
    <row r="116" spans="2:193" ht="13.5" customHeight="1" thickBot="1">
      <c r="B116" s="18"/>
      <c r="C116" s="19" t="s">
        <v>385</v>
      </c>
      <c r="D116" s="19"/>
      <c r="E116" s="19"/>
      <c r="F116" s="19"/>
      <c r="G116" s="19"/>
      <c r="H116" s="249"/>
      <c r="I116" s="418"/>
      <c r="J116" s="418"/>
      <c r="K116" s="418"/>
      <c r="L116" s="418"/>
      <c r="M116" s="418"/>
      <c r="N116" s="418"/>
      <c r="O116" s="418"/>
      <c r="P116" s="418"/>
      <c r="Q116" s="418"/>
      <c r="R116" s="419"/>
      <c r="S116" s="401" t="s">
        <v>505</v>
      </c>
      <c r="T116" s="425"/>
      <c r="U116" s="425"/>
      <c r="V116" s="425"/>
      <c r="W116" s="425"/>
      <c r="X116" s="425"/>
      <c r="Y116" s="262" t="s">
        <v>37</v>
      </c>
      <c r="Z116" s="262"/>
      <c r="AA116" s="262"/>
      <c r="AB116" s="262" t="s">
        <v>36</v>
      </c>
      <c r="AC116" s="262"/>
      <c r="AD116" s="262"/>
      <c r="AE116" s="262" t="s">
        <v>506</v>
      </c>
      <c r="AF116" s="262"/>
      <c r="AG116" s="262"/>
      <c r="AH116" s="262"/>
      <c r="AI116" s="262"/>
      <c r="AJ116" s="262"/>
      <c r="AK116" s="262"/>
      <c r="AL116" s="262" t="s">
        <v>507</v>
      </c>
      <c r="AM116" s="262"/>
      <c r="AN116" s="262"/>
      <c r="AO116" s="262"/>
      <c r="AP116" s="262"/>
      <c r="AQ116" s="262"/>
      <c r="AR116" s="262"/>
      <c r="AS116" s="20"/>
      <c r="BK116" s="384" t="str">
        <f>IF(H116="","",H116&amp;IF(H128="",""," ["&amp;H128&amp;"]"))</f>
        <v/>
      </c>
      <c r="BL116" s="414"/>
      <c r="BM116" s="414"/>
      <c r="BN116" s="414"/>
      <c r="BO116" s="414"/>
      <c r="BP116" s="414"/>
      <c r="BQ116" s="414"/>
      <c r="BR116" s="414"/>
      <c r="BS116" s="415"/>
      <c r="BT116" s="384"/>
      <c r="BU116" s="385"/>
      <c r="BV116" s="385"/>
      <c r="BW116" s="385"/>
      <c r="BX116" s="385"/>
      <c r="BY116" s="385"/>
      <c r="BZ116" s="385"/>
      <c r="CA116" s="385"/>
      <c r="CB116" s="386"/>
      <c r="CC116" s="346" t="str">
        <f>IF(BK116="","",CHAR(149)&amp;" "&amp;BK116&amp;CHAR(10)&amp;BT126)</f>
        <v/>
      </c>
      <c r="CD116" s="403"/>
      <c r="CE116" s="403"/>
      <c r="CF116" s="403"/>
      <c r="CG116" s="403"/>
      <c r="CH116" s="403"/>
      <c r="CI116" s="403"/>
      <c r="CJ116" s="403"/>
      <c r="CK116" s="403"/>
      <c r="CL116" s="403"/>
      <c r="CM116" s="403"/>
      <c r="CN116" s="403"/>
      <c r="CO116" s="403"/>
      <c r="CP116" s="403"/>
      <c r="CQ116" s="403"/>
      <c r="CR116" s="403"/>
      <c r="CS116" s="403"/>
      <c r="CT116" s="404"/>
      <c r="DO116" s="346" t="str">
        <f>IF($BK116="","","[b]"&amp;$BK116&amp;"[/b]"&amp;CHAR(10)&amp;$BT126)</f>
        <v/>
      </c>
      <c r="DP116" s="403"/>
      <c r="DQ116" s="403"/>
      <c r="DR116" s="403"/>
      <c r="DS116" s="403"/>
      <c r="DT116" s="403"/>
      <c r="DU116" s="403"/>
      <c r="DV116" s="403"/>
      <c r="DW116" s="403"/>
      <c r="DX116" s="403"/>
      <c r="DY116" s="403"/>
      <c r="DZ116" s="403"/>
      <c r="EA116" s="403"/>
      <c r="EB116" s="403"/>
      <c r="EC116" s="403"/>
      <c r="ED116" s="403"/>
      <c r="EE116" s="403"/>
      <c r="EF116" s="404"/>
      <c r="FT116" s="346" t="str">
        <f>IF($BK116="","","**"&amp;$BK116&amp;"**"&amp;CHAR(10)&amp;$BT126)</f>
        <v/>
      </c>
      <c r="FU116" s="403"/>
      <c r="FV116" s="403"/>
      <c r="FW116" s="403"/>
      <c r="FX116" s="403"/>
      <c r="FY116" s="403"/>
      <c r="FZ116" s="403"/>
      <c r="GA116" s="403"/>
      <c r="GB116" s="403"/>
      <c r="GC116" s="403"/>
      <c r="GD116" s="403"/>
      <c r="GE116" s="403"/>
      <c r="GF116" s="403"/>
      <c r="GG116" s="403"/>
      <c r="GH116" s="403"/>
      <c r="GI116" s="403"/>
      <c r="GJ116" s="403"/>
      <c r="GK116" s="404"/>
    </row>
    <row r="117" spans="2:193" ht="13.5" customHeight="1" thickBot="1">
      <c r="B117" s="18"/>
      <c r="C117" s="19" t="s">
        <v>495</v>
      </c>
      <c r="D117" s="19"/>
      <c r="E117" s="19"/>
      <c r="F117" s="19"/>
      <c r="G117" s="19"/>
      <c r="H117" s="395"/>
      <c r="I117" s="418"/>
      <c r="J117" s="418"/>
      <c r="K117" s="418"/>
      <c r="L117" s="418"/>
      <c r="M117" s="418"/>
      <c r="N117" s="418"/>
      <c r="O117" s="418"/>
      <c r="P117" s="418"/>
      <c r="Q117" s="418"/>
      <c r="R117" s="419"/>
      <c r="S117" s="395"/>
      <c r="T117" s="418"/>
      <c r="U117" s="418"/>
      <c r="V117" s="418"/>
      <c r="W117" s="418"/>
      <c r="X117" s="419"/>
      <c r="Y117" s="252" t="str">
        <f t="shared" ref="Y117:Y126" si="36">IF($H117="","",IF($S117="Normal",VLOOKUP($H117,EqCompMatrix,7,FALSE),IF($S117="Alternate",1,IF($S117="Dynamic",2,IF($S117="None",0,"")))))</f>
        <v/>
      </c>
      <c r="Z117" s="418"/>
      <c r="AA117" s="419"/>
      <c r="AB117" s="252" t="str">
        <f t="shared" ref="AB117:AB126" si="37">IF($H117="","",VLOOKUP($H117,EqCompMatrix,5,FALSE))</f>
        <v/>
      </c>
      <c r="AC117" s="418"/>
      <c r="AD117" s="419"/>
      <c r="AE117" s="252" t="str">
        <f t="shared" ref="AE117:AE126" si="38">IF($H117="","",VLOOKUP($H117,EqCompMatrix,9,FALSE))</f>
        <v/>
      </c>
      <c r="AF117" s="418"/>
      <c r="AG117" s="418"/>
      <c r="AH117" s="418"/>
      <c r="AI117" s="418"/>
      <c r="AJ117" s="418"/>
      <c r="AK117" s="419"/>
      <c r="AL117" s="398" t="str">
        <f t="shared" ref="AL117:AL126" si="39">IF($H117="","",VLOOKUP($H117,EqCompMatrix,15,FALSE))</f>
        <v/>
      </c>
      <c r="AM117" s="418"/>
      <c r="AN117" s="418"/>
      <c r="AO117" s="418"/>
      <c r="AP117" s="418"/>
      <c r="AQ117" s="418"/>
      <c r="AR117" s="419"/>
      <c r="AS117" s="20"/>
      <c r="BK117" s="413" t="str">
        <f>IF(H117="","",IF(S117="Alternate","Alt: ","")&amp;IF(S117="Dynamic","Dyn: ","")&amp;IF(H117=AE117,AE117&amp;" "&amp;AB117&amp;IF(AL117="",""," ["&amp;AL117&amp;"]"),IF(AE117="Custom",H117&amp;" ("&amp;Y117&amp;" points)"&amp;CHAR(10),H117&amp;": "&amp;AE117&amp;" "&amp;AB117&amp;IF(AL117="",""," ["&amp;AL117&amp;"]"))))</f>
        <v/>
      </c>
      <c r="BL117" s="414"/>
      <c r="BM117" s="414"/>
      <c r="BN117" s="414"/>
      <c r="BO117" s="414"/>
      <c r="BP117" s="414"/>
      <c r="BQ117" s="414"/>
      <c r="BR117" s="414"/>
      <c r="BS117" s="415"/>
      <c r="BT117" s="384" t="str">
        <f>IF(BK117="","","     "&amp;BK117)</f>
        <v/>
      </c>
      <c r="BU117" s="385"/>
      <c r="BV117" s="385"/>
      <c r="BW117" s="385"/>
      <c r="BX117" s="385"/>
      <c r="BY117" s="385"/>
      <c r="BZ117" s="385"/>
      <c r="CA117" s="385"/>
      <c r="CB117" s="386"/>
      <c r="CC117" s="405"/>
      <c r="CD117" s="406"/>
      <c r="CE117" s="406"/>
      <c r="CF117" s="406"/>
      <c r="CG117" s="406"/>
      <c r="CH117" s="406"/>
      <c r="CI117" s="406"/>
      <c r="CJ117" s="406"/>
      <c r="CK117" s="406"/>
      <c r="CL117" s="406"/>
      <c r="CM117" s="406"/>
      <c r="CN117" s="406"/>
      <c r="CO117" s="406"/>
      <c r="CP117" s="406"/>
      <c r="CQ117" s="406"/>
      <c r="CR117" s="406"/>
      <c r="CS117" s="406"/>
      <c r="CT117" s="407"/>
      <c r="DO117" s="405"/>
      <c r="DP117" s="406"/>
      <c r="DQ117" s="406"/>
      <c r="DR117" s="406"/>
      <c r="DS117" s="406"/>
      <c r="DT117" s="406"/>
      <c r="DU117" s="406"/>
      <c r="DV117" s="406"/>
      <c r="DW117" s="406"/>
      <c r="DX117" s="406"/>
      <c r="DY117" s="406"/>
      <c r="DZ117" s="406"/>
      <c r="EA117" s="406"/>
      <c r="EB117" s="406"/>
      <c r="EC117" s="406"/>
      <c r="ED117" s="406"/>
      <c r="EE117" s="406"/>
      <c r="EF117" s="407"/>
      <c r="FT117" s="405"/>
      <c r="FU117" s="406"/>
      <c r="FV117" s="406"/>
      <c r="FW117" s="406"/>
      <c r="FX117" s="406"/>
      <c r="FY117" s="406"/>
      <c r="FZ117" s="406"/>
      <c r="GA117" s="406"/>
      <c r="GB117" s="406"/>
      <c r="GC117" s="406"/>
      <c r="GD117" s="406"/>
      <c r="GE117" s="406"/>
      <c r="GF117" s="406"/>
      <c r="GG117" s="406"/>
      <c r="GH117" s="406"/>
      <c r="GI117" s="406"/>
      <c r="GJ117" s="406"/>
      <c r="GK117" s="407"/>
    </row>
    <row r="118" spans="2:193" ht="13.5" customHeight="1" thickBot="1">
      <c r="B118" s="18"/>
      <c r="C118" s="19" t="s">
        <v>496</v>
      </c>
      <c r="D118" s="19"/>
      <c r="E118" s="19"/>
      <c r="F118" s="19"/>
      <c r="G118" s="19"/>
      <c r="H118" s="395"/>
      <c r="I118" s="418"/>
      <c r="J118" s="418"/>
      <c r="K118" s="418"/>
      <c r="L118" s="418"/>
      <c r="M118" s="418"/>
      <c r="N118" s="418"/>
      <c r="O118" s="418"/>
      <c r="P118" s="418"/>
      <c r="Q118" s="418"/>
      <c r="R118" s="419"/>
      <c r="S118" s="395"/>
      <c r="T118" s="418"/>
      <c r="U118" s="418"/>
      <c r="V118" s="418"/>
      <c r="W118" s="418"/>
      <c r="X118" s="419"/>
      <c r="Y118" s="252" t="str">
        <f t="shared" si="36"/>
        <v/>
      </c>
      <c r="Z118" s="418"/>
      <c r="AA118" s="419"/>
      <c r="AB118" s="252" t="str">
        <f t="shared" si="37"/>
        <v/>
      </c>
      <c r="AC118" s="418"/>
      <c r="AD118" s="419"/>
      <c r="AE118" s="252" t="str">
        <f t="shared" si="38"/>
        <v/>
      </c>
      <c r="AF118" s="418"/>
      <c r="AG118" s="418"/>
      <c r="AH118" s="418"/>
      <c r="AI118" s="418"/>
      <c r="AJ118" s="418"/>
      <c r="AK118" s="419"/>
      <c r="AL118" s="398" t="str">
        <f t="shared" si="39"/>
        <v/>
      </c>
      <c r="AM118" s="418"/>
      <c r="AN118" s="418"/>
      <c r="AO118" s="418"/>
      <c r="AP118" s="418"/>
      <c r="AQ118" s="418"/>
      <c r="AR118" s="419"/>
      <c r="AS118" s="20"/>
      <c r="BK118" s="413" t="str">
        <f t="shared" ref="BK118:BK126" si="40">IF(H118="","",IF(S118="Alternate","Alt: ","")&amp;IF(S118="Dynamic","Dyn: ","")&amp;IF(H118=AE118,AE118&amp;" "&amp;AB118&amp;IF(AL118="",""," ["&amp;AL118&amp;"]"),IF(AE118="Custom",H118&amp;" ("&amp;Y118&amp;" points)"&amp;CHAR(10),H118&amp;": "&amp;AE118&amp;" "&amp;AB118&amp;IF(AL118="",""," ["&amp;AL118&amp;"]"))))</f>
        <v/>
      </c>
      <c r="BL118" s="414"/>
      <c r="BM118" s="414"/>
      <c r="BN118" s="414"/>
      <c r="BO118" s="414"/>
      <c r="BP118" s="414"/>
      <c r="BQ118" s="414"/>
      <c r="BR118" s="414"/>
      <c r="BS118" s="415"/>
      <c r="BT118" s="413" t="str">
        <f>BT117&amp;IF(AE117="Custom","     "&amp;BK118,IF(S118="None",", "&amp;BK118,"")&amp;IF(OR(S118="Alternate",S118="Dynamic"),CHAR(10)&amp;"     "&amp;BK118,"")&amp;IF(S118="Normal",IF(OR(S117="Alternate",S117="Dynamic",S117="None"),CHAR(10)&amp;"     "&amp;BK118,", "&amp;BK118),""))</f>
        <v/>
      </c>
      <c r="BU118" s="416"/>
      <c r="BV118" s="416"/>
      <c r="BW118" s="416"/>
      <c r="BX118" s="416"/>
      <c r="BY118" s="416"/>
      <c r="BZ118" s="416"/>
      <c r="CA118" s="416"/>
      <c r="CB118" s="417"/>
      <c r="CC118" s="405"/>
      <c r="CD118" s="406"/>
      <c r="CE118" s="406"/>
      <c r="CF118" s="406"/>
      <c r="CG118" s="406"/>
      <c r="CH118" s="406"/>
      <c r="CI118" s="406"/>
      <c r="CJ118" s="406"/>
      <c r="CK118" s="406"/>
      <c r="CL118" s="406"/>
      <c r="CM118" s="406"/>
      <c r="CN118" s="406"/>
      <c r="CO118" s="406"/>
      <c r="CP118" s="406"/>
      <c r="CQ118" s="406"/>
      <c r="CR118" s="406"/>
      <c r="CS118" s="406"/>
      <c r="CT118" s="407"/>
      <c r="DO118" s="405"/>
      <c r="DP118" s="406"/>
      <c r="DQ118" s="406"/>
      <c r="DR118" s="406"/>
      <c r="DS118" s="406"/>
      <c r="DT118" s="406"/>
      <c r="DU118" s="406"/>
      <c r="DV118" s="406"/>
      <c r="DW118" s="406"/>
      <c r="DX118" s="406"/>
      <c r="DY118" s="406"/>
      <c r="DZ118" s="406"/>
      <c r="EA118" s="406"/>
      <c r="EB118" s="406"/>
      <c r="EC118" s="406"/>
      <c r="ED118" s="406"/>
      <c r="EE118" s="406"/>
      <c r="EF118" s="407"/>
      <c r="FT118" s="405"/>
      <c r="FU118" s="406"/>
      <c r="FV118" s="406"/>
      <c r="FW118" s="406"/>
      <c r="FX118" s="406"/>
      <c r="FY118" s="406"/>
      <c r="FZ118" s="406"/>
      <c r="GA118" s="406"/>
      <c r="GB118" s="406"/>
      <c r="GC118" s="406"/>
      <c r="GD118" s="406"/>
      <c r="GE118" s="406"/>
      <c r="GF118" s="406"/>
      <c r="GG118" s="406"/>
      <c r="GH118" s="406"/>
      <c r="GI118" s="406"/>
      <c r="GJ118" s="406"/>
      <c r="GK118" s="407"/>
    </row>
    <row r="119" spans="2:193" ht="13.5" customHeight="1" thickBot="1">
      <c r="B119" s="18"/>
      <c r="C119" s="19" t="s">
        <v>497</v>
      </c>
      <c r="D119" s="19"/>
      <c r="E119" s="19"/>
      <c r="F119" s="19"/>
      <c r="G119" s="19"/>
      <c r="H119" s="395"/>
      <c r="I119" s="418"/>
      <c r="J119" s="418"/>
      <c r="K119" s="418"/>
      <c r="L119" s="418"/>
      <c r="M119" s="418"/>
      <c r="N119" s="418"/>
      <c r="O119" s="418"/>
      <c r="P119" s="418"/>
      <c r="Q119" s="418"/>
      <c r="R119" s="419"/>
      <c r="S119" s="395"/>
      <c r="T119" s="418"/>
      <c r="U119" s="418"/>
      <c r="V119" s="418"/>
      <c r="W119" s="418"/>
      <c r="X119" s="419"/>
      <c r="Y119" s="252" t="str">
        <f t="shared" si="36"/>
        <v/>
      </c>
      <c r="Z119" s="418"/>
      <c r="AA119" s="419"/>
      <c r="AB119" s="252" t="str">
        <f t="shared" si="37"/>
        <v/>
      </c>
      <c r="AC119" s="418"/>
      <c r="AD119" s="419"/>
      <c r="AE119" s="252" t="str">
        <f t="shared" si="38"/>
        <v/>
      </c>
      <c r="AF119" s="418"/>
      <c r="AG119" s="418"/>
      <c r="AH119" s="418"/>
      <c r="AI119" s="418"/>
      <c r="AJ119" s="418"/>
      <c r="AK119" s="419"/>
      <c r="AL119" s="398" t="str">
        <f t="shared" si="39"/>
        <v/>
      </c>
      <c r="AM119" s="418"/>
      <c r="AN119" s="418"/>
      <c r="AO119" s="418"/>
      <c r="AP119" s="418"/>
      <c r="AQ119" s="418"/>
      <c r="AR119" s="419"/>
      <c r="AS119" s="20"/>
      <c r="BK119" s="413" t="str">
        <f t="shared" si="40"/>
        <v/>
      </c>
      <c r="BL119" s="414"/>
      <c r="BM119" s="414"/>
      <c r="BN119" s="414"/>
      <c r="BO119" s="414"/>
      <c r="BP119" s="414"/>
      <c r="BQ119" s="414"/>
      <c r="BR119" s="414"/>
      <c r="BS119" s="415"/>
      <c r="BT119" s="413" t="str">
        <f t="shared" ref="BT119:BT126" si="41">BT118&amp;IF(AE118="Custom","     "&amp;BK119,IF(S119="None",", "&amp;BK119,"")&amp;IF(OR(S119="Alternate",S119="Dynamic"),CHAR(10)&amp;"     "&amp;BK119,"")&amp;IF(S119="Normal",IF(OR(S118="Alternate",S118="Dynamic",S118="None"),CHAR(10)&amp;"     "&amp;BK119,", "&amp;BK119),""))</f>
        <v/>
      </c>
      <c r="BU119" s="416"/>
      <c r="BV119" s="416"/>
      <c r="BW119" s="416"/>
      <c r="BX119" s="416"/>
      <c r="BY119" s="416"/>
      <c r="BZ119" s="416"/>
      <c r="CA119" s="416"/>
      <c r="CB119" s="417"/>
      <c r="CC119" s="405"/>
      <c r="CD119" s="406"/>
      <c r="CE119" s="406"/>
      <c r="CF119" s="406"/>
      <c r="CG119" s="406"/>
      <c r="CH119" s="406"/>
      <c r="CI119" s="406"/>
      <c r="CJ119" s="406"/>
      <c r="CK119" s="406"/>
      <c r="CL119" s="406"/>
      <c r="CM119" s="406"/>
      <c r="CN119" s="406"/>
      <c r="CO119" s="406"/>
      <c r="CP119" s="406"/>
      <c r="CQ119" s="406"/>
      <c r="CR119" s="406"/>
      <c r="CS119" s="406"/>
      <c r="CT119" s="407"/>
      <c r="DO119" s="405"/>
      <c r="DP119" s="406"/>
      <c r="DQ119" s="406"/>
      <c r="DR119" s="406"/>
      <c r="DS119" s="406"/>
      <c r="DT119" s="406"/>
      <c r="DU119" s="406"/>
      <c r="DV119" s="406"/>
      <c r="DW119" s="406"/>
      <c r="DX119" s="406"/>
      <c r="DY119" s="406"/>
      <c r="DZ119" s="406"/>
      <c r="EA119" s="406"/>
      <c r="EB119" s="406"/>
      <c r="EC119" s="406"/>
      <c r="ED119" s="406"/>
      <c r="EE119" s="406"/>
      <c r="EF119" s="407"/>
      <c r="FT119" s="405"/>
      <c r="FU119" s="406"/>
      <c r="FV119" s="406"/>
      <c r="FW119" s="406"/>
      <c r="FX119" s="406"/>
      <c r="FY119" s="406"/>
      <c r="FZ119" s="406"/>
      <c r="GA119" s="406"/>
      <c r="GB119" s="406"/>
      <c r="GC119" s="406"/>
      <c r="GD119" s="406"/>
      <c r="GE119" s="406"/>
      <c r="GF119" s="406"/>
      <c r="GG119" s="406"/>
      <c r="GH119" s="406"/>
      <c r="GI119" s="406"/>
      <c r="GJ119" s="406"/>
      <c r="GK119" s="407"/>
    </row>
    <row r="120" spans="2:193" ht="13.5" customHeight="1" thickBot="1">
      <c r="B120" s="18"/>
      <c r="C120" s="19" t="s">
        <v>498</v>
      </c>
      <c r="D120" s="19"/>
      <c r="E120" s="19"/>
      <c r="F120" s="19"/>
      <c r="G120" s="19"/>
      <c r="H120" s="395"/>
      <c r="I120" s="418"/>
      <c r="J120" s="418"/>
      <c r="K120" s="418"/>
      <c r="L120" s="418"/>
      <c r="M120" s="418"/>
      <c r="N120" s="418"/>
      <c r="O120" s="418"/>
      <c r="P120" s="418"/>
      <c r="Q120" s="418"/>
      <c r="R120" s="419"/>
      <c r="S120" s="395"/>
      <c r="T120" s="418"/>
      <c r="U120" s="418"/>
      <c r="V120" s="418"/>
      <c r="W120" s="418"/>
      <c r="X120" s="419"/>
      <c r="Y120" s="252" t="str">
        <f t="shared" si="36"/>
        <v/>
      </c>
      <c r="Z120" s="418"/>
      <c r="AA120" s="419"/>
      <c r="AB120" s="252" t="str">
        <f t="shared" si="37"/>
        <v/>
      </c>
      <c r="AC120" s="418"/>
      <c r="AD120" s="419"/>
      <c r="AE120" s="252" t="str">
        <f t="shared" si="38"/>
        <v/>
      </c>
      <c r="AF120" s="418"/>
      <c r="AG120" s="418"/>
      <c r="AH120" s="418"/>
      <c r="AI120" s="418"/>
      <c r="AJ120" s="418"/>
      <c r="AK120" s="419"/>
      <c r="AL120" s="398" t="str">
        <f t="shared" si="39"/>
        <v/>
      </c>
      <c r="AM120" s="418"/>
      <c r="AN120" s="418"/>
      <c r="AO120" s="418"/>
      <c r="AP120" s="418"/>
      <c r="AQ120" s="418"/>
      <c r="AR120" s="419"/>
      <c r="AS120" s="20"/>
      <c r="BK120" s="413" t="str">
        <f t="shared" si="40"/>
        <v/>
      </c>
      <c r="BL120" s="414"/>
      <c r="BM120" s="414"/>
      <c r="BN120" s="414"/>
      <c r="BO120" s="414"/>
      <c r="BP120" s="414"/>
      <c r="BQ120" s="414"/>
      <c r="BR120" s="414"/>
      <c r="BS120" s="415"/>
      <c r="BT120" s="413" t="str">
        <f t="shared" si="41"/>
        <v/>
      </c>
      <c r="BU120" s="416"/>
      <c r="BV120" s="416"/>
      <c r="BW120" s="416"/>
      <c r="BX120" s="416"/>
      <c r="BY120" s="416"/>
      <c r="BZ120" s="416"/>
      <c r="CA120" s="416"/>
      <c r="CB120" s="417"/>
      <c r="CC120" s="405"/>
      <c r="CD120" s="406"/>
      <c r="CE120" s="406"/>
      <c r="CF120" s="406"/>
      <c r="CG120" s="406"/>
      <c r="CH120" s="406"/>
      <c r="CI120" s="406"/>
      <c r="CJ120" s="406"/>
      <c r="CK120" s="406"/>
      <c r="CL120" s="406"/>
      <c r="CM120" s="406"/>
      <c r="CN120" s="406"/>
      <c r="CO120" s="406"/>
      <c r="CP120" s="406"/>
      <c r="CQ120" s="406"/>
      <c r="CR120" s="406"/>
      <c r="CS120" s="406"/>
      <c r="CT120" s="407"/>
      <c r="DO120" s="405"/>
      <c r="DP120" s="406"/>
      <c r="DQ120" s="406"/>
      <c r="DR120" s="406"/>
      <c r="DS120" s="406"/>
      <c r="DT120" s="406"/>
      <c r="DU120" s="406"/>
      <c r="DV120" s="406"/>
      <c r="DW120" s="406"/>
      <c r="DX120" s="406"/>
      <c r="DY120" s="406"/>
      <c r="DZ120" s="406"/>
      <c r="EA120" s="406"/>
      <c r="EB120" s="406"/>
      <c r="EC120" s="406"/>
      <c r="ED120" s="406"/>
      <c r="EE120" s="406"/>
      <c r="EF120" s="407"/>
      <c r="FT120" s="405"/>
      <c r="FU120" s="406"/>
      <c r="FV120" s="406"/>
      <c r="FW120" s="406"/>
      <c r="FX120" s="406"/>
      <c r="FY120" s="406"/>
      <c r="FZ120" s="406"/>
      <c r="GA120" s="406"/>
      <c r="GB120" s="406"/>
      <c r="GC120" s="406"/>
      <c r="GD120" s="406"/>
      <c r="GE120" s="406"/>
      <c r="GF120" s="406"/>
      <c r="GG120" s="406"/>
      <c r="GH120" s="406"/>
      <c r="GI120" s="406"/>
      <c r="GJ120" s="406"/>
      <c r="GK120" s="407"/>
    </row>
    <row r="121" spans="2:193" ht="13.5" customHeight="1" thickBot="1">
      <c r="B121" s="18"/>
      <c r="C121" s="19" t="s">
        <v>499</v>
      </c>
      <c r="D121" s="19"/>
      <c r="E121" s="19"/>
      <c r="F121" s="19"/>
      <c r="G121" s="19"/>
      <c r="H121" s="395"/>
      <c r="I121" s="418"/>
      <c r="J121" s="418"/>
      <c r="K121" s="418"/>
      <c r="L121" s="418"/>
      <c r="M121" s="418"/>
      <c r="N121" s="418"/>
      <c r="O121" s="418"/>
      <c r="P121" s="418"/>
      <c r="Q121" s="418"/>
      <c r="R121" s="419"/>
      <c r="S121" s="395"/>
      <c r="T121" s="418"/>
      <c r="U121" s="418"/>
      <c r="V121" s="418"/>
      <c r="W121" s="418"/>
      <c r="X121" s="419"/>
      <c r="Y121" s="252" t="str">
        <f t="shared" si="36"/>
        <v/>
      </c>
      <c r="Z121" s="418"/>
      <c r="AA121" s="419"/>
      <c r="AB121" s="252" t="str">
        <f t="shared" si="37"/>
        <v/>
      </c>
      <c r="AC121" s="418"/>
      <c r="AD121" s="419"/>
      <c r="AE121" s="252" t="str">
        <f t="shared" si="38"/>
        <v/>
      </c>
      <c r="AF121" s="418"/>
      <c r="AG121" s="418"/>
      <c r="AH121" s="418"/>
      <c r="AI121" s="418"/>
      <c r="AJ121" s="418"/>
      <c r="AK121" s="419"/>
      <c r="AL121" s="398" t="str">
        <f t="shared" si="39"/>
        <v/>
      </c>
      <c r="AM121" s="418"/>
      <c r="AN121" s="418"/>
      <c r="AO121" s="418"/>
      <c r="AP121" s="418"/>
      <c r="AQ121" s="418"/>
      <c r="AR121" s="419"/>
      <c r="AS121" s="20"/>
      <c r="BK121" s="413" t="str">
        <f t="shared" si="40"/>
        <v/>
      </c>
      <c r="BL121" s="414"/>
      <c r="BM121" s="414"/>
      <c r="BN121" s="414"/>
      <c r="BO121" s="414"/>
      <c r="BP121" s="414"/>
      <c r="BQ121" s="414"/>
      <c r="BR121" s="414"/>
      <c r="BS121" s="415"/>
      <c r="BT121" s="413" t="str">
        <f t="shared" si="41"/>
        <v/>
      </c>
      <c r="BU121" s="416"/>
      <c r="BV121" s="416"/>
      <c r="BW121" s="416"/>
      <c r="BX121" s="416"/>
      <c r="BY121" s="416"/>
      <c r="BZ121" s="416"/>
      <c r="CA121" s="416"/>
      <c r="CB121" s="417"/>
      <c r="CC121" s="405"/>
      <c r="CD121" s="406"/>
      <c r="CE121" s="406"/>
      <c r="CF121" s="406"/>
      <c r="CG121" s="406"/>
      <c r="CH121" s="406"/>
      <c r="CI121" s="406"/>
      <c r="CJ121" s="406"/>
      <c r="CK121" s="406"/>
      <c r="CL121" s="406"/>
      <c r="CM121" s="406"/>
      <c r="CN121" s="406"/>
      <c r="CO121" s="406"/>
      <c r="CP121" s="406"/>
      <c r="CQ121" s="406"/>
      <c r="CR121" s="406"/>
      <c r="CS121" s="406"/>
      <c r="CT121" s="407"/>
      <c r="DO121" s="405"/>
      <c r="DP121" s="406"/>
      <c r="DQ121" s="406"/>
      <c r="DR121" s="406"/>
      <c r="DS121" s="406"/>
      <c r="DT121" s="406"/>
      <c r="DU121" s="406"/>
      <c r="DV121" s="406"/>
      <c r="DW121" s="406"/>
      <c r="DX121" s="406"/>
      <c r="DY121" s="406"/>
      <c r="DZ121" s="406"/>
      <c r="EA121" s="406"/>
      <c r="EB121" s="406"/>
      <c r="EC121" s="406"/>
      <c r="ED121" s="406"/>
      <c r="EE121" s="406"/>
      <c r="EF121" s="407"/>
      <c r="FT121" s="405"/>
      <c r="FU121" s="406"/>
      <c r="FV121" s="406"/>
      <c r="FW121" s="406"/>
      <c r="FX121" s="406"/>
      <c r="FY121" s="406"/>
      <c r="FZ121" s="406"/>
      <c r="GA121" s="406"/>
      <c r="GB121" s="406"/>
      <c r="GC121" s="406"/>
      <c r="GD121" s="406"/>
      <c r="GE121" s="406"/>
      <c r="GF121" s="406"/>
      <c r="GG121" s="406"/>
      <c r="GH121" s="406"/>
      <c r="GI121" s="406"/>
      <c r="GJ121" s="406"/>
      <c r="GK121" s="407"/>
    </row>
    <row r="122" spans="2:193" ht="13.5" customHeight="1" thickBot="1">
      <c r="B122" s="18"/>
      <c r="C122" s="19" t="s">
        <v>500</v>
      </c>
      <c r="D122" s="19"/>
      <c r="E122" s="19"/>
      <c r="F122" s="19"/>
      <c r="G122" s="19"/>
      <c r="H122" s="395"/>
      <c r="I122" s="418"/>
      <c r="J122" s="418"/>
      <c r="K122" s="418"/>
      <c r="L122" s="418"/>
      <c r="M122" s="418"/>
      <c r="N122" s="418"/>
      <c r="O122" s="418"/>
      <c r="P122" s="418"/>
      <c r="Q122" s="418"/>
      <c r="R122" s="419"/>
      <c r="S122" s="395"/>
      <c r="T122" s="418"/>
      <c r="U122" s="418"/>
      <c r="V122" s="418"/>
      <c r="W122" s="418"/>
      <c r="X122" s="419"/>
      <c r="Y122" s="252" t="str">
        <f t="shared" si="36"/>
        <v/>
      </c>
      <c r="Z122" s="418"/>
      <c r="AA122" s="419"/>
      <c r="AB122" s="252" t="str">
        <f t="shared" si="37"/>
        <v/>
      </c>
      <c r="AC122" s="418"/>
      <c r="AD122" s="419"/>
      <c r="AE122" s="252" t="str">
        <f t="shared" si="38"/>
        <v/>
      </c>
      <c r="AF122" s="418"/>
      <c r="AG122" s="418"/>
      <c r="AH122" s="418"/>
      <c r="AI122" s="418"/>
      <c r="AJ122" s="418"/>
      <c r="AK122" s="419"/>
      <c r="AL122" s="398" t="str">
        <f t="shared" si="39"/>
        <v/>
      </c>
      <c r="AM122" s="418"/>
      <c r="AN122" s="418"/>
      <c r="AO122" s="418"/>
      <c r="AP122" s="418"/>
      <c r="AQ122" s="418"/>
      <c r="AR122" s="419"/>
      <c r="AS122" s="20"/>
      <c r="BK122" s="413" t="str">
        <f t="shared" si="40"/>
        <v/>
      </c>
      <c r="BL122" s="414"/>
      <c r="BM122" s="414"/>
      <c r="BN122" s="414"/>
      <c r="BO122" s="414"/>
      <c r="BP122" s="414"/>
      <c r="BQ122" s="414"/>
      <c r="BR122" s="414"/>
      <c r="BS122" s="415"/>
      <c r="BT122" s="413" t="str">
        <f t="shared" si="41"/>
        <v/>
      </c>
      <c r="BU122" s="416"/>
      <c r="BV122" s="416"/>
      <c r="BW122" s="416"/>
      <c r="BX122" s="416"/>
      <c r="BY122" s="416"/>
      <c r="BZ122" s="416"/>
      <c r="CA122" s="416"/>
      <c r="CB122" s="417"/>
      <c r="CC122" s="405"/>
      <c r="CD122" s="406"/>
      <c r="CE122" s="406"/>
      <c r="CF122" s="406"/>
      <c r="CG122" s="406"/>
      <c r="CH122" s="406"/>
      <c r="CI122" s="406"/>
      <c r="CJ122" s="406"/>
      <c r="CK122" s="406"/>
      <c r="CL122" s="406"/>
      <c r="CM122" s="406"/>
      <c r="CN122" s="406"/>
      <c r="CO122" s="406"/>
      <c r="CP122" s="406"/>
      <c r="CQ122" s="406"/>
      <c r="CR122" s="406"/>
      <c r="CS122" s="406"/>
      <c r="CT122" s="407"/>
      <c r="DO122" s="405"/>
      <c r="DP122" s="406"/>
      <c r="DQ122" s="406"/>
      <c r="DR122" s="406"/>
      <c r="DS122" s="406"/>
      <c r="DT122" s="406"/>
      <c r="DU122" s="406"/>
      <c r="DV122" s="406"/>
      <c r="DW122" s="406"/>
      <c r="DX122" s="406"/>
      <c r="DY122" s="406"/>
      <c r="DZ122" s="406"/>
      <c r="EA122" s="406"/>
      <c r="EB122" s="406"/>
      <c r="EC122" s="406"/>
      <c r="ED122" s="406"/>
      <c r="EE122" s="406"/>
      <c r="EF122" s="407"/>
      <c r="FT122" s="405"/>
      <c r="FU122" s="406"/>
      <c r="FV122" s="406"/>
      <c r="FW122" s="406"/>
      <c r="FX122" s="406"/>
      <c r="FY122" s="406"/>
      <c r="FZ122" s="406"/>
      <c r="GA122" s="406"/>
      <c r="GB122" s="406"/>
      <c r="GC122" s="406"/>
      <c r="GD122" s="406"/>
      <c r="GE122" s="406"/>
      <c r="GF122" s="406"/>
      <c r="GG122" s="406"/>
      <c r="GH122" s="406"/>
      <c r="GI122" s="406"/>
      <c r="GJ122" s="406"/>
      <c r="GK122" s="407"/>
    </row>
    <row r="123" spans="2:193" ht="13.5" customHeight="1" thickBot="1">
      <c r="B123" s="18"/>
      <c r="C123" s="19" t="s">
        <v>501</v>
      </c>
      <c r="D123" s="19"/>
      <c r="E123" s="19"/>
      <c r="F123" s="19"/>
      <c r="G123" s="19"/>
      <c r="H123" s="395"/>
      <c r="I123" s="418"/>
      <c r="J123" s="418"/>
      <c r="K123" s="418"/>
      <c r="L123" s="418"/>
      <c r="M123" s="418"/>
      <c r="N123" s="418"/>
      <c r="O123" s="418"/>
      <c r="P123" s="418"/>
      <c r="Q123" s="418"/>
      <c r="R123" s="419"/>
      <c r="S123" s="395"/>
      <c r="T123" s="418"/>
      <c r="U123" s="418"/>
      <c r="V123" s="418"/>
      <c r="W123" s="418"/>
      <c r="X123" s="419"/>
      <c r="Y123" s="252" t="str">
        <f t="shared" si="36"/>
        <v/>
      </c>
      <c r="Z123" s="418"/>
      <c r="AA123" s="419"/>
      <c r="AB123" s="252" t="str">
        <f t="shared" si="37"/>
        <v/>
      </c>
      <c r="AC123" s="418"/>
      <c r="AD123" s="419"/>
      <c r="AE123" s="252" t="str">
        <f t="shared" si="38"/>
        <v/>
      </c>
      <c r="AF123" s="418"/>
      <c r="AG123" s="418"/>
      <c r="AH123" s="418"/>
      <c r="AI123" s="418"/>
      <c r="AJ123" s="418"/>
      <c r="AK123" s="419"/>
      <c r="AL123" s="398" t="str">
        <f t="shared" si="39"/>
        <v/>
      </c>
      <c r="AM123" s="418"/>
      <c r="AN123" s="418"/>
      <c r="AO123" s="418"/>
      <c r="AP123" s="418"/>
      <c r="AQ123" s="418"/>
      <c r="AR123" s="419"/>
      <c r="AS123" s="20"/>
      <c r="BK123" s="413" t="str">
        <f t="shared" si="40"/>
        <v/>
      </c>
      <c r="BL123" s="414"/>
      <c r="BM123" s="414"/>
      <c r="BN123" s="414"/>
      <c r="BO123" s="414"/>
      <c r="BP123" s="414"/>
      <c r="BQ123" s="414"/>
      <c r="BR123" s="414"/>
      <c r="BS123" s="415"/>
      <c r="BT123" s="413" t="str">
        <f t="shared" si="41"/>
        <v/>
      </c>
      <c r="BU123" s="416"/>
      <c r="BV123" s="416"/>
      <c r="BW123" s="416"/>
      <c r="BX123" s="416"/>
      <c r="BY123" s="416"/>
      <c r="BZ123" s="416"/>
      <c r="CA123" s="416"/>
      <c r="CB123" s="417"/>
      <c r="CC123" s="405"/>
      <c r="CD123" s="406"/>
      <c r="CE123" s="406"/>
      <c r="CF123" s="406"/>
      <c r="CG123" s="406"/>
      <c r="CH123" s="406"/>
      <c r="CI123" s="406"/>
      <c r="CJ123" s="406"/>
      <c r="CK123" s="406"/>
      <c r="CL123" s="406"/>
      <c r="CM123" s="406"/>
      <c r="CN123" s="406"/>
      <c r="CO123" s="406"/>
      <c r="CP123" s="406"/>
      <c r="CQ123" s="406"/>
      <c r="CR123" s="406"/>
      <c r="CS123" s="406"/>
      <c r="CT123" s="407"/>
      <c r="DO123" s="405"/>
      <c r="DP123" s="406"/>
      <c r="DQ123" s="406"/>
      <c r="DR123" s="406"/>
      <c r="DS123" s="406"/>
      <c r="DT123" s="406"/>
      <c r="DU123" s="406"/>
      <c r="DV123" s="406"/>
      <c r="DW123" s="406"/>
      <c r="DX123" s="406"/>
      <c r="DY123" s="406"/>
      <c r="DZ123" s="406"/>
      <c r="EA123" s="406"/>
      <c r="EB123" s="406"/>
      <c r="EC123" s="406"/>
      <c r="ED123" s="406"/>
      <c r="EE123" s="406"/>
      <c r="EF123" s="407"/>
      <c r="FT123" s="405"/>
      <c r="FU123" s="406"/>
      <c r="FV123" s="406"/>
      <c r="FW123" s="406"/>
      <c r="FX123" s="406"/>
      <c r="FY123" s="406"/>
      <c r="FZ123" s="406"/>
      <c r="GA123" s="406"/>
      <c r="GB123" s="406"/>
      <c r="GC123" s="406"/>
      <c r="GD123" s="406"/>
      <c r="GE123" s="406"/>
      <c r="GF123" s="406"/>
      <c r="GG123" s="406"/>
      <c r="GH123" s="406"/>
      <c r="GI123" s="406"/>
      <c r="GJ123" s="406"/>
      <c r="GK123" s="407"/>
    </row>
    <row r="124" spans="2:193" ht="13.5" customHeight="1" thickBot="1">
      <c r="B124" s="18"/>
      <c r="C124" s="19" t="s">
        <v>502</v>
      </c>
      <c r="D124" s="19"/>
      <c r="E124" s="19"/>
      <c r="F124" s="19"/>
      <c r="G124" s="19"/>
      <c r="H124" s="395"/>
      <c r="I124" s="418"/>
      <c r="J124" s="418"/>
      <c r="K124" s="418"/>
      <c r="L124" s="418"/>
      <c r="M124" s="418"/>
      <c r="N124" s="418"/>
      <c r="O124" s="418"/>
      <c r="P124" s="418"/>
      <c r="Q124" s="418"/>
      <c r="R124" s="419"/>
      <c r="S124" s="395"/>
      <c r="T124" s="418"/>
      <c r="U124" s="418"/>
      <c r="V124" s="418"/>
      <c r="W124" s="418"/>
      <c r="X124" s="419"/>
      <c r="Y124" s="252" t="str">
        <f t="shared" si="36"/>
        <v/>
      </c>
      <c r="Z124" s="418"/>
      <c r="AA124" s="419"/>
      <c r="AB124" s="252" t="str">
        <f t="shared" si="37"/>
        <v/>
      </c>
      <c r="AC124" s="418"/>
      <c r="AD124" s="419"/>
      <c r="AE124" s="252" t="str">
        <f t="shared" si="38"/>
        <v/>
      </c>
      <c r="AF124" s="418"/>
      <c r="AG124" s="418"/>
      <c r="AH124" s="418"/>
      <c r="AI124" s="418"/>
      <c r="AJ124" s="418"/>
      <c r="AK124" s="419"/>
      <c r="AL124" s="398" t="str">
        <f t="shared" si="39"/>
        <v/>
      </c>
      <c r="AM124" s="418"/>
      <c r="AN124" s="418"/>
      <c r="AO124" s="418"/>
      <c r="AP124" s="418"/>
      <c r="AQ124" s="418"/>
      <c r="AR124" s="419"/>
      <c r="AS124" s="20"/>
      <c r="BK124" s="413" t="str">
        <f t="shared" si="40"/>
        <v/>
      </c>
      <c r="BL124" s="414"/>
      <c r="BM124" s="414"/>
      <c r="BN124" s="414"/>
      <c r="BO124" s="414"/>
      <c r="BP124" s="414"/>
      <c r="BQ124" s="414"/>
      <c r="BR124" s="414"/>
      <c r="BS124" s="415"/>
      <c r="BT124" s="413" t="str">
        <f t="shared" si="41"/>
        <v/>
      </c>
      <c r="BU124" s="416"/>
      <c r="BV124" s="416"/>
      <c r="BW124" s="416"/>
      <c r="BX124" s="416"/>
      <c r="BY124" s="416"/>
      <c r="BZ124" s="416"/>
      <c r="CA124" s="416"/>
      <c r="CB124" s="417"/>
      <c r="CC124" s="405"/>
      <c r="CD124" s="406"/>
      <c r="CE124" s="406"/>
      <c r="CF124" s="406"/>
      <c r="CG124" s="406"/>
      <c r="CH124" s="406"/>
      <c r="CI124" s="406"/>
      <c r="CJ124" s="406"/>
      <c r="CK124" s="406"/>
      <c r="CL124" s="406"/>
      <c r="CM124" s="406"/>
      <c r="CN124" s="406"/>
      <c r="CO124" s="406"/>
      <c r="CP124" s="406"/>
      <c r="CQ124" s="406"/>
      <c r="CR124" s="406"/>
      <c r="CS124" s="406"/>
      <c r="CT124" s="407"/>
      <c r="DO124" s="405"/>
      <c r="DP124" s="406"/>
      <c r="DQ124" s="406"/>
      <c r="DR124" s="406"/>
      <c r="DS124" s="406"/>
      <c r="DT124" s="406"/>
      <c r="DU124" s="406"/>
      <c r="DV124" s="406"/>
      <c r="DW124" s="406"/>
      <c r="DX124" s="406"/>
      <c r="DY124" s="406"/>
      <c r="DZ124" s="406"/>
      <c r="EA124" s="406"/>
      <c r="EB124" s="406"/>
      <c r="EC124" s="406"/>
      <c r="ED124" s="406"/>
      <c r="EE124" s="406"/>
      <c r="EF124" s="407"/>
      <c r="FT124" s="405"/>
      <c r="FU124" s="406"/>
      <c r="FV124" s="406"/>
      <c r="FW124" s="406"/>
      <c r="FX124" s="406"/>
      <c r="FY124" s="406"/>
      <c r="FZ124" s="406"/>
      <c r="GA124" s="406"/>
      <c r="GB124" s="406"/>
      <c r="GC124" s="406"/>
      <c r="GD124" s="406"/>
      <c r="GE124" s="406"/>
      <c r="GF124" s="406"/>
      <c r="GG124" s="406"/>
      <c r="GH124" s="406"/>
      <c r="GI124" s="406"/>
      <c r="GJ124" s="406"/>
      <c r="GK124" s="407"/>
    </row>
    <row r="125" spans="2:193" ht="13.5" customHeight="1" thickBot="1">
      <c r="B125" s="18"/>
      <c r="C125" s="19" t="s">
        <v>503</v>
      </c>
      <c r="D125" s="19"/>
      <c r="E125" s="19"/>
      <c r="F125" s="19"/>
      <c r="G125" s="19"/>
      <c r="H125" s="395"/>
      <c r="I125" s="418"/>
      <c r="J125" s="418"/>
      <c r="K125" s="418"/>
      <c r="L125" s="418"/>
      <c r="M125" s="418"/>
      <c r="N125" s="418"/>
      <c r="O125" s="418"/>
      <c r="P125" s="418"/>
      <c r="Q125" s="418"/>
      <c r="R125" s="419"/>
      <c r="S125" s="395"/>
      <c r="T125" s="418"/>
      <c r="U125" s="418"/>
      <c r="V125" s="418"/>
      <c r="W125" s="418"/>
      <c r="X125" s="419"/>
      <c r="Y125" s="252" t="str">
        <f t="shared" si="36"/>
        <v/>
      </c>
      <c r="Z125" s="418"/>
      <c r="AA125" s="419"/>
      <c r="AB125" s="252" t="str">
        <f t="shared" si="37"/>
        <v/>
      </c>
      <c r="AC125" s="418"/>
      <c r="AD125" s="419"/>
      <c r="AE125" s="252" t="str">
        <f t="shared" si="38"/>
        <v/>
      </c>
      <c r="AF125" s="418"/>
      <c r="AG125" s="418"/>
      <c r="AH125" s="418"/>
      <c r="AI125" s="418"/>
      <c r="AJ125" s="418"/>
      <c r="AK125" s="419"/>
      <c r="AL125" s="398" t="str">
        <f t="shared" si="39"/>
        <v/>
      </c>
      <c r="AM125" s="418"/>
      <c r="AN125" s="418"/>
      <c r="AO125" s="418"/>
      <c r="AP125" s="418"/>
      <c r="AQ125" s="418"/>
      <c r="AR125" s="419"/>
      <c r="AS125" s="20"/>
      <c r="BK125" s="413" t="str">
        <f t="shared" si="40"/>
        <v/>
      </c>
      <c r="BL125" s="414"/>
      <c r="BM125" s="414"/>
      <c r="BN125" s="414"/>
      <c r="BO125" s="414"/>
      <c r="BP125" s="414"/>
      <c r="BQ125" s="414"/>
      <c r="BR125" s="414"/>
      <c r="BS125" s="415"/>
      <c r="BT125" s="413" t="str">
        <f t="shared" si="41"/>
        <v/>
      </c>
      <c r="BU125" s="416"/>
      <c r="BV125" s="416"/>
      <c r="BW125" s="416"/>
      <c r="BX125" s="416"/>
      <c r="BY125" s="416"/>
      <c r="BZ125" s="416"/>
      <c r="CA125" s="416"/>
      <c r="CB125" s="417"/>
      <c r="CC125" s="405"/>
      <c r="CD125" s="406"/>
      <c r="CE125" s="406"/>
      <c r="CF125" s="406"/>
      <c r="CG125" s="406"/>
      <c r="CH125" s="406"/>
      <c r="CI125" s="406"/>
      <c r="CJ125" s="406"/>
      <c r="CK125" s="406"/>
      <c r="CL125" s="406"/>
      <c r="CM125" s="406"/>
      <c r="CN125" s="406"/>
      <c r="CO125" s="406"/>
      <c r="CP125" s="406"/>
      <c r="CQ125" s="406"/>
      <c r="CR125" s="406"/>
      <c r="CS125" s="406"/>
      <c r="CT125" s="407"/>
      <c r="DO125" s="405"/>
      <c r="DP125" s="406"/>
      <c r="DQ125" s="406"/>
      <c r="DR125" s="406"/>
      <c r="DS125" s="406"/>
      <c r="DT125" s="406"/>
      <c r="DU125" s="406"/>
      <c r="DV125" s="406"/>
      <c r="DW125" s="406"/>
      <c r="DX125" s="406"/>
      <c r="DY125" s="406"/>
      <c r="DZ125" s="406"/>
      <c r="EA125" s="406"/>
      <c r="EB125" s="406"/>
      <c r="EC125" s="406"/>
      <c r="ED125" s="406"/>
      <c r="EE125" s="406"/>
      <c r="EF125" s="407"/>
      <c r="FT125" s="405"/>
      <c r="FU125" s="406"/>
      <c r="FV125" s="406"/>
      <c r="FW125" s="406"/>
      <c r="FX125" s="406"/>
      <c r="FY125" s="406"/>
      <c r="FZ125" s="406"/>
      <c r="GA125" s="406"/>
      <c r="GB125" s="406"/>
      <c r="GC125" s="406"/>
      <c r="GD125" s="406"/>
      <c r="GE125" s="406"/>
      <c r="GF125" s="406"/>
      <c r="GG125" s="406"/>
      <c r="GH125" s="406"/>
      <c r="GI125" s="406"/>
      <c r="GJ125" s="406"/>
      <c r="GK125" s="407"/>
    </row>
    <row r="126" spans="2:193" ht="13.5" customHeight="1" thickBot="1">
      <c r="B126" s="18"/>
      <c r="C126" s="19" t="s">
        <v>504</v>
      </c>
      <c r="D126" s="19"/>
      <c r="E126" s="19"/>
      <c r="F126" s="19"/>
      <c r="G126" s="19"/>
      <c r="H126" s="395"/>
      <c r="I126" s="418"/>
      <c r="J126" s="418"/>
      <c r="K126" s="418"/>
      <c r="L126" s="418"/>
      <c r="M126" s="418"/>
      <c r="N126" s="418"/>
      <c r="O126" s="418"/>
      <c r="P126" s="418"/>
      <c r="Q126" s="418"/>
      <c r="R126" s="419"/>
      <c r="S126" s="395"/>
      <c r="T126" s="418"/>
      <c r="U126" s="418"/>
      <c r="V126" s="418"/>
      <c r="W126" s="418"/>
      <c r="X126" s="419"/>
      <c r="Y126" s="252" t="str">
        <f t="shared" si="36"/>
        <v/>
      </c>
      <c r="Z126" s="418"/>
      <c r="AA126" s="419"/>
      <c r="AB126" s="252" t="str">
        <f t="shared" si="37"/>
        <v/>
      </c>
      <c r="AC126" s="418"/>
      <c r="AD126" s="419"/>
      <c r="AE126" s="252" t="str">
        <f t="shared" si="38"/>
        <v/>
      </c>
      <c r="AF126" s="418"/>
      <c r="AG126" s="418"/>
      <c r="AH126" s="418"/>
      <c r="AI126" s="418"/>
      <c r="AJ126" s="418"/>
      <c r="AK126" s="419"/>
      <c r="AL126" s="398" t="str">
        <f t="shared" si="39"/>
        <v/>
      </c>
      <c r="AM126" s="418"/>
      <c r="AN126" s="418"/>
      <c r="AO126" s="418"/>
      <c r="AP126" s="418"/>
      <c r="AQ126" s="418"/>
      <c r="AR126" s="419"/>
      <c r="AS126" s="20"/>
      <c r="BK126" s="413" t="str">
        <f t="shared" si="40"/>
        <v/>
      </c>
      <c r="BL126" s="414"/>
      <c r="BM126" s="414"/>
      <c r="BN126" s="414"/>
      <c r="BO126" s="414"/>
      <c r="BP126" s="414"/>
      <c r="BQ126" s="414"/>
      <c r="BR126" s="414"/>
      <c r="BS126" s="415"/>
      <c r="BT126" s="413" t="str">
        <f t="shared" si="41"/>
        <v/>
      </c>
      <c r="BU126" s="416"/>
      <c r="BV126" s="416"/>
      <c r="BW126" s="416"/>
      <c r="BX126" s="416"/>
      <c r="BY126" s="416"/>
      <c r="BZ126" s="416"/>
      <c r="CA126" s="416"/>
      <c r="CB126" s="417"/>
      <c r="CC126" s="405"/>
      <c r="CD126" s="406"/>
      <c r="CE126" s="406"/>
      <c r="CF126" s="406"/>
      <c r="CG126" s="406"/>
      <c r="CH126" s="406"/>
      <c r="CI126" s="406"/>
      <c r="CJ126" s="406"/>
      <c r="CK126" s="406"/>
      <c r="CL126" s="406"/>
      <c r="CM126" s="406"/>
      <c r="CN126" s="406"/>
      <c r="CO126" s="406"/>
      <c r="CP126" s="406"/>
      <c r="CQ126" s="406"/>
      <c r="CR126" s="406"/>
      <c r="CS126" s="406"/>
      <c r="CT126" s="407"/>
      <c r="DO126" s="405"/>
      <c r="DP126" s="406"/>
      <c r="DQ126" s="406"/>
      <c r="DR126" s="406"/>
      <c r="DS126" s="406"/>
      <c r="DT126" s="406"/>
      <c r="DU126" s="406"/>
      <c r="DV126" s="406"/>
      <c r="DW126" s="406"/>
      <c r="DX126" s="406"/>
      <c r="DY126" s="406"/>
      <c r="DZ126" s="406"/>
      <c r="EA126" s="406"/>
      <c r="EB126" s="406"/>
      <c r="EC126" s="406"/>
      <c r="ED126" s="406"/>
      <c r="EE126" s="406"/>
      <c r="EF126" s="407"/>
      <c r="FT126" s="405"/>
      <c r="FU126" s="406"/>
      <c r="FV126" s="406"/>
      <c r="FW126" s="406"/>
      <c r="FX126" s="406"/>
      <c r="FY126" s="406"/>
      <c r="FZ126" s="406"/>
      <c r="GA126" s="406"/>
      <c r="GB126" s="406"/>
      <c r="GC126" s="406"/>
      <c r="GD126" s="406"/>
      <c r="GE126" s="406"/>
      <c r="GF126" s="406"/>
      <c r="GG126" s="406"/>
      <c r="GH126" s="406"/>
      <c r="GI126" s="406"/>
      <c r="GJ126" s="406"/>
      <c r="GK126" s="407"/>
    </row>
    <row r="127" spans="2:193" ht="13.5" customHeight="1" thickBot="1">
      <c r="B127" s="18"/>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20"/>
      <c r="CC127" s="405"/>
      <c r="CD127" s="406"/>
      <c r="CE127" s="406"/>
      <c r="CF127" s="406"/>
      <c r="CG127" s="406"/>
      <c r="CH127" s="406"/>
      <c r="CI127" s="406"/>
      <c r="CJ127" s="406"/>
      <c r="CK127" s="406"/>
      <c r="CL127" s="406"/>
      <c r="CM127" s="406"/>
      <c r="CN127" s="406"/>
      <c r="CO127" s="406"/>
      <c r="CP127" s="406"/>
      <c r="CQ127" s="406"/>
      <c r="CR127" s="406"/>
      <c r="CS127" s="406"/>
      <c r="CT127" s="407"/>
      <c r="DO127" s="405"/>
      <c r="DP127" s="406"/>
      <c r="DQ127" s="406"/>
      <c r="DR127" s="406"/>
      <c r="DS127" s="406"/>
      <c r="DT127" s="406"/>
      <c r="DU127" s="406"/>
      <c r="DV127" s="406"/>
      <c r="DW127" s="406"/>
      <c r="DX127" s="406"/>
      <c r="DY127" s="406"/>
      <c r="DZ127" s="406"/>
      <c r="EA127" s="406"/>
      <c r="EB127" s="406"/>
      <c r="EC127" s="406"/>
      <c r="ED127" s="406"/>
      <c r="EE127" s="406"/>
      <c r="EF127" s="407"/>
      <c r="FT127" s="405"/>
      <c r="FU127" s="406"/>
      <c r="FV127" s="406"/>
      <c r="FW127" s="406"/>
      <c r="FX127" s="406"/>
      <c r="FY127" s="406"/>
      <c r="FZ127" s="406"/>
      <c r="GA127" s="406"/>
      <c r="GB127" s="406"/>
      <c r="GC127" s="406"/>
      <c r="GD127" s="406"/>
      <c r="GE127" s="406"/>
      <c r="GF127" s="406"/>
      <c r="GG127" s="406"/>
      <c r="GH127" s="406"/>
      <c r="GI127" s="406"/>
      <c r="GJ127" s="406"/>
      <c r="GK127" s="407"/>
    </row>
    <row r="128" spans="2:193" ht="13.5" customHeight="1" thickBot="1">
      <c r="B128" s="18"/>
      <c r="C128" s="388" t="s">
        <v>525</v>
      </c>
      <c r="D128" s="388"/>
      <c r="E128" s="388"/>
      <c r="F128" s="388"/>
      <c r="G128" s="421"/>
      <c r="H128" s="389"/>
      <c r="I128" s="422"/>
      <c r="J128" s="422"/>
      <c r="K128" s="422"/>
      <c r="L128" s="422"/>
      <c r="M128" s="422"/>
      <c r="N128" s="422"/>
      <c r="O128" s="422"/>
      <c r="P128" s="422"/>
      <c r="Q128" s="422"/>
      <c r="R128" s="422"/>
      <c r="S128" s="422"/>
      <c r="T128" s="422"/>
      <c r="U128" s="422"/>
      <c r="V128" s="422"/>
      <c r="W128" s="422"/>
      <c r="X128" s="422"/>
      <c r="Y128" s="422"/>
      <c r="Z128" s="422"/>
      <c r="AA128" s="422"/>
      <c r="AB128" s="422"/>
      <c r="AC128" s="422"/>
      <c r="AD128" s="422"/>
      <c r="AE128" s="422"/>
      <c r="AF128" s="422"/>
      <c r="AG128" s="422"/>
      <c r="AH128" s="422"/>
      <c r="AI128" s="423"/>
      <c r="AJ128" s="19"/>
      <c r="AK128" s="19" t="s">
        <v>526</v>
      </c>
      <c r="AL128" s="19"/>
      <c r="AM128" s="19"/>
      <c r="AN128" s="19"/>
      <c r="AO128" s="252" t="str">
        <f>IF(H116="","",SUM(Y117:AA126))</f>
        <v/>
      </c>
      <c r="AP128" s="418"/>
      <c r="AQ128" s="418"/>
      <c r="AR128" s="419"/>
      <c r="AS128" s="20"/>
      <c r="CC128" s="405"/>
      <c r="CD128" s="406"/>
      <c r="CE128" s="406"/>
      <c r="CF128" s="406"/>
      <c r="CG128" s="406"/>
      <c r="CH128" s="406"/>
      <c r="CI128" s="406"/>
      <c r="CJ128" s="406"/>
      <c r="CK128" s="406"/>
      <c r="CL128" s="406"/>
      <c r="CM128" s="406"/>
      <c r="CN128" s="406"/>
      <c r="CO128" s="406"/>
      <c r="CP128" s="406"/>
      <c r="CQ128" s="406"/>
      <c r="CR128" s="406"/>
      <c r="CS128" s="406"/>
      <c r="CT128" s="407"/>
      <c r="DO128" s="405"/>
      <c r="DP128" s="406"/>
      <c r="DQ128" s="406"/>
      <c r="DR128" s="406"/>
      <c r="DS128" s="406"/>
      <c r="DT128" s="406"/>
      <c r="DU128" s="406"/>
      <c r="DV128" s="406"/>
      <c r="DW128" s="406"/>
      <c r="DX128" s="406"/>
      <c r="DY128" s="406"/>
      <c r="DZ128" s="406"/>
      <c r="EA128" s="406"/>
      <c r="EB128" s="406"/>
      <c r="EC128" s="406"/>
      <c r="ED128" s="406"/>
      <c r="EE128" s="406"/>
      <c r="EF128" s="407"/>
      <c r="FT128" s="405"/>
      <c r="FU128" s="406"/>
      <c r="FV128" s="406"/>
      <c r="FW128" s="406"/>
      <c r="FX128" s="406"/>
      <c r="FY128" s="406"/>
      <c r="FZ128" s="406"/>
      <c r="GA128" s="406"/>
      <c r="GB128" s="406"/>
      <c r="GC128" s="406"/>
      <c r="GD128" s="406"/>
      <c r="GE128" s="406"/>
      <c r="GF128" s="406"/>
      <c r="GG128" s="406"/>
      <c r="GH128" s="406"/>
      <c r="GI128" s="406"/>
      <c r="GJ128" s="406"/>
      <c r="GK128" s="407"/>
    </row>
    <row r="129" spans="2:193" ht="13.5" customHeight="1" thickBot="1">
      <c r="B129" s="18"/>
      <c r="C129" s="388"/>
      <c r="D129" s="388"/>
      <c r="E129" s="388"/>
      <c r="F129" s="388"/>
      <c r="G129" s="421"/>
      <c r="H129" s="424"/>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6"/>
      <c r="AJ129" s="19"/>
      <c r="AK129" s="19"/>
      <c r="AL129" s="19"/>
      <c r="AM129" s="19"/>
      <c r="AN129" s="19"/>
      <c r="AO129" s="19"/>
      <c r="AP129" s="19"/>
      <c r="AQ129" s="19"/>
      <c r="AR129" s="19"/>
      <c r="AS129" s="20"/>
      <c r="CC129" s="408"/>
      <c r="CD129" s="409"/>
      <c r="CE129" s="409"/>
      <c r="CF129" s="409"/>
      <c r="CG129" s="409"/>
      <c r="CH129" s="409"/>
      <c r="CI129" s="409"/>
      <c r="CJ129" s="409"/>
      <c r="CK129" s="409"/>
      <c r="CL129" s="409"/>
      <c r="CM129" s="409"/>
      <c r="CN129" s="409"/>
      <c r="CO129" s="409"/>
      <c r="CP129" s="409"/>
      <c r="CQ129" s="409"/>
      <c r="CR129" s="409"/>
      <c r="CS129" s="409"/>
      <c r="CT129" s="410"/>
      <c r="DO129" s="408"/>
      <c r="DP129" s="409"/>
      <c r="DQ129" s="409"/>
      <c r="DR129" s="409"/>
      <c r="DS129" s="409"/>
      <c r="DT129" s="409"/>
      <c r="DU129" s="409"/>
      <c r="DV129" s="409"/>
      <c r="DW129" s="409"/>
      <c r="DX129" s="409"/>
      <c r="DY129" s="409"/>
      <c r="DZ129" s="409"/>
      <c r="EA129" s="409"/>
      <c r="EB129" s="409"/>
      <c r="EC129" s="409"/>
      <c r="ED129" s="409"/>
      <c r="EE129" s="409"/>
      <c r="EF129" s="410"/>
      <c r="FT129" s="408"/>
      <c r="FU129" s="409"/>
      <c r="FV129" s="409"/>
      <c r="FW129" s="409"/>
      <c r="FX129" s="409"/>
      <c r="FY129" s="409"/>
      <c r="FZ129" s="409"/>
      <c r="GA129" s="409"/>
      <c r="GB129" s="409"/>
      <c r="GC129" s="409"/>
      <c r="GD129" s="409"/>
      <c r="GE129" s="409"/>
      <c r="GF129" s="409"/>
      <c r="GG129" s="409"/>
      <c r="GH129" s="409"/>
      <c r="GI129" s="409"/>
      <c r="GJ129" s="409"/>
      <c r="GK129" s="410"/>
    </row>
    <row r="130" spans="2:193" ht="13.5" customHeight="1" thickBo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3"/>
    </row>
    <row r="131" spans="2:193" ht="13.5" customHeight="1" thickBot="1"/>
    <row r="132" spans="2:193" ht="13.5" customHeight="1" thickBot="1">
      <c r="B132" s="15"/>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7"/>
      <c r="BK132" s="12" t="s">
        <v>620</v>
      </c>
      <c r="BT132" s="12" t="s">
        <v>621</v>
      </c>
      <c r="CL132" s="44"/>
      <c r="CM132" s="44"/>
      <c r="CN132" s="44"/>
      <c r="CO132" s="44"/>
      <c r="CP132" s="44"/>
      <c r="CQ132" s="44"/>
      <c r="CR132" s="44"/>
      <c r="CS132" s="44"/>
      <c r="CT132" s="44"/>
    </row>
    <row r="133" spans="2:193" ht="13.5" customHeight="1" thickBot="1">
      <c r="B133" s="18"/>
      <c r="C133" s="19" t="s">
        <v>385</v>
      </c>
      <c r="D133" s="19"/>
      <c r="E133" s="19"/>
      <c r="F133" s="19"/>
      <c r="G133" s="19"/>
      <c r="H133" s="249"/>
      <c r="I133" s="418"/>
      <c r="J133" s="418"/>
      <c r="K133" s="418"/>
      <c r="L133" s="418"/>
      <c r="M133" s="418"/>
      <c r="N133" s="418"/>
      <c r="O133" s="418"/>
      <c r="P133" s="418"/>
      <c r="Q133" s="418"/>
      <c r="R133" s="419"/>
      <c r="S133" s="401" t="s">
        <v>505</v>
      </c>
      <c r="T133" s="425"/>
      <c r="U133" s="425"/>
      <c r="V133" s="425"/>
      <c r="W133" s="425"/>
      <c r="X133" s="425"/>
      <c r="Y133" s="262" t="s">
        <v>37</v>
      </c>
      <c r="Z133" s="262"/>
      <c r="AA133" s="262"/>
      <c r="AB133" s="262" t="s">
        <v>36</v>
      </c>
      <c r="AC133" s="262"/>
      <c r="AD133" s="262"/>
      <c r="AE133" s="262" t="s">
        <v>506</v>
      </c>
      <c r="AF133" s="262"/>
      <c r="AG133" s="262"/>
      <c r="AH133" s="262"/>
      <c r="AI133" s="262"/>
      <c r="AJ133" s="262"/>
      <c r="AK133" s="262"/>
      <c r="AL133" s="262" t="s">
        <v>507</v>
      </c>
      <c r="AM133" s="262"/>
      <c r="AN133" s="262"/>
      <c r="AO133" s="262"/>
      <c r="AP133" s="262"/>
      <c r="AQ133" s="262"/>
      <c r="AR133" s="262"/>
      <c r="AS133" s="20"/>
      <c r="BK133" s="384" t="str">
        <f>IF(H133="","",H133&amp;IF(H145="",""," ["&amp;H145&amp;"]"))</f>
        <v/>
      </c>
      <c r="BL133" s="414"/>
      <c r="BM133" s="414"/>
      <c r="BN133" s="414"/>
      <c r="BO133" s="414"/>
      <c r="BP133" s="414"/>
      <c r="BQ133" s="414"/>
      <c r="BR133" s="414"/>
      <c r="BS133" s="415"/>
      <c r="BT133" s="384"/>
      <c r="BU133" s="385"/>
      <c r="BV133" s="385"/>
      <c r="BW133" s="385"/>
      <c r="BX133" s="385"/>
      <c r="BY133" s="385"/>
      <c r="BZ133" s="385"/>
      <c r="CA133" s="385"/>
      <c r="CB133" s="386"/>
      <c r="CC133" s="346" t="str">
        <f>IF(BK133="","",CHAR(149)&amp;" "&amp;BK133&amp;CHAR(10)&amp;BT143)</f>
        <v/>
      </c>
      <c r="CD133" s="403"/>
      <c r="CE133" s="403"/>
      <c r="CF133" s="403"/>
      <c r="CG133" s="403"/>
      <c r="CH133" s="403"/>
      <c r="CI133" s="403"/>
      <c r="CJ133" s="403"/>
      <c r="CK133" s="403"/>
      <c r="CL133" s="403"/>
      <c r="CM133" s="403"/>
      <c r="CN133" s="403"/>
      <c r="CO133" s="403"/>
      <c r="CP133" s="403"/>
      <c r="CQ133" s="403"/>
      <c r="CR133" s="403"/>
      <c r="CS133" s="403"/>
      <c r="CT133" s="404"/>
      <c r="DO133" s="346" t="str">
        <f>IF($BK133="","","[b]"&amp;$BK133&amp;"[/b]"&amp;CHAR(10)&amp;$BT143)</f>
        <v/>
      </c>
      <c r="DP133" s="403"/>
      <c r="DQ133" s="403"/>
      <c r="DR133" s="403"/>
      <c r="DS133" s="403"/>
      <c r="DT133" s="403"/>
      <c r="DU133" s="403"/>
      <c r="DV133" s="403"/>
      <c r="DW133" s="403"/>
      <c r="DX133" s="403"/>
      <c r="DY133" s="403"/>
      <c r="DZ133" s="403"/>
      <c r="EA133" s="403"/>
      <c r="EB133" s="403"/>
      <c r="EC133" s="403"/>
      <c r="ED133" s="403"/>
      <c r="EE133" s="403"/>
      <c r="EF133" s="404"/>
      <c r="FT133" s="346" t="str">
        <f>IF($BK133="","","**"&amp;$BK133&amp;"**"&amp;CHAR(10)&amp;$BT143)</f>
        <v/>
      </c>
      <c r="FU133" s="403"/>
      <c r="FV133" s="403"/>
      <c r="FW133" s="403"/>
      <c r="FX133" s="403"/>
      <c r="FY133" s="403"/>
      <c r="FZ133" s="403"/>
      <c r="GA133" s="403"/>
      <c r="GB133" s="403"/>
      <c r="GC133" s="403"/>
      <c r="GD133" s="403"/>
      <c r="GE133" s="403"/>
      <c r="GF133" s="403"/>
      <c r="GG133" s="403"/>
      <c r="GH133" s="403"/>
      <c r="GI133" s="403"/>
      <c r="GJ133" s="403"/>
      <c r="GK133" s="404"/>
    </row>
    <row r="134" spans="2:193" ht="13.5" customHeight="1" thickBot="1">
      <c r="B134" s="18"/>
      <c r="C134" s="19" t="s">
        <v>495</v>
      </c>
      <c r="D134" s="19"/>
      <c r="E134" s="19"/>
      <c r="F134" s="19"/>
      <c r="G134" s="19"/>
      <c r="H134" s="395"/>
      <c r="I134" s="418"/>
      <c r="J134" s="418"/>
      <c r="K134" s="418"/>
      <c r="L134" s="418"/>
      <c r="M134" s="418"/>
      <c r="N134" s="418"/>
      <c r="O134" s="418"/>
      <c r="P134" s="418"/>
      <c r="Q134" s="418"/>
      <c r="R134" s="419"/>
      <c r="S134" s="395"/>
      <c r="T134" s="418"/>
      <c r="U134" s="418"/>
      <c r="V134" s="418"/>
      <c r="W134" s="418"/>
      <c r="X134" s="419"/>
      <c r="Y134" s="252" t="str">
        <f t="shared" ref="Y134:Y143" si="42">IF($H134="","",IF($S134="Normal",VLOOKUP($H134,EqCompMatrix,7,FALSE),IF($S134="Alternate",1,IF($S134="Dynamic",2,IF($S134="None",0,"")))))</f>
        <v/>
      </c>
      <c r="Z134" s="418"/>
      <c r="AA134" s="419"/>
      <c r="AB134" s="252" t="str">
        <f t="shared" ref="AB134:AB143" si="43">IF($H134="","",VLOOKUP($H134,EqCompMatrix,5,FALSE))</f>
        <v/>
      </c>
      <c r="AC134" s="418"/>
      <c r="AD134" s="419"/>
      <c r="AE134" s="252" t="str">
        <f t="shared" ref="AE134:AE143" si="44">IF($H134="","",VLOOKUP($H134,EqCompMatrix,9,FALSE))</f>
        <v/>
      </c>
      <c r="AF134" s="418"/>
      <c r="AG134" s="418"/>
      <c r="AH134" s="418"/>
      <c r="AI134" s="418"/>
      <c r="AJ134" s="418"/>
      <c r="AK134" s="419"/>
      <c r="AL134" s="398" t="str">
        <f t="shared" ref="AL134:AL143" si="45">IF($H134="","",VLOOKUP($H134,EqCompMatrix,15,FALSE))</f>
        <v/>
      </c>
      <c r="AM134" s="418"/>
      <c r="AN134" s="418"/>
      <c r="AO134" s="418"/>
      <c r="AP134" s="418"/>
      <c r="AQ134" s="418"/>
      <c r="AR134" s="419"/>
      <c r="AS134" s="20"/>
      <c r="BK134" s="413" t="str">
        <f>IF(H134="","",IF(S134="Alternate","Alt: ","")&amp;IF(S134="Dynamic","Dyn: ","")&amp;IF(H134=AE134,AE134&amp;" "&amp;AB134&amp;IF(AL134="",""," ["&amp;AL134&amp;"]"),IF(AE134="Custom",H134&amp;" ("&amp;Y134&amp;" points)"&amp;CHAR(10),H134&amp;": "&amp;AE134&amp;" "&amp;AB134&amp;IF(AL134="",""," ["&amp;AL134&amp;"]"))))</f>
        <v/>
      </c>
      <c r="BL134" s="414"/>
      <c r="BM134" s="414"/>
      <c r="BN134" s="414"/>
      <c r="BO134" s="414"/>
      <c r="BP134" s="414"/>
      <c r="BQ134" s="414"/>
      <c r="BR134" s="414"/>
      <c r="BS134" s="415"/>
      <c r="BT134" s="384" t="str">
        <f>IF(BK134="","","     "&amp;BK134)</f>
        <v/>
      </c>
      <c r="BU134" s="385"/>
      <c r="BV134" s="385"/>
      <c r="BW134" s="385"/>
      <c r="BX134" s="385"/>
      <c r="BY134" s="385"/>
      <c r="BZ134" s="385"/>
      <c r="CA134" s="385"/>
      <c r="CB134" s="386"/>
      <c r="CC134" s="405"/>
      <c r="CD134" s="406"/>
      <c r="CE134" s="406"/>
      <c r="CF134" s="406"/>
      <c r="CG134" s="406"/>
      <c r="CH134" s="406"/>
      <c r="CI134" s="406"/>
      <c r="CJ134" s="406"/>
      <c r="CK134" s="406"/>
      <c r="CL134" s="406"/>
      <c r="CM134" s="406"/>
      <c r="CN134" s="406"/>
      <c r="CO134" s="406"/>
      <c r="CP134" s="406"/>
      <c r="CQ134" s="406"/>
      <c r="CR134" s="406"/>
      <c r="CS134" s="406"/>
      <c r="CT134" s="407"/>
      <c r="DO134" s="405"/>
      <c r="DP134" s="406"/>
      <c r="DQ134" s="406"/>
      <c r="DR134" s="406"/>
      <c r="DS134" s="406"/>
      <c r="DT134" s="406"/>
      <c r="DU134" s="406"/>
      <c r="DV134" s="406"/>
      <c r="DW134" s="406"/>
      <c r="DX134" s="406"/>
      <c r="DY134" s="406"/>
      <c r="DZ134" s="406"/>
      <c r="EA134" s="406"/>
      <c r="EB134" s="406"/>
      <c r="EC134" s="406"/>
      <c r="ED134" s="406"/>
      <c r="EE134" s="406"/>
      <c r="EF134" s="407"/>
      <c r="FT134" s="405"/>
      <c r="FU134" s="406"/>
      <c r="FV134" s="406"/>
      <c r="FW134" s="406"/>
      <c r="FX134" s="406"/>
      <c r="FY134" s="406"/>
      <c r="FZ134" s="406"/>
      <c r="GA134" s="406"/>
      <c r="GB134" s="406"/>
      <c r="GC134" s="406"/>
      <c r="GD134" s="406"/>
      <c r="GE134" s="406"/>
      <c r="GF134" s="406"/>
      <c r="GG134" s="406"/>
      <c r="GH134" s="406"/>
      <c r="GI134" s="406"/>
      <c r="GJ134" s="406"/>
      <c r="GK134" s="407"/>
    </row>
    <row r="135" spans="2:193" ht="13.5" customHeight="1" thickBot="1">
      <c r="B135" s="18"/>
      <c r="C135" s="19" t="s">
        <v>496</v>
      </c>
      <c r="D135" s="19"/>
      <c r="E135" s="19"/>
      <c r="F135" s="19"/>
      <c r="G135" s="19"/>
      <c r="H135" s="395"/>
      <c r="I135" s="418"/>
      <c r="J135" s="418"/>
      <c r="K135" s="418"/>
      <c r="L135" s="418"/>
      <c r="M135" s="418"/>
      <c r="N135" s="418"/>
      <c r="O135" s="418"/>
      <c r="P135" s="418"/>
      <c r="Q135" s="418"/>
      <c r="R135" s="419"/>
      <c r="S135" s="395"/>
      <c r="T135" s="418"/>
      <c r="U135" s="418"/>
      <c r="V135" s="418"/>
      <c r="W135" s="418"/>
      <c r="X135" s="419"/>
      <c r="Y135" s="252" t="str">
        <f t="shared" si="42"/>
        <v/>
      </c>
      <c r="Z135" s="418"/>
      <c r="AA135" s="419"/>
      <c r="AB135" s="252" t="str">
        <f t="shared" si="43"/>
        <v/>
      </c>
      <c r="AC135" s="418"/>
      <c r="AD135" s="419"/>
      <c r="AE135" s="252" t="str">
        <f t="shared" si="44"/>
        <v/>
      </c>
      <c r="AF135" s="418"/>
      <c r="AG135" s="418"/>
      <c r="AH135" s="418"/>
      <c r="AI135" s="418"/>
      <c r="AJ135" s="418"/>
      <c r="AK135" s="419"/>
      <c r="AL135" s="398" t="str">
        <f t="shared" si="45"/>
        <v/>
      </c>
      <c r="AM135" s="418"/>
      <c r="AN135" s="418"/>
      <c r="AO135" s="418"/>
      <c r="AP135" s="418"/>
      <c r="AQ135" s="418"/>
      <c r="AR135" s="419"/>
      <c r="AS135" s="20"/>
      <c r="BK135" s="413" t="str">
        <f t="shared" ref="BK135:BK143" si="46">IF(H135="","",IF(S135="Alternate","Alt: ","")&amp;IF(S135="Dynamic","Dyn: ","")&amp;IF(H135=AE135,AE135&amp;" "&amp;AB135&amp;IF(AL135="",""," ["&amp;AL135&amp;"]"),IF(AE135="Custom",H135&amp;" ("&amp;Y135&amp;" points)"&amp;CHAR(10),H135&amp;": "&amp;AE135&amp;" "&amp;AB135&amp;IF(AL135="",""," ["&amp;AL135&amp;"]"))))</f>
        <v/>
      </c>
      <c r="BL135" s="414"/>
      <c r="BM135" s="414"/>
      <c r="BN135" s="414"/>
      <c r="BO135" s="414"/>
      <c r="BP135" s="414"/>
      <c r="BQ135" s="414"/>
      <c r="BR135" s="414"/>
      <c r="BS135" s="415"/>
      <c r="BT135" s="413" t="str">
        <f>BT134&amp;IF(AE134="Custom","     "&amp;BK135,IF(S135="None",", "&amp;BK135,"")&amp;IF(OR(S135="Alternate",S135="Dynamic"),CHAR(10)&amp;"     "&amp;BK135,"")&amp;IF(S135="Normal",IF(OR(S134="Alternate",S134="Dynamic",S134="None"),CHAR(10)&amp;"     "&amp;BK135,", "&amp;BK135),""))</f>
        <v/>
      </c>
      <c r="BU135" s="416"/>
      <c r="BV135" s="416"/>
      <c r="BW135" s="416"/>
      <c r="BX135" s="416"/>
      <c r="BY135" s="416"/>
      <c r="BZ135" s="416"/>
      <c r="CA135" s="416"/>
      <c r="CB135" s="417"/>
      <c r="CC135" s="405"/>
      <c r="CD135" s="406"/>
      <c r="CE135" s="406"/>
      <c r="CF135" s="406"/>
      <c r="CG135" s="406"/>
      <c r="CH135" s="406"/>
      <c r="CI135" s="406"/>
      <c r="CJ135" s="406"/>
      <c r="CK135" s="406"/>
      <c r="CL135" s="406"/>
      <c r="CM135" s="406"/>
      <c r="CN135" s="406"/>
      <c r="CO135" s="406"/>
      <c r="CP135" s="406"/>
      <c r="CQ135" s="406"/>
      <c r="CR135" s="406"/>
      <c r="CS135" s="406"/>
      <c r="CT135" s="407"/>
      <c r="DO135" s="405"/>
      <c r="DP135" s="406"/>
      <c r="DQ135" s="406"/>
      <c r="DR135" s="406"/>
      <c r="DS135" s="406"/>
      <c r="DT135" s="406"/>
      <c r="DU135" s="406"/>
      <c r="DV135" s="406"/>
      <c r="DW135" s="406"/>
      <c r="DX135" s="406"/>
      <c r="DY135" s="406"/>
      <c r="DZ135" s="406"/>
      <c r="EA135" s="406"/>
      <c r="EB135" s="406"/>
      <c r="EC135" s="406"/>
      <c r="ED135" s="406"/>
      <c r="EE135" s="406"/>
      <c r="EF135" s="407"/>
      <c r="FT135" s="405"/>
      <c r="FU135" s="406"/>
      <c r="FV135" s="406"/>
      <c r="FW135" s="406"/>
      <c r="FX135" s="406"/>
      <c r="FY135" s="406"/>
      <c r="FZ135" s="406"/>
      <c r="GA135" s="406"/>
      <c r="GB135" s="406"/>
      <c r="GC135" s="406"/>
      <c r="GD135" s="406"/>
      <c r="GE135" s="406"/>
      <c r="GF135" s="406"/>
      <c r="GG135" s="406"/>
      <c r="GH135" s="406"/>
      <c r="GI135" s="406"/>
      <c r="GJ135" s="406"/>
      <c r="GK135" s="407"/>
    </row>
    <row r="136" spans="2:193" ht="13.5" customHeight="1" thickBot="1">
      <c r="B136" s="18"/>
      <c r="C136" s="19" t="s">
        <v>497</v>
      </c>
      <c r="D136" s="19"/>
      <c r="E136" s="19"/>
      <c r="F136" s="19"/>
      <c r="G136" s="19"/>
      <c r="H136" s="395"/>
      <c r="I136" s="418"/>
      <c r="J136" s="418"/>
      <c r="K136" s="418"/>
      <c r="L136" s="418"/>
      <c r="M136" s="418"/>
      <c r="N136" s="418"/>
      <c r="O136" s="418"/>
      <c r="P136" s="418"/>
      <c r="Q136" s="418"/>
      <c r="R136" s="419"/>
      <c r="S136" s="395"/>
      <c r="T136" s="418"/>
      <c r="U136" s="418"/>
      <c r="V136" s="418"/>
      <c r="W136" s="418"/>
      <c r="X136" s="419"/>
      <c r="Y136" s="252" t="str">
        <f t="shared" si="42"/>
        <v/>
      </c>
      <c r="Z136" s="418"/>
      <c r="AA136" s="419"/>
      <c r="AB136" s="252" t="str">
        <f t="shared" si="43"/>
        <v/>
      </c>
      <c r="AC136" s="418"/>
      <c r="AD136" s="419"/>
      <c r="AE136" s="252" t="str">
        <f t="shared" si="44"/>
        <v/>
      </c>
      <c r="AF136" s="418"/>
      <c r="AG136" s="418"/>
      <c r="AH136" s="418"/>
      <c r="AI136" s="418"/>
      <c r="AJ136" s="418"/>
      <c r="AK136" s="419"/>
      <c r="AL136" s="398" t="str">
        <f t="shared" si="45"/>
        <v/>
      </c>
      <c r="AM136" s="418"/>
      <c r="AN136" s="418"/>
      <c r="AO136" s="418"/>
      <c r="AP136" s="418"/>
      <c r="AQ136" s="418"/>
      <c r="AR136" s="419"/>
      <c r="AS136" s="20"/>
      <c r="BK136" s="413" t="str">
        <f t="shared" si="46"/>
        <v/>
      </c>
      <c r="BL136" s="414"/>
      <c r="BM136" s="414"/>
      <c r="BN136" s="414"/>
      <c r="BO136" s="414"/>
      <c r="BP136" s="414"/>
      <c r="BQ136" s="414"/>
      <c r="BR136" s="414"/>
      <c r="BS136" s="415"/>
      <c r="BT136" s="413" t="str">
        <f t="shared" ref="BT136:BT143" si="47">BT135&amp;IF(AE135="Custom","     "&amp;BK136,IF(S136="None",", "&amp;BK136,"")&amp;IF(OR(S136="Alternate",S136="Dynamic"),CHAR(10)&amp;"     "&amp;BK136,"")&amp;IF(S136="Normal",IF(OR(S135="Alternate",S135="Dynamic",S135="None"),CHAR(10)&amp;"     "&amp;BK136,", "&amp;BK136),""))</f>
        <v/>
      </c>
      <c r="BU136" s="416"/>
      <c r="BV136" s="416"/>
      <c r="BW136" s="416"/>
      <c r="BX136" s="416"/>
      <c r="BY136" s="416"/>
      <c r="BZ136" s="416"/>
      <c r="CA136" s="416"/>
      <c r="CB136" s="417"/>
      <c r="CC136" s="405"/>
      <c r="CD136" s="406"/>
      <c r="CE136" s="406"/>
      <c r="CF136" s="406"/>
      <c r="CG136" s="406"/>
      <c r="CH136" s="406"/>
      <c r="CI136" s="406"/>
      <c r="CJ136" s="406"/>
      <c r="CK136" s="406"/>
      <c r="CL136" s="406"/>
      <c r="CM136" s="406"/>
      <c r="CN136" s="406"/>
      <c r="CO136" s="406"/>
      <c r="CP136" s="406"/>
      <c r="CQ136" s="406"/>
      <c r="CR136" s="406"/>
      <c r="CS136" s="406"/>
      <c r="CT136" s="407"/>
      <c r="DO136" s="405"/>
      <c r="DP136" s="406"/>
      <c r="DQ136" s="406"/>
      <c r="DR136" s="406"/>
      <c r="DS136" s="406"/>
      <c r="DT136" s="406"/>
      <c r="DU136" s="406"/>
      <c r="DV136" s="406"/>
      <c r="DW136" s="406"/>
      <c r="DX136" s="406"/>
      <c r="DY136" s="406"/>
      <c r="DZ136" s="406"/>
      <c r="EA136" s="406"/>
      <c r="EB136" s="406"/>
      <c r="EC136" s="406"/>
      <c r="ED136" s="406"/>
      <c r="EE136" s="406"/>
      <c r="EF136" s="407"/>
      <c r="FT136" s="405"/>
      <c r="FU136" s="406"/>
      <c r="FV136" s="406"/>
      <c r="FW136" s="406"/>
      <c r="FX136" s="406"/>
      <c r="FY136" s="406"/>
      <c r="FZ136" s="406"/>
      <c r="GA136" s="406"/>
      <c r="GB136" s="406"/>
      <c r="GC136" s="406"/>
      <c r="GD136" s="406"/>
      <c r="GE136" s="406"/>
      <c r="GF136" s="406"/>
      <c r="GG136" s="406"/>
      <c r="GH136" s="406"/>
      <c r="GI136" s="406"/>
      <c r="GJ136" s="406"/>
      <c r="GK136" s="407"/>
    </row>
    <row r="137" spans="2:193" ht="13.5" customHeight="1" thickBot="1">
      <c r="B137" s="18"/>
      <c r="C137" s="19" t="s">
        <v>498</v>
      </c>
      <c r="D137" s="19"/>
      <c r="E137" s="19"/>
      <c r="F137" s="19"/>
      <c r="G137" s="19"/>
      <c r="H137" s="395"/>
      <c r="I137" s="418"/>
      <c r="J137" s="418"/>
      <c r="K137" s="418"/>
      <c r="L137" s="418"/>
      <c r="M137" s="418"/>
      <c r="N137" s="418"/>
      <c r="O137" s="418"/>
      <c r="P137" s="418"/>
      <c r="Q137" s="418"/>
      <c r="R137" s="419"/>
      <c r="S137" s="395"/>
      <c r="T137" s="418"/>
      <c r="U137" s="418"/>
      <c r="V137" s="418"/>
      <c r="W137" s="418"/>
      <c r="X137" s="419"/>
      <c r="Y137" s="252" t="str">
        <f t="shared" si="42"/>
        <v/>
      </c>
      <c r="Z137" s="418"/>
      <c r="AA137" s="419"/>
      <c r="AB137" s="252" t="str">
        <f t="shared" si="43"/>
        <v/>
      </c>
      <c r="AC137" s="418"/>
      <c r="AD137" s="419"/>
      <c r="AE137" s="252" t="str">
        <f t="shared" si="44"/>
        <v/>
      </c>
      <c r="AF137" s="418"/>
      <c r="AG137" s="418"/>
      <c r="AH137" s="418"/>
      <c r="AI137" s="418"/>
      <c r="AJ137" s="418"/>
      <c r="AK137" s="419"/>
      <c r="AL137" s="398" t="str">
        <f t="shared" si="45"/>
        <v/>
      </c>
      <c r="AM137" s="418"/>
      <c r="AN137" s="418"/>
      <c r="AO137" s="418"/>
      <c r="AP137" s="418"/>
      <c r="AQ137" s="418"/>
      <c r="AR137" s="419"/>
      <c r="AS137" s="20"/>
      <c r="BK137" s="413" t="str">
        <f t="shared" si="46"/>
        <v/>
      </c>
      <c r="BL137" s="414"/>
      <c r="BM137" s="414"/>
      <c r="BN137" s="414"/>
      <c r="BO137" s="414"/>
      <c r="BP137" s="414"/>
      <c r="BQ137" s="414"/>
      <c r="BR137" s="414"/>
      <c r="BS137" s="415"/>
      <c r="BT137" s="413" t="str">
        <f t="shared" si="47"/>
        <v/>
      </c>
      <c r="BU137" s="416"/>
      <c r="BV137" s="416"/>
      <c r="BW137" s="416"/>
      <c r="BX137" s="416"/>
      <c r="BY137" s="416"/>
      <c r="BZ137" s="416"/>
      <c r="CA137" s="416"/>
      <c r="CB137" s="417"/>
      <c r="CC137" s="405"/>
      <c r="CD137" s="406"/>
      <c r="CE137" s="406"/>
      <c r="CF137" s="406"/>
      <c r="CG137" s="406"/>
      <c r="CH137" s="406"/>
      <c r="CI137" s="406"/>
      <c r="CJ137" s="406"/>
      <c r="CK137" s="406"/>
      <c r="CL137" s="406"/>
      <c r="CM137" s="406"/>
      <c r="CN137" s="406"/>
      <c r="CO137" s="406"/>
      <c r="CP137" s="406"/>
      <c r="CQ137" s="406"/>
      <c r="CR137" s="406"/>
      <c r="CS137" s="406"/>
      <c r="CT137" s="407"/>
      <c r="DO137" s="405"/>
      <c r="DP137" s="406"/>
      <c r="DQ137" s="406"/>
      <c r="DR137" s="406"/>
      <c r="DS137" s="406"/>
      <c r="DT137" s="406"/>
      <c r="DU137" s="406"/>
      <c r="DV137" s="406"/>
      <c r="DW137" s="406"/>
      <c r="DX137" s="406"/>
      <c r="DY137" s="406"/>
      <c r="DZ137" s="406"/>
      <c r="EA137" s="406"/>
      <c r="EB137" s="406"/>
      <c r="EC137" s="406"/>
      <c r="ED137" s="406"/>
      <c r="EE137" s="406"/>
      <c r="EF137" s="407"/>
      <c r="FT137" s="405"/>
      <c r="FU137" s="406"/>
      <c r="FV137" s="406"/>
      <c r="FW137" s="406"/>
      <c r="FX137" s="406"/>
      <c r="FY137" s="406"/>
      <c r="FZ137" s="406"/>
      <c r="GA137" s="406"/>
      <c r="GB137" s="406"/>
      <c r="GC137" s="406"/>
      <c r="GD137" s="406"/>
      <c r="GE137" s="406"/>
      <c r="GF137" s="406"/>
      <c r="GG137" s="406"/>
      <c r="GH137" s="406"/>
      <c r="GI137" s="406"/>
      <c r="GJ137" s="406"/>
      <c r="GK137" s="407"/>
    </row>
    <row r="138" spans="2:193" ht="13.5" customHeight="1" thickBot="1">
      <c r="B138" s="18"/>
      <c r="C138" s="19" t="s">
        <v>499</v>
      </c>
      <c r="D138" s="19"/>
      <c r="E138" s="19"/>
      <c r="F138" s="19"/>
      <c r="G138" s="19"/>
      <c r="H138" s="395"/>
      <c r="I138" s="418"/>
      <c r="J138" s="418"/>
      <c r="K138" s="418"/>
      <c r="L138" s="418"/>
      <c r="M138" s="418"/>
      <c r="N138" s="418"/>
      <c r="O138" s="418"/>
      <c r="P138" s="418"/>
      <c r="Q138" s="418"/>
      <c r="R138" s="419"/>
      <c r="S138" s="395"/>
      <c r="T138" s="418"/>
      <c r="U138" s="418"/>
      <c r="V138" s="418"/>
      <c r="W138" s="418"/>
      <c r="X138" s="419"/>
      <c r="Y138" s="252" t="str">
        <f t="shared" si="42"/>
        <v/>
      </c>
      <c r="Z138" s="418"/>
      <c r="AA138" s="419"/>
      <c r="AB138" s="252" t="str">
        <f t="shared" si="43"/>
        <v/>
      </c>
      <c r="AC138" s="418"/>
      <c r="AD138" s="419"/>
      <c r="AE138" s="252" t="str">
        <f t="shared" si="44"/>
        <v/>
      </c>
      <c r="AF138" s="418"/>
      <c r="AG138" s="418"/>
      <c r="AH138" s="418"/>
      <c r="AI138" s="418"/>
      <c r="AJ138" s="418"/>
      <c r="AK138" s="419"/>
      <c r="AL138" s="398" t="str">
        <f t="shared" si="45"/>
        <v/>
      </c>
      <c r="AM138" s="418"/>
      <c r="AN138" s="418"/>
      <c r="AO138" s="418"/>
      <c r="AP138" s="418"/>
      <c r="AQ138" s="418"/>
      <c r="AR138" s="419"/>
      <c r="AS138" s="20"/>
      <c r="BK138" s="413" t="str">
        <f t="shared" si="46"/>
        <v/>
      </c>
      <c r="BL138" s="414"/>
      <c r="BM138" s="414"/>
      <c r="BN138" s="414"/>
      <c r="BO138" s="414"/>
      <c r="BP138" s="414"/>
      <c r="BQ138" s="414"/>
      <c r="BR138" s="414"/>
      <c r="BS138" s="415"/>
      <c r="BT138" s="413" t="str">
        <f t="shared" si="47"/>
        <v/>
      </c>
      <c r="BU138" s="416"/>
      <c r="BV138" s="416"/>
      <c r="BW138" s="416"/>
      <c r="BX138" s="416"/>
      <c r="BY138" s="416"/>
      <c r="BZ138" s="416"/>
      <c r="CA138" s="416"/>
      <c r="CB138" s="417"/>
      <c r="CC138" s="405"/>
      <c r="CD138" s="406"/>
      <c r="CE138" s="406"/>
      <c r="CF138" s="406"/>
      <c r="CG138" s="406"/>
      <c r="CH138" s="406"/>
      <c r="CI138" s="406"/>
      <c r="CJ138" s="406"/>
      <c r="CK138" s="406"/>
      <c r="CL138" s="406"/>
      <c r="CM138" s="406"/>
      <c r="CN138" s="406"/>
      <c r="CO138" s="406"/>
      <c r="CP138" s="406"/>
      <c r="CQ138" s="406"/>
      <c r="CR138" s="406"/>
      <c r="CS138" s="406"/>
      <c r="CT138" s="407"/>
      <c r="DO138" s="405"/>
      <c r="DP138" s="406"/>
      <c r="DQ138" s="406"/>
      <c r="DR138" s="406"/>
      <c r="DS138" s="406"/>
      <c r="DT138" s="406"/>
      <c r="DU138" s="406"/>
      <c r="DV138" s="406"/>
      <c r="DW138" s="406"/>
      <c r="DX138" s="406"/>
      <c r="DY138" s="406"/>
      <c r="DZ138" s="406"/>
      <c r="EA138" s="406"/>
      <c r="EB138" s="406"/>
      <c r="EC138" s="406"/>
      <c r="ED138" s="406"/>
      <c r="EE138" s="406"/>
      <c r="EF138" s="407"/>
      <c r="FT138" s="405"/>
      <c r="FU138" s="406"/>
      <c r="FV138" s="406"/>
      <c r="FW138" s="406"/>
      <c r="FX138" s="406"/>
      <c r="FY138" s="406"/>
      <c r="FZ138" s="406"/>
      <c r="GA138" s="406"/>
      <c r="GB138" s="406"/>
      <c r="GC138" s="406"/>
      <c r="GD138" s="406"/>
      <c r="GE138" s="406"/>
      <c r="GF138" s="406"/>
      <c r="GG138" s="406"/>
      <c r="GH138" s="406"/>
      <c r="GI138" s="406"/>
      <c r="GJ138" s="406"/>
      <c r="GK138" s="407"/>
    </row>
    <row r="139" spans="2:193" ht="13.5" customHeight="1" thickBot="1">
      <c r="B139" s="18"/>
      <c r="C139" s="19" t="s">
        <v>500</v>
      </c>
      <c r="D139" s="19"/>
      <c r="E139" s="19"/>
      <c r="F139" s="19"/>
      <c r="G139" s="19"/>
      <c r="H139" s="395"/>
      <c r="I139" s="418"/>
      <c r="J139" s="418"/>
      <c r="K139" s="418"/>
      <c r="L139" s="418"/>
      <c r="M139" s="418"/>
      <c r="N139" s="418"/>
      <c r="O139" s="418"/>
      <c r="P139" s="418"/>
      <c r="Q139" s="418"/>
      <c r="R139" s="419"/>
      <c r="S139" s="395"/>
      <c r="T139" s="418"/>
      <c r="U139" s="418"/>
      <c r="V139" s="418"/>
      <c r="W139" s="418"/>
      <c r="X139" s="419"/>
      <c r="Y139" s="252" t="str">
        <f t="shared" si="42"/>
        <v/>
      </c>
      <c r="Z139" s="418"/>
      <c r="AA139" s="419"/>
      <c r="AB139" s="252" t="str">
        <f t="shared" si="43"/>
        <v/>
      </c>
      <c r="AC139" s="418"/>
      <c r="AD139" s="419"/>
      <c r="AE139" s="252" t="str">
        <f t="shared" si="44"/>
        <v/>
      </c>
      <c r="AF139" s="418"/>
      <c r="AG139" s="418"/>
      <c r="AH139" s="418"/>
      <c r="AI139" s="418"/>
      <c r="AJ139" s="418"/>
      <c r="AK139" s="419"/>
      <c r="AL139" s="398" t="str">
        <f t="shared" si="45"/>
        <v/>
      </c>
      <c r="AM139" s="418"/>
      <c r="AN139" s="418"/>
      <c r="AO139" s="418"/>
      <c r="AP139" s="418"/>
      <c r="AQ139" s="418"/>
      <c r="AR139" s="419"/>
      <c r="AS139" s="20"/>
      <c r="BK139" s="413" t="str">
        <f t="shared" si="46"/>
        <v/>
      </c>
      <c r="BL139" s="414"/>
      <c r="BM139" s="414"/>
      <c r="BN139" s="414"/>
      <c r="BO139" s="414"/>
      <c r="BP139" s="414"/>
      <c r="BQ139" s="414"/>
      <c r="BR139" s="414"/>
      <c r="BS139" s="415"/>
      <c r="BT139" s="413" t="str">
        <f t="shared" si="47"/>
        <v/>
      </c>
      <c r="BU139" s="416"/>
      <c r="BV139" s="416"/>
      <c r="BW139" s="416"/>
      <c r="BX139" s="416"/>
      <c r="BY139" s="416"/>
      <c r="BZ139" s="416"/>
      <c r="CA139" s="416"/>
      <c r="CB139" s="417"/>
      <c r="CC139" s="405"/>
      <c r="CD139" s="406"/>
      <c r="CE139" s="406"/>
      <c r="CF139" s="406"/>
      <c r="CG139" s="406"/>
      <c r="CH139" s="406"/>
      <c r="CI139" s="406"/>
      <c r="CJ139" s="406"/>
      <c r="CK139" s="406"/>
      <c r="CL139" s="406"/>
      <c r="CM139" s="406"/>
      <c r="CN139" s="406"/>
      <c r="CO139" s="406"/>
      <c r="CP139" s="406"/>
      <c r="CQ139" s="406"/>
      <c r="CR139" s="406"/>
      <c r="CS139" s="406"/>
      <c r="CT139" s="407"/>
      <c r="DO139" s="405"/>
      <c r="DP139" s="406"/>
      <c r="DQ139" s="406"/>
      <c r="DR139" s="406"/>
      <c r="DS139" s="406"/>
      <c r="DT139" s="406"/>
      <c r="DU139" s="406"/>
      <c r="DV139" s="406"/>
      <c r="DW139" s="406"/>
      <c r="DX139" s="406"/>
      <c r="DY139" s="406"/>
      <c r="DZ139" s="406"/>
      <c r="EA139" s="406"/>
      <c r="EB139" s="406"/>
      <c r="EC139" s="406"/>
      <c r="ED139" s="406"/>
      <c r="EE139" s="406"/>
      <c r="EF139" s="407"/>
      <c r="FT139" s="405"/>
      <c r="FU139" s="406"/>
      <c r="FV139" s="406"/>
      <c r="FW139" s="406"/>
      <c r="FX139" s="406"/>
      <c r="FY139" s="406"/>
      <c r="FZ139" s="406"/>
      <c r="GA139" s="406"/>
      <c r="GB139" s="406"/>
      <c r="GC139" s="406"/>
      <c r="GD139" s="406"/>
      <c r="GE139" s="406"/>
      <c r="GF139" s="406"/>
      <c r="GG139" s="406"/>
      <c r="GH139" s="406"/>
      <c r="GI139" s="406"/>
      <c r="GJ139" s="406"/>
      <c r="GK139" s="407"/>
    </row>
    <row r="140" spans="2:193" ht="13.5" customHeight="1" thickBot="1">
      <c r="B140" s="18"/>
      <c r="C140" s="19" t="s">
        <v>501</v>
      </c>
      <c r="D140" s="19"/>
      <c r="E140" s="19"/>
      <c r="F140" s="19"/>
      <c r="G140" s="19"/>
      <c r="H140" s="395"/>
      <c r="I140" s="418"/>
      <c r="J140" s="418"/>
      <c r="K140" s="418"/>
      <c r="L140" s="418"/>
      <c r="M140" s="418"/>
      <c r="N140" s="418"/>
      <c r="O140" s="418"/>
      <c r="P140" s="418"/>
      <c r="Q140" s="418"/>
      <c r="R140" s="419"/>
      <c r="S140" s="395"/>
      <c r="T140" s="418"/>
      <c r="U140" s="418"/>
      <c r="V140" s="418"/>
      <c r="W140" s="418"/>
      <c r="X140" s="419"/>
      <c r="Y140" s="252" t="str">
        <f t="shared" si="42"/>
        <v/>
      </c>
      <c r="Z140" s="418"/>
      <c r="AA140" s="419"/>
      <c r="AB140" s="252" t="str">
        <f t="shared" si="43"/>
        <v/>
      </c>
      <c r="AC140" s="418"/>
      <c r="AD140" s="419"/>
      <c r="AE140" s="252" t="str">
        <f t="shared" si="44"/>
        <v/>
      </c>
      <c r="AF140" s="418"/>
      <c r="AG140" s="418"/>
      <c r="AH140" s="418"/>
      <c r="AI140" s="418"/>
      <c r="AJ140" s="418"/>
      <c r="AK140" s="419"/>
      <c r="AL140" s="398" t="str">
        <f t="shared" si="45"/>
        <v/>
      </c>
      <c r="AM140" s="418"/>
      <c r="AN140" s="418"/>
      <c r="AO140" s="418"/>
      <c r="AP140" s="418"/>
      <c r="AQ140" s="418"/>
      <c r="AR140" s="419"/>
      <c r="AS140" s="20"/>
      <c r="BK140" s="413" t="str">
        <f t="shared" si="46"/>
        <v/>
      </c>
      <c r="BL140" s="414"/>
      <c r="BM140" s="414"/>
      <c r="BN140" s="414"/>
      <c r="BO140" s="414"/>
      <c r="BP140" s="414"/>
      <c r="BQ140" s="414"/>
      <c r="BR140" s="414"/>
      <c r="BS140" s="415"/>
      <c r="BT140" s="413" t="str">
        <f t="shared" si="47"/>
        <v/>
      </c>
      <c r="BU140" s="416"/>
      <c r="BV140" s="416"/>
      <c r="BW140" s="416"/>
      <c r="BX140" s="416"/>
      <c r="BY140" s="416"/>
      <c r="BZ140" s="416"/>
      <c r="CA140" s="416"/>
      <c r="CB140" s="417"/>
      <c r="CC140" s="405"/>
      <c r="CD140" s="406"/>
      <c r="CE140" s="406"/>
      <c r="CF140" s="406"/>
      <c r="CG140" s="406"/>
      <c r="CH140" s="406"/>
      <c r="CI140" s="406"/>
      <c r="CJ140" s="406"/>
      <c r="CK140" s="406"/>
      <c r="CL140" s="406"/>
      <c r="CM140" s="406"/>
      <c r="CN140" s="406"/>
      <c r="CO140" s="406"/>
      <c r="CP140" s="406"/>
      <c r="CQ140" s="406"/>
      <c r="CR140" s="406"/>
      <c r="CS140" s="406"/>
      <c r="CT140" s="407"/>
      <c r="DO140" s="405"/>
      <c r="DP140" s="406"/>
      <c r="DQ140" s="406"/>
      <c r="DR140" s="406"/>
      <c r="DS140" s="406"/>
      <c r="DT140" s="406"/>
      <c r="DU140" s="406"/>
      <c r="DV140" s="406"/>
      <c r="DW140" s="406"/>
      <c r="DX140" s="406"/>
      <c r="DY140" s="406"/>
      <c r="DZ140" s="406"/>
      <c r="EA140" s="406"/>
      <c r="EB140" s="406"/>
      <c r="EC140" s="406"/>
      <c r="ED140" s="406"/>
      <c r="EE140" s="406"/>
      <c r="EF140" s="407"/>
      <c r="FT140" s="405"/>
      <c r="FU140" s="406"/>
      <c r="FV140" s="406"/>
      <c r="FW140" s="406"/>
      <c r="FX140" s="406"/>
      <c r="FY140" s="406"/>
      <c r="FZ140" s="406"/>
      <c r="GA140" s="406"/>
      <c r="GB140" s="406"/>
      <c r="GC140" s="406"/>
      <c r="GD140" s="406"/>
      <c r="GE140" s="406"/>
      <c r="GF140" s="406"/>
      <c r="GG140" s="406"/>
      <c r="GH140" s="406"/>
      <c r="GI140" s="406"/>
      <c r="GJ140" s="406"/>
      <c r="GK140" s="407"/>
    </row>
    <row r="141" spans="2:193" ht="13.5" customHeight="1" thickBot="1">
      <c r="B141" s="18"/>
      <c r="C141" s="19" t="s">
        <v>502</v>
      </c>
      <c r="D141" s="19"/>
      <c r="E141" s="19"/>
      <c r="F141" s="19"/>
      <c r="G141" s="19"/>
      <c r="H141" s="395"/>
      <c r="I141" s="418"/>
      <c r="J141" s="418"/>
      <c r="K141" s="418"/>
      <c r="L141" s="418"/>
      <c r="M141" s="418"/>
      <c r="N141" s="418"/>
      <c r="O141" s="418"/>
      <c r="P141" s="418"/>
      <c r="Q141" s="418"/>
      <c r="R141" s="419"/>
      <c r="S141" s="395"/>
      <c r="T141" s="418"/>
      <c r="U141" s="418"/>
      <c r="V141" s="418"/>
      <c r="W141" s="418"/>
      <c r="X141" s="419"/>
      <c r="Y141" s="252" t="str">
        <f t="shared" si="42"/>
        <v/>
      </c>
      <c r="Z141" s="418"/>
      <c r="AA141" s="419"/>
      <c r="AB141" s="252" t="str">
        <f t="shared" si="43"/>
        <v/>
      </c>
      <c r="AC141" s="418"/>
      <c r="AD141" s="419"/>
      <c r="AE141" s="252" t="str">
        <f t="shared" si="44"/>
        <v/>
      </c>
      <c r="AF141" s="418"/>
      <c r="AG141" s="418"/>
      <c r="AH141" s="418"/>
      <c r="AI141" s="418"/>
      <c r="AJ141" s="418"/>
      <c r="AK141" s="419"/>
      <c r="AL141" s="398" t="str">
        <f t="shared" si="45"/>
        <v/>
      </c>
      <c r="AM141" s="418"/>
      <c r="AN141" s="418"/>
      <c r="AO141" s="418"/>
      <c r="AP141" s="418"/>
      <c r="AQ141" s="418"/>
      <c r="AR141" s="419"/>
      <c r="AS141" s="20"/>
      <c r="BK141" s="413" t="str">
        <f t="shared" si="46"/>
        <v/>
      </c>
      <c r="BL141" s="414"/>
      <c r="BM141" s="414"/>
      <c r="BN141" s="414"/>
      <c r="BO141" s="414"/>
      <c r="BP141" s="414"/>
      <c r="BQ141" s="414"/>
      <c r="BR141" s="414"/>
      <c r="BS141" s="415"/>
      <c r="BT141" s="413" t="str">
        <f t="shared" si="47"/>
        <v/>
      </c>
      <c r="BU141" s="416"/>
      <c r="BV141" s="416"/>
      <c r="BW141" s="416"/>
      <c r="BX141" s="416"/>
      <c r="BY141" s="416"/>
      <c r="BZ141" s="416"/>
      <c r="CA141" s="416"/>
      <c r="CB141" s="417"/>
      <c r="CC141" s="405"/>
      <c r="CD141" s="406"/>
      <c r="CE141" s="406"/>
      <c r="CF141" s="406"/>
      <c r="CG141" s="406"/>
      <c r="CH141" s="406"/>
      <c r="CI141" s="406"/>
      <c r="CJ141" s="406"/>
      <c r="CK141" s="406"/>
      <c r="CL141" s="406"/>
      <c r="CM141" s="406"/>
      <c r="CN141" s="406"/>
      <c r="CO141" s="406"/>
      <c r="CP141" s="406"/>
      <c r="CQ141" s="406"/>
      <c r="CR141" s="406"/>
      <c r="CS141" s="406"/>
      <c r="CT141" s="407"/>
      <c r="DO141" s="405"/>
      <c r="DP141" s="406"/>
      <c r="DQ141" s="406"/>
      <c r="DR141" s="406"/>
      <c r="DS141" s="406"/>
      <c r="DT141" s="406"/>
      <c r="DU141" s="406"/>
      <c r="DV141" s="406"/>
      <c r="DW141" s="406"/>
      <c r="DX141" s="406"/>
      <c r="DY141" s="406"/>
      <c r="DZ141" s="406"/>
      <c r="EA141" s="406"/>
      <c r="EB141" s="406"/>
      <c r="EC141" s="406"/>
      <c r="ED141" s="406"/>
      <c r="EE141" s="406"/>
      <c r="EF141" s="407"/>
      <c r="FT141" s="405"/>
      <c r="FU141" s="406"/>
      <c r="FV141" s="406"/>
      <c r="FW141" s="406"/>
      <c r="FX141" s="406"/>
      <c r="FY141" s="406"/>
      <c r="FZ141" s="406"/>
      <c r="GA141" s="406"/>
      <c r="GB141" s="406"/>
      <c r="GC141" s="406"/>
      <c r="GD141" s="406"/>
      <c r="GE141" s="406"/>
      <c r="GF141" s="406"/>
      <c r="GG141" s="406"/>
      <c r="GH141" s="406"/>
      <c r="GI141" s="406"/>
      <c r="GJ141" s="406"/>
      <c r="GK141" s="407"/>
    </row>
    <row r="142" spans="2:193" ht="13.5" customHeight="1" thickBot="1">
      <c r="B142" s="18"/>
      <c r="C142" s="19" t="s">
        <v>503</v>
      </c>
      <c r="D142" s="19"/>
      <c r="E142" s="19"/>
      <c r="F142" s="19"/>
      <c r="G142" s="19"/>
      <c r="H142" s="395"/>
      <c r="I142" s="418"/>
      <c r="J142" s="418"/>
      <c r="K142" s="418"/>
      <c r="L142" s="418"/>
      <c r="M142" s="418"/>
      <c r="N142" s="418"/>
      <c r="O142" s="418"/>
      <c r="P142" s="418"/>
      <c r="Q142" s="418"/>
      <c r="R142" s="419"/>
      <c r="S142" s="395"/>
      <c r="T142" s="418"/>
      <c r="U142" s="418"/>
      <c r="V142" s="418"/>
      <c r="W142" s="418"/>
      <c r="X142" s="419"/>
      <c r="Y142" s="252" t="str">
        <f t="shared" si="42"/>
        <v/>
      </c>
      <c r="Z142" s="418"/>
      <c r="AA142" s="419"/>
      <c r="AB142" s="252" t="str">
        <f t="shared" si="43"/>
        <v/>
      </c>
      <c r="AC142" s="418"/>
      <c r="AD142" s="419"/>
      <c r="AE142" s="252" t="str">
        <f t="shared" si="44"/>
        <v/>
      </c>
      <c r="AF142" s="418"/>
      <c r="AG142" s="418"/>
      <c r="AH142" s="418"/>
      <c r="AI142" s="418"/>
      <c r="AJ142" s="418"/>
      <c r="AK142" s="419"/>
      <c r="AL142" s="398" t="str">
        <f t="shared" si="45"/>
        <v/>
      </c>
      <c r="AM142" s="418"/>
      <c r="AN142" s="418"/>
      <c r="AO142" s="418"/>
      <c r="AP142" s="418"/>
      <c r="AQ142" s="418"/>
      <c r="AR142" s="419"/>
      <c r="AS142" s="20"/>
      <c r="BK142" s="413" t="str">
        <f t="shared" si="46"/>
        <v/>
      </c>
      <c r="BL142" s="414"/>
      <c r="BM142" s="414"/>
      <c r="BN142" s="414"/>
      <c r="BO142" s="414"/>
      <c r="BP142" s="414"/>
      <c r="BQ142" s="414"/>
      <c r="BR142" s="414"/>
      <c r="BS142" s="415"/>
      <c r="BT142" s="413" t="str">
        <f t="shared" si="47"/>
        <v/>
      </c>
      <c r="BU142" s="416"/>
      <c r="BV142" s="416"/>
      <c r="BW142" s="416"/>
      <c r="BX142" s="416"/>
      <c r="BY142" s="416"/>
      <c r="BZ142" s="416"/>
      <c r="CA142" s="416"/>
      <c r="CB142" s="417"/>
      <c r="CC142" s="405"/>
      <c r="CD142" s="406"/>
      <c r="CE142" s="406"/>
      <c r="CF142" s="406"/>
      <c r="CG142" s="406"/>
      <c r="CH142" s="406"/>
      <c r="CI142" s="406"/>
      <c r="CJ142" s="406"/>
      <c r="CK142" s="406"/>
      <c r="CL142" s="406"/>
      <c r="CM142" s="406"/>
      <c r="CN142" s="406"/>
      <c r="CO142" s="406"/>
      <c r="CP142" s="406"/>
      <c r="CQ142" s="406"/>
      <c r="CR142" s="406"/>
      <c r="CS142" s="406"/>
      <c r="CT142" s="407"/>
      <c r="DO142" s="405"/>
      <c r="DP142" s="406"/>
      <c r="DQ142" s="406"/>
      <c r="DR142" s="406"/>
      <c r="DS142" s="406"/>
      <c r="DT142" s="406"/>
      <c r="DU142" s="406"/>
      <c r="DV142" s="406"/>
      <c r="DW142" s="406"/>
      <c r="DX142" s="406"/>
      <c r="DY142" s="406"/>
      <c r="DZ142" s="406"/>
      <c r="EA142" s="406"/>
      <c r="EB142" s="406"/>
      <c r="EC142" s="406"/>
      <c r="ED142" s="406"/>
      <c r="EE142" s="406"/>
      <c r="EF142" s="407"/>
      <c r="FT142" s="405"/>
      <c r="FU142" s="406"/>
      <c r="FV142" s="406"/>
      <c r="FW142" s="406"/>
      <c r="FX142" s="406"/>
      <c r="FY142" s="406"/>
      <c r="FZ142" s="406"/>
      <c r="GA142" s="406"/>
      <c r="GB142" s="406"/>
      <c r="GC142" s="406"/>
      <c r="GD142" s="406"/>
      <c r="GE142" s="406"/>
      <c r="GF142" s="406"/>
      <c r="GG142" s="406"/>
      <c r="GH142" s="406"/>
      <c r="GI142" s="406"/>
      <c r="GJ142" s="406"/>
      <c r="GK142" s="407"/>
    </row>
    <row r="143" spans="2:193" ht="13.5" customHeight="1" thickBot="1">
      <c r="B143" s="18"/>
      <c r="C143" s="19" t="s">
        <v>504</v>
      </c>
      <c r="D143" s="19"/>
      <c r="E143" s="19"/>
      <c r="F143" s="19"/>
      <c r="G143" s="19"/>
      <c r="H143" s="395"/>
      <c r="I143" s="418"/>
      <c r="J143" s="418"/>
      <c r="K143" s="418"/>
      <c r="L143" s="418"/>
      <c r="M143" s="418"/>
      <c r="N143" s="418"/>
      <c r="O143" s="418"/>
      <c r="P143" s="418"/>
      <c r="Q143" s="418"/>
      <c r="R143" s="419"/>
      <c r="S143" s="395"/>
      <c r="T143" s="418"/>
      <c r="U143" s="418"/>
      <c r="V143" s="418"/>
      <c r="W143" s="418"/>
      <c r="X143" s="419"/>
      <c r="Y143" s="252" t="str">
        <f t="shared" si="42"/>
        <v/>
      </c>
      <c r="Z143" s="418"/>
      <c r="AA143" s="419"/>
      <c r="AB143" s="252" t="str">
        <f t="shared" si="43"/>
        <v/>
      </c>
      <c r="AC143" s="418"/>
      <c r="AD143" s="419"/>
      <c r="AE143" s="252" t="str">
        <f t="shared" si="44"/>
        <v/>
      </c>
      <c r="AF143" s="418"/>
      <c r="AG143" s="418"/>
      <c r="AH143" s="418"/>
      <c r="AI143" s="418"/>
      <c r="AJ143" s="418"/>
      <c r="AK143" s="419"/>
      <c r="AL143" s="398" t="str">
        <f t="shared" si="45"/>
        <v/>
      </c>
      <c r="AM143" s="418"/>
      <c r="AN143" s="418"/>
      <c r="AO143" s="418"/>
      <c r="AP143" s="418"/>
      <c r="AQ143" s="418"/>
      <c r="AR143" s="419"/>
      <c r="AS143" s="20"/>
      <c r="BK143" s="413" t="str">
        <f t="shared" si="46"/>
        <v/>
      </c>
      <c r="BL143" s="414"/>
      <c r="BM143" s="414"/>
      <c r="BN143" s="414"/>
      <c r="BO143" s="414"/>
      <c r="BP143" s="414"/>
      <c r="BQ143" s="414"/>
      <c r="BR143" s="414"/>
      <c r="BS143" s="415"/>
      <c r="BT143" s="413" t="str">
        <f t="shared" si="47"/>
        <v/>
      </c>
      <c r="BU143" s="416"/>
      <c r="BV143" s="416"/>
      <c r="BW143" s="416"/>
      <c r="BX143" s="416"/>
      <c r="BY143" s="416"/>
      <c r="BZ143" s="416"/>
      <c r="CA143" s="416"/>
      <c r="CB143" s="417"/>
      <c r="CC143" s="405"/>
      <c r="CD143" s="406"/>
      <c r="CE143" s="406"/>
      <c r="CF143" s="406"/>
      <c r="CG143" s="406"/>
      <c r="CH143" s="406"/>
      <c r="CI143" s="406"/>
      <c r="CJ143" s="406"/>
      <c r="CK143" s="406"/>
      <c r="CL143" s="406"/>
      <c r="CM143" s="406"/>
      <c r="CN143" s="406"/>
      <c r="CO143" s="406"/>
      <c r="CP143" s="406"/>
      <c r="CQ143" s="406"/>
      <c r="CR143" s="406"/>
      <c r="CS143" s="406"/>
      <c r="CT143" s="407"/>
      <c r="DO143" s="405"/>
      <c r="DP143" s="406"/>
      <c r="DQ143" s="406"/>
      <c r="DR143" s="406"/>
      <c r="DS143" s="406"/>
      <c r="DT143" s="406"/>
      <c r="DU143" s="406"/>
      <c r="DV143" s="406"/>
      <c r="DW143" s="406"/>
      <c r="DX143" s="406"/>
      <c r="DY143" s="406"/>
      <c r="DZ143" s="406"/>
      <c r="EA143" s="406"/>
      <c r="EB143" s="406"/>
      <c r="EC143" s="406"/>
      <c r="ED143" s="406"/>
      <c r="EE143" s="406"/>
      <c r="EF143" s="407"/>
      <c r="FT143" s="405"/>
      <c r="FU143" s="406"/>
      <c r="FV143" s="406"/>
      <c r="FW143" s="406"/>
      <c r="FX143" s="406"/>
      <c r="FY143" s="406"/>
      <c r="FZ143" s="406"/>
      <c r="GA143" s="406"/>
      <c r="GB143" s="406"/>
      <c r="GC143" s="406"/>
      <c r="GD143" s="406"/>
      <c r="GE143" s="406"/>
      <c r="GF143" s="406"/>
      <c r="GG143" s="406"/>
      <c r="GH143" s="406"/>
      <c r="GI143" s="406"/>
      <c r="GJ143" s="406"/>
      <c r="GK143" s="407"/>
    </row>
    <row r="144" spans="2:193" ht="13.5" customHeight="1" thickBot="1">
      <c r="B144" s="18"/>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20"/>
      <c r="CC144" s="405"/>
      <c r="CD144" s="406"/>
      <c r="CE144" s="406"/>
      <c r="CF144" s="406"/>
      <c r="CG144" s="406"/>
      <c r="CH144" s="406"/>
      <c r="CI144" s="406"/>
      <c r="CJ144" s="406"/>
      <c r="CK144" s="406"/>
      <c r="CL144" s="406"/>
      <c r="CM144" s="406"/>
      <c r="CN144" s="406"/>
      <c r="CO144" s="406"/>
      <c r="CP144" s="406"/>
      <c r="CQ144" s="406"/>
      <c r="CR144" s="406"/>
      <c r="CS144" s="406"/>
      <c r="CT144" s="407"/>
      <c r="DO144" s="405"/>
      <c r="DP144" s="406"/>
      <c r="DQ144" s="406"/>
      <c r="DR144" s="406"/>
      <c r="DS144" s="406"/>
      <c r="DT144" s="406"/>
      <c r="DU144" s="406"/>
      <c r="DV144" s="406"/>
      <c r="DW144" s="406"/>
      <c r="DX144" s="406"/>
      <c r="DY144" s="406"/>
      <c r="DZ144" s="406"/>
      <c r="EA144" s="406"/>
      <c r="EB144" s="406"/>
      <c r="EC144" s="406"/>
      <c r="ED144" s="406"/>
      <c r="EE144" s="406"/>
      <c r="EF144" s="407"/>
      <c r="FT144" s="405"/>
      <c r="FU144" s="406"/>
      <c r="FV144" s="406"/>
      <c r="FW144" s="406"/>
      <c r="FX144" s="406"/>
      <c r="FY144" s="406"/>
      <c r="FZ144" s="406"/>
      <c r="GA144" s="406"/>
      <c r="GB144" s="406"/>
      <c r="GC144" s="406"/>
      <c r="GD144" s="406"/>
      <c r="GE144" s="406"/>
      <c r="GF144" s="406"/>
      <c r="GG144" s="406"/>
      <c r="GH144" s="406"/>
      <c r="GI144" s="406"/>
      <c r="GJ144" s="406"/>
      <c r="GK144" s="407"/>
    </row>
    <row r="145" spans="2:193" ht="13.5" customHeight="1" thickBot="1">
      <c r="B145" s="18"/>
      <c r="C145" s="388" t="s">
        <v>525</v>
      </c>
      <c r="D145" s="388"/>
      <c r="E145" s="388"/>
      <c r="F145" s="388"/>
      <c r="G145" s="421"/>
      <c r="H145" s="389"/>
      <c r="I145" s="422"/>
      <c r="J145" s="422"/>
      <c r="K145" s="422"/>
      <c r="L145" s="422"/>
      <c r="M145" s="422"/>
      <c r="N145" s="422"/>
      <c r="O145" s="422"/>
      <c r="P145" s="422"/>
      <c r="Q145" s="422"/>
      <c r="R145" s="422"/>
      <c r="S145" s="422"/>
      <c r="T145" s="422"/>
      <c r="U145" s="422"/>
      <c r="V145" s="422"/>
      <c r="W145" s="422"/>
      <c r="X145" s="422"/>
      <c r="Y145" s="422"/>
      <c r="Z145" s="422"/>
      <c r="AA145" s="422"/>
      <c r="AB145" s="422"/>
      <c r="AC145" s="422"/>
      <c r="AD145" s="422"/>
      <c r="AE145" s="422"/>
      <c r="AF145" s="422"/>
      <c r="AG145" s="422"/>
      <c r="AH145" s="422"/>
      <c r="AI145" s="423"/>
      <c r="AJ145" s="19"/>
      <c r="AK145" s="19" t="s">
        <v>526</v>
      </c>
      <c r="AL145" s="19"/>
      <c r="AM145" s="19"/>
      <c r="AN145" s="19"/>
      <c r="AO145" s="252" t="str">
        <f>IF(H133="","",SUM(Y134:AA143))</f>
        <v/>
      </c>
      <c r="AP145" s="418"/>
      <c r="AQ145" s="418"/>
      <c r="AR145" s="419"/>
      <c r="AS145" s="20"/>
      <c r="CC145" s="405"/>
      <c r="CD145" s="406"/>
      <c r="CE145" s="406"/>
      <c r="CF145" s="406"/>
      <c r="CG145" s="406"/>
      <c r="CH145" s="406"/>
      <c r="CI145" s="406"/>
      <c r="CJ145" s="406"/>
      <c r="CK145" s="406"/>
      <c r="CL145" s="406"/>
      <c r="CM145" s="406"/>
      <c r="CN145" s="406"/>
      <c r="CO145" s="406"/>
      <c r="CP145" s="406"/>
      <c r="CQ145" s="406"/>
      <c r="CR145" s="406"/>
      <c r="CS145" s="406"/>
      <c r="CT145" s="407"/>
      <c r="DO145" s="405"/>
      <c r="DP145" s="406"/>
      <c r="DQ145" s="406"/>
      <c r="DR145" s="406"/>
      <c r="DS145" s="406"/>
      <c r="DT145" s="406"/>
      <c r="DU145" s="406"/>
      <c r="DV145" s="406"/>
      <c r="DW145" s="406"/>
      <c r="DX145" s="406"/>
      <c r="DY145" s="406"/>
      <c r="DZ145" s="406"/>
      <c r="EA145" s="406"/>
      <c r="EB145" s="406"/>
      <c r="EC145" s="406"/>
      <c r="ED145" s="406"/>
      <c r="EE145" s="406"/>
      <c r="EF145" s="407"/>
      <c r="FT145" s="405"/>
      <c r="FU145" s="406"/>
      <c r="FV145" s="406"/>
      <c r="FW145" s="406"/>
      <c r="FX145" s="406"/>
      <c r="FY145" s="406"/>
      <c r="FZ145" s="406"/>
      <c r="GA145" s="406"/>
      <c r="GB145" s="406"/>
      <c r="GC145" s="406"/>
      <c r="GD145" s="406"/>
      <c r="GE145" s="406"/>
      <c r="GF145" s="406"/>
      <c r="GG145" s="406"/>
      <c r="GH145" s="406"/>
      <c r="GI145" s="406"/>
      <c r="GJ145" s="406"/>
      <c r="GK145" s="407"/>
    </row>
    <row r="146" spans="2:193" ht="13.5" customHeight="1" thickBot="1">
      <c r="B146" s="18"/>
      <c r="C146" s="388"/>
      <c r="D146" s="388"/>
      <c r="E146" s="388"/>
      <c r="F146" s="388"/>
      <c r="G146" s="421"/>
      <c r="H146" s="424"/>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6"/>
      <c r="AJ146" s="19"/>
      <c r="AK146" s="19"/>
      <c r="AL146" s="19"/>
      <c r="AM146" s="19"/>
      <c r="AN146" s="19"/>
      <c r="AO146" s="19"/>
      <c r="AP146" s="19"/>
      <c r="AQ146" s="19"/>
      <c r="AR146" s="19"/>
      <c r="AS146" s="20"/>
      <c r="CC146" s="408"/>
      <c r="CD146" s="409"/>
      <c r="CE146" s="409"/>
      <c r="CF146" s="409"/>
      <c r="CG146" s="409"/>
      <c r="CH146" s="409"/>
      <c r="CI146" s="409"/>
      <c r="CJ146" s="409"/>
      <c r="CK146" s="409"/>
      <c r="CL146" s="409"/>
      <c r="CM146" s="409"/>
      <c r="CN146" s="409"/>
      <c r="CO146" s="409"/>
      <c r="CP146" s="409"/>
      <c r="CQ146" s="409"/>
      <c r="CR146" s="409"/>
      <c r="CS146" s="409"/>
      <c r="CT146" s="410"/>
      <c r="DO146" s="408"/>
      <c r="DP146" s="409"/>
      <c r="DQ146" s="409"/>
      <c r="DR146" s="409"/>
      <c r="DS146" s="409"/>
      <c r="DT146" s="409"/>
      <c r="DU146" s="409"/>
      <c r="DV146" s="409"/>
      <c r="DW146" s="409"/>
      <c r="DX146" s="409"/>
      <c r="DY146" s="409"/>
      <c r="DZ146" s="409"/>
      <c r="EA146" s="409"/>
      <c r="EB146" s="409"/>
      <c r="EC146" s="409"/>
      <c r="ED146" s="409"/>
      <c r="EE146" s="409"/>
      <c r="EF146" s="410"/>
      <c r="FT146" s="408"/>
      <c r="FU146" s="409"/>
      <c r="FV146" s="409"/>
      <c r="FW146" s="409"/>
      <c r="FX146" s="409"/>
      <c r="FY146" s="409"/>
      <c r="FZ146" s="409"/>
      <c r="GA146" s="409"/>
      <c r="GB146" s="409"/>
      <c r="GC146" s="409"/>
      <c r="GD146" s="409"/>
      <c r="GE146" s="409"/>
      <c r="GF146" s="409"/>
      <c r="GG146" s="409"/>
      <c r="GH146" s="409"/>
      <c r="GI146" s="409"/>
      <c r="GJ146" s="409"/>
      <c r="GK146" s="410"/>
    </row>
    <row r="147" spans="2:193" ht="13.5" customHeight="1" thickBo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3"/>
    </row>
    <row r="148" spans="2:193" ht="13.5" customHeight="1" thickBot="1"/>
    <row r="149" spans="2:193" ht="13.5" customHeight="1" thickBot="1">
      <c r="B149" s="15"/>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7"/>
      <c r="BK149" s="12" t="s">
        <v>620</v>
      </c>
      <c r="BT149" s="12" t="s">
        <v>621</v>
      </c>
      <c r="CL149" s="44"/>
      <c r="CM149" s="44"/>
      <c r="CN149" s="44"/>
      <c r="CO149" s="44"/>
      <c r="CP149" s="44"/>
      <c r="CQ149" s="44"/>
      <c r="CR149" s="44"/>
      <c r="CS149" s="44"/>
      <c r="CT149" s="44"/>
    </row>
    <row r="150" spans="2:193" ht="13.5" customHeight="1" thickBot="1">
      <c r="B150" s="18"/>
      <c r="C150" s="19" t="s">
        <v>385</v>
      </c>
      <c r="D150" s="19"/>
      <c r="E150" s="19"/>
      <c r="F150" s="19"/>
      <c r="G150" s="19"/>
      <c r="H150" s="249"/>
      <c r="I150" s="418"/>
      <c r="J150" s="418"/>
      <c r="K150" s="418"/>
      <c r="L150" s="418"/>
      <c r="M150" s="418"/>
      <c r="N150" s="418"/>
      <c r="O150" s="418"/>
      <c r="P150" s="418"/>
      <c r="Q150" s="418"/>
      <c r="R150" s="419"/>
      <c r="S150" s="401" t="s">
        <v>505</v>
      </c>
      <c r="T150" s="425"/>
      <c r="U150" s="425"/>
      <c r="V150" s="425"/>
      <c r="W150" s="425"/>
      <c r="X150" s="425"/>
      <c r="Y150" s="262" t="s">
        <v>37</v>
      </c>
      <c r="Z150" s="262"/>
      <c r="AA150" s="262"/>
      <c r="AB150" s="262" t="s">
        <v>36</v>
      </c>
      <c r="AC150" s="262"/>
      <c r="AD150" s="262"/>
      <c r="AE150" s="262" t="s">
        <v>506</v>
      </c>
      <c r="AF150" s="262"/>
      <c r="AG150" s="262"/>
      <c r="AH150" s="262"/>
      <c r="AI150" s="262"/>
      <c r="AJ150" s="262"/>
      <c r="AK150" s="262"/>
      <c r="AL150" s="262" t="s">
        <v>507</v>
      </c>
      <c r="AM150" s="262"/>
      <c r="AN150" s="262"/>
      <c r="AO150" s="262"/>
      <c r="AP150" s="262"/>
      <c r="AQ150" s="262"/>
      <c r="AR150" s="262"/>
      <c r="AS150" s="20"/>
      <c r="BK150" s="384" t="str">
        <f>IF(H150="","",H150&amp;IF(H162="",""," ["&amp;H162&amp;"]"))</f>
        <v/>
      </c>
      <c r="BL150" s="414"/>
      <c r="BM150" s="414"/>
      <c r="BN150" s="414"/>
      <c r="BO150" s="414"/>
      <c r="BP150" s="414"/>
      <c r="BQ150" s="414"/>
      <c r="BR150" s="414"/>
      <c r="BS150" s="415"/>
      <c r="BT150" s="384"/>
      <c r="BU150" s="385"/>
      <c r="BV150" s="385"/>
      <c r="BW150" s="385"/>
      <c r="BX150" s="385"/>
      <c r="BY150" s="385"/>
      <c r="BZ150" s="385"/>
      <c r="CA150" s="385"/>
      <c r="CB150" s="386"/>
      <c r="CC150" s="346" t="str">
        <f>IF(BK150="","",CHAR(149)&amp;" "&amp;BK150&amp;CHAR(10)&amp;BT160)</f>
        <v/>
      </c>
      <c r="CD150" s="403"/>
      <c r="CE150" s="403"/>
      <c r="CF150" s="403"/>
      <c r="CG150" s="403"/>
      <c r="CH150" s="403"/>
      <c r="CI150" s="403"/>
      <c r="CJ150" s="403"/>
      <c r="CK150" s="403"/>
      <c r="CL150" s="403"/>
      <c r="CM150" s="403"/>
      <c r="CN150" s="403"/>
      <c r="CO150" s="403"/>
      <c r="CP150" s="403"/>
      <c r="CQ150" s="403"/>
      <c r="CR150" s="403"/>
      <c r="CS150" s="403"/>
      <c r="CT150" s="404"/>
      <c r="DO150" s="346" t="str">
        <f>IF($BK150="","","[b]"&amp;$BK150&amp;"[/b]"&amp;CHAR(10)&amp;$BT160)</f>
        <v/>
      </c>
      <c r="DP150" s="403"/>
      <c r="DQ150" s="403"/>
      <c r="DR150" s="403"/>
      <c r="DS150" s="403"/>
      <c r="DT150" s="403"/>
      <c r="DU150" s="403"/>
      <c r="DV150" s="403"/>
      <c r="DW150" s="403"/>
      <c r="DX150" s="403"/>
      <c r="DY150" s="403"/>
      <c r="DZ150" s="403"/>
      <c r="EA150" s="403"/>
      <c r="EB150" s="403"/>
      <c r="EC150" s="403"/>
      <c r="ED150" s="403"/>
      <c r="EE150" s="403"/>
      <c r="EF150" s="404"/>
      <c r="FT150" s="346" t="str">
        <f>IF($BK150="","","**"&amp;$BK150&amp;"**"&amp;CHAR(10)&amp;$BT160)</f>
        <v/>
      </c>
      <c r="FU150" s="403"/>
      <c r="FV150" s="403"/>
      <c r="FW150" s="403"/>
      <c r="FX150" s="403"/>
      <c r="FY150" s="403"/>
      <c r="FZ150" s="403"/>
      <c r="GA150" s="403"/>
      <c r="GB150" s="403"/>
      <c r="GC150" s="403"/>
      <c r="GD150" s="403"/>
      <c r="GE150" s="403"/>
      <c r="GF150" s="403"/>
      <c r="GG150" s="403"/>
      <c r="GH150" s="403"/>
      <c r="GI150" s="403"/>
      <c r="GJ150" s="403"/>
      <c r="GK150" s="404"/>
    </row>
    <row r="151" spans="2:193" ht="13.5" customHeight="1" thickBot="1">
      <c r="B151" s="18"/>
      <c r="C151" s="19" t="s">
        <v>495</v>
      </c>
      <c r="D151" s="19"/>
      <c r="E151" s="19"/>
      <c r="F151" s="19"/>
      <c r="G151" s="19"/>
      <c r="H151" s="395"/>
      <c r="I151" s="418"/>
      <c r="J151" s="418"/>
      <c r="K151" s="418"/>
      <c r="L151" s="418"/>
      <c r="M151" s="418"/>
      <c r="N151" s="418"/>
      <c r="O151" s="418"/>
      <c r="P151" s="418"/>
      <c r="Q151" s="418"/>
      <c r="R151" s="419"/>
      <c r="S151" s="395"/>
      <c r="T151" s="418"/>
      <c r="U151" s="418"/>
      <c r="V151" s="418"/>
      <c r="W151" s="418"/>
      <c r="X151" s="419"/>
      <c r="Y151" s="252" t="str">
        <f t="shared" ref="Y151:Y160" si="48">IF($H151="","",IF($S151="Normal",VLOOKUP($H151,EqCompMatrix,7,FALSE),IF($S151="Alternate",1,IF($S151="Dynamic",2,IF($S151="None",0,"")))))</f>
        <v/>
      </c>
      <c r="Z151" s="418"/>
      <c r="AA151" s="419"/>
      <c r="AB151" s="252" t="str">
        <f t="shared" ref="AB151:AB160" si="49">IF($H151="","",VLOOKUP($H151,EqCompMatrix,5,FALSE))</f>
        <v/>
      </c>
      <c r="AC151" s="418"/>
      <c r="AD151" s="419"/>
      <c r="AE151" s="252" t="str">
        <f t="shared" ref="AE151:AE160" si="50">IF($H151="","",VLOOKUP($H151,EqCompMatrix,9,FALSE))</f>
        <v/>
      </c>
      <c r="AF151" s="418"/>
      <c r="AG151" s="418"/>
      <c r="AH151" s="418"/>
      <c r="AI151" s="418"/>
      <c r="AJ151" s="418"/>
      <c r="AK151" s="419"/>
      <c r="AL151" s="398" t="str">
        <f t="shared" ref="AL151:AL160" si="51">IF($H151="","",VLOOKUP($H151,EqCompMatrix,15,FALSE))</f>
        <v/>
      </c>
      <c r="AM151" s="418"/>
      <c r="AN151" s="418"/>
      <c r="AO151" s="418"/>
      <c r="AP151" s="418"/>
      <c r="AQ151" s="418"/>
      <c r="AR151" s="419"/>
      <c r="AS151" s="20"/>
      <c r="BK151" s="413" t="str">
        <f>IF(H151="","",IF(S151="Alternate","Alt: ","")&amp;IF(S151="Dynamic","Dyn: ","")&amp;IF(H151=AE151,AE151&amp;" "&amp;AB151&amp;IF(AL151="",""," ["&amp;AL151&amp;"]"),IF(AE151="Custom",H151&amp;" ("&amp;Y151&amp;" points)"&amp;CHAR(10),H151&amp;": "&amp;AE151&amp;" "&amp;AB151&amp;IF(AL151="",""," ["&amp;AL151&amp;"]"))))</f>
        <v/>
      </c>
      <c r="BL151" s="414"/>
      <c r="BM151" s="414"/>
      <c r="BN151" s="414"/>
      <c r="BO151" s="414"/>
      <c r="BP151" s="414"/>
      <c r="BQ151" s="414"/>
      <c r="BR151" s="414"/>
      <c r="BS151" s="415"/>
      <c r="BT151" s="384" t="str">
        <f>IF(BK151="","","     "&amp;BK151)</f>
        <v/>
      </c>
      <c r="BU151" s="385"/>
      <c r="BV151" s="385"/>
      <c r="BW151" s="385"/>
      <c r="BX151" s="385"/>
      <c r="BY151" s="385"/>
      <c r="BZ151" s="385"/>
      <c r="CA151" s="385"/>
      <c r="CB151" s="386"/>
      <c r="CC151" s="405"/>
      <c r="CD151" s="406"/>
      <c r="CE151" s="406"/>
      <c r="CF151" s="406"/>
      <c r="CG151" s="406"/>
      <c r="CH151" s="406"/>
      <c r="CI151" s="406"/>
      <c r="CJ151" s="406"/>
      <c r="CK151" s="406"/>
      <c r="CL151" s="406"/>
      <c r="CM151" s="406"/>
      <c r="CN151" s="406"/>
      <c r="CO151" s="406"/>
      <c r="CP151" s="406"/>
      <c r="CQ151" s="406"/>
      <c r="CR151" s="406"/>
      <c r="CS151" s="406"/>
      <c r="CT151" s="407"/>
      <c r="DO151" s="405"/>
      <c r="DP151" s="406"/>
      <c r="DQ151" s="406"/>
      <c r="DR151" s="406"/>
      <c r="DS151" s="406"/>
      <c r="DT151" s="406"/>
      <c r="DU151" s="406"/>
      <c r="DV151" s="406"/>
      <c r="DW151" s="406"/>
      <c r="DX151" s="406"/>
      <c r="DY151" s="406"/>
      <c r="DZ151" s="406"/>
      <c r="EA151" s="406"/>
      <c r="EB151" s="406"/>
      <c r="EC151" s="406"/>
      <c r="ED151" s="406"/>
      <c r="EE151" s="406"/>
      <c r="EF151" s="407"/>
      <c r="FT151" s="405"/>
      <c r="FU151" s="406"/>
      <c r="FV151" s="406"/>
      <c r="FW151" s="406"/>
      <c r="FX151" s="406"/>
      <c r="FY151" s="406"/>
      <c r="FZ151" s="406"/>
      <c r="GA151" s="406"/>
      <c r="GB151" s="406"/>
      <c r="GC151" s="406"/>
      <c r="GD151" s="406"/>
      <c r="GE151" s="406"/>
      <c r="GF151" s="406"/>
      <c r="GG151" s="406"/>
      <c r="GH151" s="406"/>
      <c r="GI151" s="406"/>
      <c r="GJ151" s="406"/>
      <c r="GK151" s="407"/>
    </row>
    <row r="152" spans="2:193" ht="13.5" customHeight="1" thickBot="1">
      <c r="B152" s="18"/>
      <c r="C152" s="19" t="s">
        <v>496</v>
      </c>
      <c r="D152" s="19"/>
      <c r="E152" s="19"/>
      <c r="F152" s="19"/>
      <c r="G152" s="19"/>
      <c r="H152" s="395"/>
      <c r="I152" s="418"/>
      <c r="J152" s="418"/>
      <c r="K152" s="418"/>
      <c r="L152" s="418"/>
      <c r="M152" s="418"/>
      <c r="N152" s="418"/>
      <c r="O152" s="418"/>
      <c r="P152" s="418"/>
      <c r="Q152" s="418"/>
      <c r="R152" s="419"/>
      <c r="S152" s="395"/>
      <c r="T152" s="418"/>
      <c r="U152" s="418"/>
      <c r="V152" s="418"/>
      <c r="W152" s="418"/>
      <c r="X152" s="419"/>
      <c r="Y152" s="252" t="str">
        <f t="shared" si="48"/>
        <v/>
      </c>
      <c r="Z152" s="418"/>
      <c r="AA152" s="419"/>
      <c r="AB152" s="252" t="str">
        <f t="shared" si="49"/>
        <v/>
      </c>
      <c r="AC152" s="418"/>
      <c r="AD152" s="419"/>
      <c r="AE152" s="252" t="str">
        <f t="shared" si="50"/>
        <v/>
      </c>
      <c r="AF152" s="418"/>
      <c r="AG152" s="418"/>
      <c r="AH152" s="418"/>
      <c r="AI152" s="418"/>
      <c r="AJ152" s="418"/>
      <c r="AK152" s="419"/>
      <c r="AL152" s="398" t="str">
        <f t="shared" si="51"/>
        <v/>
      </c>
      <c r="AM152" s="418"/>
      <c r="AN152" s="418"/>
      <c r="AO152" s="418"/>
      <c r="AP152" s="418"/>
      <c r="AQ152" s="418"/>
      <c r="AR152" s="419"/>
      <c r="AS152" s="20"/>
      <c r="BK152" s="413" t="str">
        <f t="shared" ref="BK152:BK160" si="52">IF(H152="","",IF(S152="Alternate","Alt: ","")&amp;IF(S152="Dynamic","Dyn: ","")&amp;IF(H152=AE152,AE152&amp;" "&amp;AB152&amp;IF(AL152="",""," ["&amp;AL152&amp;"]"),IF(AE152="Custom",H152&amp;" ("&amp;Y152&amp;" points)"&amp;CHAR(10),H152&amp;": "&amp;AE152&amp;" "&amp;AB152&amp;IF(AL152="",""," ["&amp;AL152&amp;"]"))))</f>
        <v/>
      </c>
      <c r="BL152" s="414"/>
      <c r="BM152" s="414"/>
      <c r="BN152" s="414"/>
      <c r="BO152" s="414"/>
      <c r="BP152" s="414"/>
      <c r="BQ152" s="414"/>
      <c r="BR152" s="414"/>
      <c r="BS152" s="415"/>
      <c r="BT152" s="413" t="str">
        <f>BT151&amp;IF(AE151="Custom","     "&amp;BK152,IF(S152="None",", "&amp;BK152,"")&amp;IF(OR(S152="Alternate",S152="Dynamic"),CHAR(10)&amp;"     "&amp;BK152,"")&amp;IF(S152="Normal",IF(OR(S151="Alternate",S151="Dynamic",S151="None"),CHAR(10)&amp;"     "&amp;BK152,", "&amp;BK152),""))</f>
        <v/>
      </c>
      <c r="BU152" s="416"/>
      <c r="BV152" s="416"/>
      <c r="BW152" s="416"/>
      <c r="BX152" s="416"/>
      <c r="BY152" s="416"/>
      <c r="BZ152" s="416"/>
      <c r="CA152" s="416"/>
      <c r="CB152" s="417"/>
      <c r="CC152" s="405"/>
      <c r="CD152" s="406"/>
      <c r="CE152" s="406"/>
      <c r="CF152" s="406"/>
      <c r="CG152" s="406"/>
      <c r="CH152" s="406"/>
      <c r="CI152" s="406"/>
      <c r="CJ152" s="406"/>
      <c r="CK152" s="406"/>
      <c r="CL152" s="406"/>
      <c r="CM152" s="406"/>
      <c r="CN152" s="406"/>
      <c r="CO152" s="406"/>
      <c r="CP152" s="406"/>
      <c r="CQ152" s="406"/>
      <c r="CR152" s="406"/>
      <c r="CS152" s="406"/>
      <c r="CT152" s="407"/>
      <c r="DO152" s="405"/>
      <c r="DP152" s="406"/>
      <c r="DQ152" s="406"/>
      <c r="DR152" s="406"/>
      <c r="DS152" s="406"/>
      <c r="DT152" s="406"/>
      <c r="DU152" s="406"/>
      <c r="DV152" s="406"/>
      <c r="DW152" s="406"/>
      <c r="DX152" s="406"/>
      <c r="DY152" s="406"/>
      <c r="DZ152" s="406"/>
      <c r="EA152" s="406"/>
      <c r="EB152" s="406"/>
      <c r="EC152" s="406"/>
      <c r="ED152" s="406"/>
      <c r="EE152" s="406"/>
      <c r="EF152" s="407"/>
      <c r="FT152" s="405"/>
      <c r="FU152" s="406"/>
      <c r="FV152" s="406"/>
      <c r="FW152" s="406"/>
      <c r="FX152" s="406"/>
      <c r="FY152" s="406"/>
      <c r="FZ152" s="406"/>
      <c r="GA152" s="406"/>
      <c r="GB152" s="406"/>
      <c r="GC152" s="406"/>
      <c r="GD152" s="406"/>
      <c r="GE152" s="406"/>
      <c r="GF152" s="406"/>
      <c r="GG152" s="406"/>
      <c r="GH152" s="406"/>
      <c r="GI152" s="406"/>
      <c r="GJ152" s="406"/>
      <c r="GK152" s="407"/>
    </row>
    <row r="153" spans="2:193" ht="13.5" customHeight="1" thickBot="1">
      <c r="B153" s="18"/>
      <c r="C153" s="19" t="s">
        <v>497</v>
      </c>
      <c r="D153" s="19"/>
      <c r="E153" s="19"/>
      <c r="F153" s="19"/>
      <c r="G153" s="19"/>
      <c r="H153" s="395"/>
      <c r="I153" s="418"/>
      <c r="J153" s="418"/>
      <c r="K153" s="418"/>
      <c r="L153" s="418"/>
      <c r="M153" s="418"/>
      <c r="N153" s="418"/>
      <c r="O153" s="418"/>
      <c r="P153" s="418"/>
      <c r="Q153" s="418"/>
      <c r="R153" s="419"/>
      <c r="S153" s="395"/>
      <c r="T153" s="418"/>
      <c r="U153" s="418"/>
      <c r="V153" s="418"/>
      <c r="W153" s="418"/>
      <c r="X153" s="419"/>
      <c r="Y153" s="252" t="str">
        <f t="shared" si="48"/>
        <v/>
      </c>
      <c r="Z153" s="418"/>
      <c r="AA153" s="419"/>
      <c r="AB153" s="252" t="str">
        <f t="shared" si="49"/>
        <v/>
      </c>
      <c r="AC153" s="418"/>
      <c r="AD153" s="419"/>
      <c r="AE153" s="252" t="str">
        <f t="shared" si="50"/>
        <v/>
      </c>
      <c r="AF153" s="418"/>
      <c r="AG153" s="418"/>
      <c r="AH153" s="418"/>
      <c r="AI153" s="418"/>
      <c r="AJ153" s="418"/>
      <c r="AK153" s="419"/>
      <c r="AL153" s="398" t="str">
        <f t="shared" si="51"/>
        <v/>
      </c>
      <c r="AM153" s="418"/>
      <c r="AN153" s="418"/>
      <c r="AO153" s="418"/>
      <c r="AP153" s="418"/>
      <c r="AQ153" s="418"/>
      <c r="AR153" s="419"/>
      <c r="AS153" s="20"/>
      <c r="BK153" s="413" t="str">
        <f t="shared" si="52"/>
        <v/>
      </c>
      <c r="BL153" s="414"/>
      <c r="BM153" s="414"/>
      <c r="BN153" s="414"/>
      <c r="BO153" s="414"/>
      <c r="BP153" s="414"/>
      <c r="BQ153" s="414"/>
      <c r="BR153" s="414"/>
      <c r="BS153" s="415"/>
      <c r="BT153" s="413" t="str">
        <f t="shared" ref="BT153:BT160" si="53">BT152&amp;IF(AE152="Custom","     "&amp;BK153,IF(S153="None",", "&amp;BK153,"")&amp;IF(OR(S153="Alternate",S153="Dynamic"),CHAR(10)&amp;"     "&amp;BK153,"")&amp;IF(S153="Normal",IF(OR(S152="Alternate",S152="Dynamic",S152="None"),CHAR(10)&amp;"     "&amp;BK153,", "&amp;BK153),""))</f>
        <v/>
      </c>
      <c r="BU153" s="416"/>
      <c r="BV153" s="416"/>
      <c r="BW153" s="416"/>
      <c r="BX153" s="416"/>
      <c r="BY153" s="416"/>
      <c r="BZ153" s="416"/>
      <c r="CA153" s="416"/>
      <c r="CB153" s="417"/>
      <c r="CC153" s="405"/>
      <c r="CD153" s="406"/>
      <c r="CE153" s="406"/>
      <c r="CF153" s="406"/>
      <c r="CG153" s="406"/>
      <c r="CH153" s="406"/>
      <c r="CI153" s="406"/>
      <c r="CJ153" s="406"/>
      <c r="CK153" s="406"/>
      <c r="CL153" s="406"/>
      <c r="CM153" s="406"/>
      <c r="CN153" s="406"/>
      <c r="CO153" s="406"/>
      <c r="CP153" s="406"/>
      <c r="CQ153" s="406"/>
      <c r="CR153" s="406"/>
      <c r="CS153" s="406"/>
      <c r="CT153" s="407"/>
      <c r="DO153" s="405"/>
      <c r="DP153" s="406"/>
      <c r="DQ153" s="406"/>
      <c r="DR153" s="406"/>
      <c r="DS153" s="406"/>
      <c r="DT153" s="406"/>
      <c r="DU153" s="406"/>
      <c r="DV153" s="406"/>
      <c r="DW153" s="406"/>
      <c r="DX153" s="406"/>
      <c r="DY153" s="406"/>
      <c r="DZ153" s="406"/>
      <c r="EA153" s="406"/>
      <c r="EB153" s="406"/>
      <c r="EC153" s="406"/>
      <c r="ED153" s="406"/>
      <c r="EE153" s="406"/>
      <c r="EF153" s="407"/>
      <c r="FT153" s="405"/>
      <c r="FU153" s="406"/>
      <c r="FV153" s="406"/>
      <c r="FW153" s="406"/>
      <c r="FX153" s="406"/>
      <c r="FY153" s="406"/>
      <c r="FZ153" s="406"/>
      <c r="GA153" s="406"/>
      <c r="GB153" s="406"/>
      <c r="GC153" s="406"/>
      <c r="GD153" s="406"/>
      <c r="GE153" s="406"/>
      <c r="GF153" s="406"/>
      <c r="GG153" s="406"/>
      <c r="GH153" s="406"/>
      <c r="GI153" s="406"/>
      <c r="GJ153" s="406"/>
      <c r="GK153" s="407"/>
    </row>
    <row r="154" spans="2:193" ht="13.5" customHeight="1" thickBot="1">
      <c r="B154" s="18"/>
      <c r="C154" s="19" t="s">
        <v>498</v>
      </c>
      <c r="D154" s="19"/>
      <c r="E154" s="19"/>
      <c r="F154" s="19"/>
      <c r="G154" s="19"/>
      <c r="H154" s="395"/>
      <c r="I154" s="418"/>
      <c r="J154" s="418"/>
      <c r="K154" s="418"/>
      <c r="L154" s="418"/>
      <c r="M154" s="418"/>
      <c r="N154" s="418"/>
      <c r="O154" s="418"/>
      <c r="P154" s="418"/>
      <c r="Q154" s="418"/>
      <c r="R154" s="419"/>
      <c r="S154" s="395"/>
      <c r="T154" s="418"/>
      <c r="U154" s="418"/>
      <c r="V154" s="418"/>
      <c r="W154" s="418"/>
      <c r="X154" s="419"/>
      <c r="Y154" s="252" t="str">
        <f t="shared" si="48"/>
        <v/>
      </c>
      <c r="Z154" s="418"/>
      <c r="AA154" s="419"/>
      <c r="AB154" s="252" t="str">
        <f t="shared" si="49"/>
        <v/>
      </c>
      <c r="AC154" s="418"/>
      <c r="AD154" s="419"/>
      <c r="AE154" s="252" t="str">
        <f t="shared" si="50"/>
        <v/>
      </c>
      <c r="AF154" s="418"/>
      <c r="AG154" s="418"/>
      <c r="AH154" s="418"/>
      <c r="AI154" s="418"/>
      <c r="AJ154" s="418"/>
      <c r="AK154" s="419"/>
      <c r="AL154" s="398" t="str">
        <f t="shared" si="51"/>
        <v/>
      </c>
      <c r="AM154" s="418"/>
      <c r="AN154" s="418"/>
      <c r="AO154" s="418"/>
      <c r="AP154" s="418"/>
      <c r="AQ154" s="418"/>
      <c r="AR154" s="419"/>
      <c r="AS154" s="20"/>
      <c r="BK154" s="413" t="str">
        <f t="shared" si="52"/>
        <v/>
      </c>
      <c r="BL154" s="414"/>
      <c r="BM154" s="414"/>
      <c r="BN154" s="414"/>
      <c r="BO154" s="414"/>
      <c r="BP154" s="414"/>
      <c r="BQ154" s="414"/>
      <c r="BR154" s="414"/>
      <c r="BS154" s="415"/>
      <c r="BT154" s="413" t="str">
        <f t="shared" si="53"/>
        <v/>
      </c>
      <c r="BU154" s="416"/>
      <c r="BV154" s="416"/>
      <c r="BW154" s="416"/>
      <c r="BX154" s="416"/>
      <c r="BY154" s="416"/>
      <c r="BZ154" s="416"/>
      <c r="CA154" s="416"/>
      <c r="CB154" s="417"/>
      <c r="CC154" s="405"/>
      <c r="CD154" s="406"/>
      <c r="CE154" s="406"/>
      <c r="CF154" s="406"/>
      <c r="CG154" s="406"/>
      <c r="CH154" s="406"/>
      <c r="CI154" s="406"/>
      <c r="CJ154" s="406"/>
      <c r="CK154" s="406"/>
      <c r="CL154" s="406"/>
      <c r="CM154" s="406"/>
      <c r="CN154" s="406"/>
      <c r="CO154" s="406"/>
      <c r="CP154" s="406"/>
      <c r="CQ154" s="406"/>
      <c r="CR154" s="406"/>
      <c r="CS154" s="406"/>
      <c r="CT154" s="407"/>
      <c r="DO154" s="405"/>
      <c r="DP154" s="406"/>
      <c r="DQ154" s="406"/>
      <c r="DR154" s="406"/>
      <c r="DS154" s="406"/>
      <c r="DT154" s="406"/>
      <c r="DU154" s="406"/>
      <c r="DV154" s="406"/>
      <c r="DW154" s="406"/>
      <c r="DX154" s="406"/>
      <c r="DY154" s="406"/>
      <c r="DZ154" s="406"/>
      <c r="EA154" s="406"/>
      <c r="EB154" s="406"/>
      <c r="EC154" s="406"/>
      <c r="ED154" s="406"/>
      <c r="EE154" s="406"/>
      <c r="EF154" s="407"/>
      <c r="FT154" s="405"/>
      <c r="FU154" s="406"/>
      <c r="FV154" s="406"/>
      <c r="FW154" s="406"/>
      <c r="FX154" s="406"/>
      <c r="FY154" s="406"/>
      <c r="FZ154" s="406"/>
      <c r="GA154" s="406"/>
      <c r="GB154" s="406"/>
      <c r="GC154" s="406"/>
      <c r="GD154" s="406"/>
      <c r="GE154" s="406"/>
      <c r="GF154" s="406"/>
      <c r="GG154" s="406"/>
      <c r="GH154" s="406"/>
      <c r="GI154" s="406"/>
      <c r="GJ154" s="406"/>
      <c r="GK154" s="407"/>
    </row>
    <row r="155" spans="2:193" ht="13.5" customHeight="1" thickBot="1">
      <c r="B155" s="18"/>
      <c r="C155" s="19" t="s">
        <v>499</v>
      </c>
      <c r="D155" s="19"/>
      <c r="E155" s="19"/>
      <c r="F155" s="19"/>
      <c r="G155" s="19"/>
      <c r="H155" s="395"/>
      <c r="I155" s="418"/>
      <c r="J155" s="418"/>
      <c r="K155" s="418"/>
      <c r="L155" s="418"/>
      <c r="M155" s="418"/>
      <c r="N155" s="418"/>
      <c r="O155" s="418"/>
      <c r="P155" s="418"/>
      <c r="Q155" s="418"/>
      <c r="R155" s="419"/>
      <c r="S155" s="395"/>
      <c r="T155" s="418"/>
      <c r="U155" s="418"/>
      <c r="V155" s="418"/>
      <c r="W155" s="418"/>
      <c r="X155" s="419"/>
      <c r="Y155" s="252" t="str">
        <f t="shared" si="48"/>
        <v/>
      </c>
      <c r="Z155" s="418"/>
      <c r="AA155" s="419"/>
      <c r="AB155" s="252" t="str">
        <f t="shared" si="49"/>
        <v/>
      </c>
      <c r="AC155" s="418"/>
      <c r="AD155" s="419"/>
      <c r="AE155" s="252" t="str">
        <f t="shared" si="50"/>
        <v/>
      </c>
      <c r="AF155" s="418"/>
      <c r="AG155" s="418"/>
      <c r="AH155" s="418"/>
      <c r="AI155" s="418"/>
      <c r="AJ155" s="418"/>
      <c r="AK155" s="419"/>
      <c r="AL155" s="398" t="str">
        <f t="shared" si="51"/>
        <v/>
      </c>
      <c r="AM155" s="418"/>
      <c r="AN155" s="418"/>
      <c r="AO155" s="418"/>
      <c r="AP155" s="418"/>
      <c r="AQ155" s="418"/>
      <c r="AR155" s="419"/>
      <c r="AS155" s="20"/>
      <c r="BK155" s="413" t="str">
        <f t="shared" si="52"/>
        <v/>
      </c>
      <c r="BL155" s="414"/>
      <c r="BM155" s="414"/>
      <c r="BN155" s="414"/>
      <c r="BO155" s="414"/>
      <c r="BP155" s="414"/>
      <c r="BQ155" s="414"/>
      <c r="BR155" s="414"/>
      <c r="BS155" s="415"/>
      <c r="BT155" s="413" t="str">
        <f t="shared" si="53"/>
        <v/>
      </c>
      <c r="BU155" s="416"/>
      <c r="BV155" s="416"/>
      <c r="BW155" s="416"/>
      <c r="BX155" s="416"/>
      <c r="BY155" s="416"/>
      <c r="BZ155" s="416"/>
      <c r="CA155" s="416"/>
      <c r="CB155" s="417"/>
      <c r="CC155" s="405"/>
      <c r="CD155" s="406"/>
      <c r="CE155" s="406"/>
      <c r="CF155" s="406"/>
      <c r="CG155" s="406"/>
      <c r="CH155" s="406"/>
      <c r="CI155" s="406"/>
      <c r="CJ155" s="406"/>
      <c r="CK155" s="406"/>
      <c r="CL155" s="406"/>
      <c r="CM155" s="406"/>
      <c r="CN155" s="406"/>
      <c r="CO155" s="406"/>
      <c r="CP155" s="406"/>
      <c r="CQ155" s="406"/>
      <c r="CR155" s="406"/>
      <c r="CS155" s="406"/>
      <c r="CT155" s="407"/>
      <c r="DO155" s="405"/>
      <c r="DP155" s="406"/>
      <c r="DQ155" s="406"/>
      <c r="DR155" s="406"/>
      <c r="DS155" s="406"/>
      <c r="DT155" s="406"/>
      <c r="DU155" s="406"/>
      <c r="DV155" s="406"/>
      <c r="DW155" s="406"/>
      <c r="DX155" s="406"/>
      <c r="DY155" s="406"/>
      <c r="DZ155" s="406"/>
      <c r="EA155" s="406"/>
      <c r="EB155" s="406"/>
      <c r="EC155" s="406"/>
      <c r="ED155" s="406"/>
      <c r="EE155" s="406"/>
      <c r="EF155" s="407"/>
      <c r="FT155" s="405"/>
      <c r="FU155" s="406"/>
      <c r="FV155" s="406"/>
      <c r="FW155" s="406"/>
      <c r="FX155" s="406"/>
      <c r="FY155" s="406"/>
      <c r="FZ155" s="406"/>
      <c r="GA155" s="406"/>
      <c r="GB155" s="406"/>
      <c r="GC155" s="406"/>
      <c r="GD155" s="406"/>
      <c r="GE155" s="406"/>
      <c r="GF155" s="406"/>
      <c r="GG155" s="406"/>
      <c r="GH155" s="406"/>
      <c r="GI155" s="406"/>
      <c r="GJ155" s="406"/>
      <c r="GK155" s="407"/>
    </row>
    <row r="156" spans="2:193" ht="13.5" customHeight="1" thickBot="1">
      <c r="B156" s="18"/>
      <c r="C156" s="19" t="s">
        <v>500</v>
      </c>
      <c r="D156" s="19"/>
      <c r="E156" s="19"/>
      <c r="F156" s="19"/>
      <c r="G156" s="19"/>
      <c r="H156" s="395"/>
      <c r="I156" s="418"/>
      <c r="J156" s="418"/>
      <c r="K156" s="418"/>
      <c r="L156" s="418"/>
      <c r="M156" s="418"/>
      <c r="N156" s="418"/>
      <c r="O156" s="418"/>
      <c r="P156" s="418"/>
      <c r="Q156" s="418"/>
      <c r="R156" s="419"/>
      <c r="S156" s="395"/>
      <c r="T156" s="418"/>
      <c r="U156" s="418"/>
      <c r="V156" s="418"/>
      <c r="W156" s="418"/>
      <c r="X156" s="419"/>
      <c r="Y156" s="252" t="str">
        <f t="shared" si="48"/>
        <v/>
      </c>
      <c r="Z156" s="418"/>
      <c r="AA156" s="419"/>
      <c r="AB156" s="252" t="str">
        <f t="shared" si="49"/>
        <v/>
      </c>
      <c r="AC156" s="418"/>
      <c r="AD156" s="419"/>
      <c r="AE156" s="252" t="str">
        <f t="shared" si="50"/>
        <v/>
      </c>
      <c r="AF156" s="418"/>
      <c r="AG156" s="418"/>
      <c r="AH156" s="418"/>
      <c r="AI156" s="418"/>
      <c r="AJ156" s="418"/>
      <c r="AK156" s="419"/>
      <c r="AL156" s="398" t="str">
        <f t="shared" si="51"/>
        <v/>
      </c>
      <c r="AM156" s="418"/>
      <c r="AN156" s="418"/>
      <c r="AO156" s="418"/>
      <c r="AP156" s="418"/>
      <c r="AQ156" s="418"/>
      <c r="AR156" s="419"/>
      <c r="AS156" s="20"/>
      <c r="BK156" s="413" t="str">
        <f t="shared" si="52"/>
        <v/>
      </c>
      <c r="BL156" s="414"/>
      <c r="BM156" s="414"/>
      <c r="BN156" s="414"/>
      <c r="BO156" s="414"/>
      <c r="BP156" s="414"/>
      <c r="BQ156" s="414"/>
      <c r="BR156" s="414"/>
      <c r="BS156" s="415"/>
      <c r="BT156" s="413" t="str">
        <f t="shared" si="53"/>
        <v/>
      </c>
      <c r="BU156" s="416"/>
      <c r="BV156" s="416"/>
      <c r="BW156" s="416"/>
      <c r="BX156" s="416"/>
      <c r="BY156" s="416"/>
      <c r="BZ156" s="416"/>
      <c r="CA156" s="416"/>
      <c r="CB156" s="417"/>
      <c r="CC156" s="405"/>
      <c r="CD156" s="406"/>
      <c r="CE156" s="406"/>
      <c r="CF156" s="406"/>
      <c r="CG156" s="406"/>
      <c r="CH156" s="406"/>
      <c r="CI156" s="406"/>
      <c r="CJ156" s="406"/>
      <c r="CK156" s="406"/>
      <c r="CL156" s="406"/>
      <c r="CM156" s="406"/>
      <c r="CN156" s="406"/>
      <c r="CO156" s="406"/>
      <c r="CP156" s="406"/>
      <c r="CQ156" s="406"/>
      <c r="CR156" s="406"/>
      <c r="CS156" s="406"/>
      <c r="CT156" s="407"/>
      <c r="DO156" s="405"/>
      <c r="DP156" s="406"/>
      <c r="DQ156" s="406"/>
      <c r="DR156" s="406"/>
      <c r="DS156" s="406"/>
      <c r="DT156" s="406"/>
      <c r="DU156" s="406"/>
      <c r="DV156" s="406"/>
      <c r="DW156" s="406"/>
      <c r="DX156" s="406"/>
      <c r="DY156" s="406"/>
      <c r="DZ156" s="406"/>
      <c r="EA156" s="406"/>
      <c r="EB156" s="406"/>
      <c r="EC156" s="406"/>
      <c r="ED156" s="406"/>
      <c r="EE156" s="406"/>
      <c r="EF156" s="407"/>
      <c r="FT156" s="405"/>
      <c r="FU156" s="406"/>
      <c r="FV156" s="406"/>
      <c r="FW156" s="406"/>
      <c r="FX156" s="406"/>
      <c r="FY156" s="406"/>
      <c r="FZ156" s="406"/>
      <c r="GA156" s="406"/>
      <c r="GB156" s="406"/>
      <c r="GC156" s="406"/>
      <c r="GD156" s="406"/>
      <c r="GE156" s="406"/>
      <c r="GF156" s="406"/>
      <c r="GG156" s="406"/>
      <c r="GH156" s="406"/>
      <c r="GI156" s="406"/>
      <c r="GJ156" s="406"/>
      <c r="GK156" s="407"/>
    </row>
    <row r="157" spans="2:193" ht="13.5" customHeight="1" thickBot="1">
      <c r="B157" s="18"/>
      <c r="C157" s="19" t="s">
        <v>501</v>
      </c>
      <c r="D157" s="19"/>
      <c r="E157" s="19"/>
      <c r="F157" s="19"/>
      <c r="G157" s="19"/>
      <c r="H157" s="395"/>
      <c r="I157" s="418"/>
      <c r="J157" s="418"/>
      <c r="K157" s="418"/>
      <c r="L157" s="418"/>
      <c r="M157" s="418"/>
      <c r="N157" s="418"/>
      <c r="O157" s="418"/>
      <c r="P157" s="418"/>
      <c r="Q157" s="418"/>
      <c r="R157" s="419"/>
      <c r="S157" s="395"/>
      <c r="T157" s="418"/>
      <c r="U157" s="418"/>
      <c r="V157" s="418"/>
      <c r="W157" s="418"/>
      <c r="X157" s="419"/>
      <c r="Y157" s="252" t="str">
        <f t="shared" si="48"/>
        <v/>
      </c>
      <c r="Z157" s="418"/>
      <c r="AA157" s="419"/>
      <c r="AB157" s="252" t="str">
        <f t="shared" si="49"/>
        <v/>
      </c>
      <c r="AC157" s="418"/>
      <c r="AD157" s="419"/>
      <c r="AE157" s="252" t="str">
        <f t="shared" si="50"/>
        <v/>
      </c>
      <c r="AF157" s="418"/>
      <c r="AG157" s="418"/>
      <c r="AH157" s="418"/>
      <c r="AI157" s="418"/>
      <c r="AJ157" s="418"/>
      <c r="AK157" s="419"/>
      <c r="AL157" s="398" t="str">
        <f t="shared" si="51"/>
        <v/>
      </c>
      <c r="AM157" s="418"/>
      <c r="AN157" s="418"/>
      <c r="AO157" s="418"/>
      <c r="AP157" s="418"/>
      <c r="AQ157" s="418"/>
      <c r="AR157" s="419"/>
      <c r="AS157" s="20"/>
      <c r="BK157" s="413" t="str">
        <f t="shared" si="52"/>
        <v/>
      </c>
      <c r="BL157" s="414"/>
      <c r="BM157" s="414"/>
      <c r="BN157" s="414"/>
      <c r="BO157" s="414"/>
      <c r="BP157" s="414"/>
      <c r="BQ157" s="414"/>
      <c r="BR157" s="414"/>
      <c r="BS157" s="415"/>
      <c r="BT157" s="413" t="str">
        <f t="shared" si="53"/>
        <v/>
      </c>
      <c r="BU157" s="416"/>
      <c r="BV157" s="416"/>
      <c r="BW157" s="416"/>
      <c r="BX157" s="416"/>
      <c r="BY157" s="416"/>
      <c r="BZ157" s="416"/>
      <c r="CA157" s="416"/>
      <c r="CB157" s="417"/>
      <c r="CC157" s="405"/>
      <c r="CD157" s="406"/>
      <c r="CE157" s="406"/>
      <c r="CF157" s="406"/>
      <c r="CG157" s="406"/>
      <c r="CH157" s="406"/>
      <c r="CI157" s="406"/>
      <c r="CJ157" s="406"/>
      <c r="CK157" s="406"/>
      <c r="CL157" s="406"/>
      <c r="CM157" s="406"/>
      <c r="CN157" s="406"/>
      <c r="CO157" s="406"/>
      <c r="CP157" s="406"/>
      <c r="CQ157" s="406"/>
      <c r="CR157" s="406"/>
      <c r="CS157" s="406"/>
      <c r="CT157" s="407"/>
      <c r="DO157" s="405"/>
      <c r="DP157" s="406"/>
      <c r="DQ157" s="406"/>
      <c r="DR157" s="406"/>
      <c r="DS157" s="406"/>
      <c r="DT157" s="406"/>
      <c r="DU157" s="406"/>
      <c r="DV157" s="406"/>
      <c r="DW157" s="406"/>
      <c r="DX157" s="406"/>
      <c r="DY157" s="406"/>
      <c r="DZ157" s="406"/>
      <c r="EA157" s="406"/>
      <c r="EB157" s="406"/>
      <c r="EC157" s="406"/>
      <c r="ED157" s="406"/>
      <c r="EE157" s="406"/>
      <c r="EF157" s="407"/>
      <c r="FT157" s="405"/>
      <c r="FU157" s="406"/>
      <c r="FV157" s="406"/>
      <c r="FW157" s="406"/>
      <c r="FX157" s="406"/>
      <c r="FY157" s="406"/>
      <c r="FZ157" s="406"/>
      <c r="GA157" s="406"/>
      <c r="GB157" s="406"/>
      <c r="GC157" s="406"/>
      <c r="GD157" s="406"/>
      <c r="GE157" s="406"/>
      <c r="GF157" s="406"/>
      <c r="GG157" s="406"/>
      <c r="GH157" s="406"/>
      <c r="GI157" s="406"/>
      <c r="GJ157" s="406"/>
      <c r="GK157" s="407"/>
    </row>
    <row r="158" spans="2:193" ht="13.5" customHeight="1" thickBot="1">
      <c r="B158" s="18"/>
      <c r="C158" s="19" t="s">
        <v>502</v>
      </c>
      <c r="D158" s="19"/>
      <c r="E158" s="19"/>
      <c r="F158" s="19"/>
      <c r="G158" s="19"/>
      <c r="H158" s="395"/>
      <c r="I158" s="418"/>
      <c r="J158" s="418"/>
      <c r="K158" s="418"/>
      <c r="L158" s="418"/>
      <c r="M158" s="418"/>
      <c r="N158" s="418"/>
      <c r="O158" s="418"/>
      <c r="P158" s="418"/>
      <c r="Q158" s="418"/>
      <c r="R158" s="419"/>
      <c r="S158" s="395"/>
      <c r="T158" s="418"/>
      <c r="U158" s="418"/>
      <c r="V158" s="418"/>
      <c r="W158" s="418"/>
      <c r="X158" s="419"/>
      <c r="Y158" s="252" t="str">
        <f t="shared" si="48"/>
        <v/>
      </c>
      <c r="Z158" s="418"/>
      <c r="AA158" s="419"/>
      <c r="AB158" s="252" t="str">
        <f t="shared" si="49"/>
        <v/>
      </c>
      <c r="AC158" s="418"/>
      <c r="AD158" s="419"/>
      <c r="AE158" s="252" t="str">
        <f t="shared" si="50"/>
        <v/>
      </c>
      <c r="AF158" s="418"/>
      <c r="AG158" s="418"/>
      <c r="AH158" s="418"/>
      <c r="AI158" s="418"/>
      <c r="AJ158" s="418"/>
      <c r="AK158" s="419"/>
      <c r="AL158" s="398" t="str">
        <f t="shared" si="51"/>
        <v/>
      </c>
      <c r="AM158" s="418"/>
      <c r="AN158" s="418"/>
      <c r="AO158" s="418"/>
      <c r="AP158" s="418"/>
      <c r="AQ158" s="418"/>
      <c r="AR158" s="419"/>
      <c r="AS158" s="20"/>
      <c r="BK158" s="413" t="str">
        <f t="shared" si="52"/>
        <v/>
      </c>
      <c r="BL158" s="414"/>
      <c r="BM158" s="414"/>
      <c r="BN158" s="414"/>
      <c r="BO158" s="414"/>
      <c r="BP158" s="414"/>
      <c r="BQ158" s="414"/>
      <c r="BR158" s="414"/>
      <c r="BS158" s="415"/>
      <c r="BT158" s="413" t="str">
        <f t="shared" si="53"/>
        <v/>
      </c>
      <c r="BU158" s="416"/>
      <c r="BV158" s="416"/>
      <c r="BW158" s="416"/>
      <c r="BX158" s="416"/>
      <c r="BY158" s="416"/>
      <c r="BZ158" s="416"/>
      <c r="CA158" s="416"/>
      <c r="CB158" s="417"/>
      <c r="CC158" s="405"/>
      <c r="CD158" s="406"/>
      <c r="CE158" s="406"/>
      <c r="CF158" s="406"/>
      <c r="CG158" s="406"/>
      <c r="CH158" s="406"/>
      <c r="CI158" s="406"/>
      <c r="CJ158" s="406"/>
      <c r="CK158" s="406"/>
      <c r="CL158" s="406"/>
      <c r="CM158" s="406"/>
      <c r="CN158" s="406"/>
      <c r="CO158" s="406"/>
      <c r="CP158" s="406"/>
      <c r="CQ158" s="406"/>
      <c r="CR158" s="406"/>
      <c r="CS158" s="406"/>
      <c r="CT158" s="407"/>
      <c r="DO158" s="405"/>
      <c r="DP158" s="406"/>
      <c r="DQ158" s="406"/>
      <c r="DR158" s="406"/>
      <c r="DS158" s="406"/>
      <c r="DT158" s="406"/>
      <c r="DU158" s="406"/>
      <c r="DV158" s="406"/>
      <c r="DW158" s="406"/>
      <c r="DX158" s="406"/>
      <c r="DY158" s="406"/>
      <c r="DZ158" s="406"/>
      <c r="EA158" s="406"/>
      <c r="EB158" s="406"/>
      <c r="EC158" s="406"/>
      <c r="ED158" s="406"/>
      <c r="EE158" s="406"/>
      <c r="EF158" s="407"/>
      <c r="FT158" s="405"/>
      <c r="FU158" s="406"/>
      <c r="FV158" s="406"/>
      <c r="FW158" s="406"/>
      <c r="FX158" s="406"/>
      <c r="FY158" s="406"/>
      <c r="FZ158" s="406"/>
      <c r="GA158" s="406"/>
      <c r="GB158" s="406"/>
      <c r="GC158" s="406"/>
      <c r="GD158" s="406"/>
      <c r="GE158" s="406"/>
      <c r="GF158" s="406"/>
      <c r="GG158" s="406"/>
      <c r="GH158" s="406"/>
      <c r="GI158" s="406"/>
      <c r="GJ158" s="406"/>
      <c r="GK158" s="407"/>
    </row>
    <row r="159" spans="2:193" ht="13.5" customHeight="1" thickBot="1">
      <c r="B159" s="18"/>
      <c r="C159" s="19" t="s">
        <v>503</v>
      </c>
      <c r="D159" s="19"/>
      <c r="E159" s="19"/>
      <c r="F159" s="19"/>
      <c r="G159" s="19"/>
      <c r="H159" s="395"/>
      <c r="I159" s="418"/>
      <c r="J159" s="418"/>
      <c r="K159" s="418"/>
      <c r="L159" s="418"/>
      <c r="M159" s="418"/>
      <c r="N159" s="418"/>
      <c r="O159" s="418"/>
      <c r="P159" s="418"/>
      <c r="Q159" s="418"/>
      <c r="R159" s="419"/>
      <c r="S159" s="395"/>
      <c r="T159" s="418"/>
      <c r="U159" s="418"/>
      <c r="V159" s="418"/>
      <c r="W159" s="418"/>
      <c r="X159" s="419"/>
      <c r="Y159" s="252" t="str">
        <f t="shared" si="48"/>
        <v/>
      </c>
      <c r="Z159" s="418"/>
      <c r="AA159" s="419"/>
      <c r="AB159" s="252" t="str">
        <f t="shared" si="49"/>
        <v/>
      </c>
      <c r="AC159" s="418"/>
      <c r="AD159" s="419"/>
      <c r="AE159" s="252" t="str">
        <f t="shared" si="50"/>
        <v/>
      </c>
      <c r="AF159" s="418"/>
      <c r="AG159" s="418"/>
      <c r="AH159" s="418"/>
      <c r="AI159" s="418"/>
      <c r="AJ159" s="418"/>
      <c r="AK159" s="419"/>
      <c r="AL159" s="398" t="str">
        <f t="shared" si="51"/>
        <v/>
      </c>
      <c r="AM159" s="418"/>
      <c r="AN159" s="418"/>
      <c r="AO159" s="418"/>
      <c r="AP159" s="418"/>
      <c r="AQ159" s="418"/>
      <c r="AR159" s="419"/>
      <c r="AS159" s="20"/>
      <c r="BK159" s="413" t="str">
        <f t="shared" si="52"/>
        <v/>
      </c>
      <c r="BL159" s="414"/>
      <c r="BM159" s="414"/>
      <c r="BN159" s="414"/>
      <c r="BO159" s="414"/>
      <c r="BP159" s="414"/>
      <c r="BQ159" s="414"/>
      <c r="BR159" s="414"/>
      <c r="BS159" s="415"/>
      <c r="BT159" s="413" t="str">
        <f t="shared" si="53"/>
        <v/>
      </c>
      <c r="BU159" s="416"/>
      <c r="BV159" s="416"/>
      <c r="BW159" s="416"/>
      <c r="BX159" s="416"/>
      <c r="BY159" s="416"/>
      <c r="BZ159" s="416"/>
      <c r="CA159" s="416"/>
      <c r="CB159" s="417"/>
      <c r="CC159" s="405"/>
      <c r="CD159" s="406"/>
      <c r="CE159" s="406"/>
      <c r="CF159" s="406"/>
      <c r="CG159" s="406"/>
      <c r="CH159" s="406"/>
      <c r="CI159" s="406"/>
      <c r="CJ159" s="406"/>
      <c r="CK159" s="406"/>
      <c r="CL159" s="406"/>
      <c r="CM159" s="406"/>
      <c r="CN159" s="406"/>
      <c r="CO159" s="406"/>
      <c r="CP159" s="406"/>
      <c r="CQ159" s="406"/>
      <c r="CR159" s="406"/>
      <c r="CS159" s="406"/>
      <c r="CT159" s="407"/>
      <c r="DO159" s="405"/>
      <c r="DP159" s="406"/>
      <c r="DQ159" s="406"/>
      <c r="DR159" s="406"/>
      <c r="DS159" s="406"/>
      <c r="DT159" s="406"/>
      <c r="DU159" s="406"/>
      <c r="DV159" s="406"/>
      <c r="DW159" s="406"/>
      <c r="DX159" s="406"/>
      <c r="DY159" s="406"/>
      <c r="DZ159" s="406"/>
      <c r="EA159" s="406"/>
      <c r="EB159" s="406"/>
      <c r="EC159" s="406"/>
      <c r="ED159" s="406"/>
      <c r="EE159" s="406"/>
      <c r="EF159" s="407"/>
      <c r="FT159" s="405"/>
      <c r="FU159" s="406"/>
      <c r="FV159" s="406"/>
      <c r="FW159" s="406"/>
      <c r="FX159" s="406"/>
      <c r="FY159" s="406"/>
      <c r="FZ159" s="406"/>
      <c r="GA159" s="406"/>
      <c r="GB159" s="406"/>
      <c r="GC159" s="406"/>
      <c r="GD159" s="406"/>
      <c r="GE159" s="406"/>
      <c r="GF159" s="406"/>
      <c r="GG159" s="406"/>
      <c r="GH159" s="406"/>
      <c r="GI159" s="406"/>
      <c r="GJ159" s="406"/>
      <c r="GK159" s="407"/>
    </row>
    <row r="160" spans="2:193" ht="13.5" customHeight="1" thickBot="1">
      <c r="B160" s="18"/>
      <c r="C160" s="19" t="s">
        <v>504</v>
      </c>
      <c r="D160" s="19"/>
      <c r="E160" s="19"/>
      <c r="F160" s="19"/>
      <c r="G160" s="19"/>
      <c r="H160" s="395"/>
      <c r="I160" s="418"/>
      <c r="J160" s="418"/>
      <c r="K160" s="418"/>
      <c r="L160" s="418"/>
      <c r="M160" s="418"/>
      <c r="N160" s="418"/>
      <c r="O160" s="418"/>
      <c r="P160" s="418"/>
      <c r="Q160" s="418"/>
      <c r="R160" s="419"/>
      <c r="S160" s="395"/>
      <c r="T160" s="418"/>
      <c r="U160" s="418"/>
      <c r="V160" s="418"/>
      <c r="W160" s="418"/>
      <c r="X160" s="419"/>
      <c r="Y160" s="252" t="str">
        <f t="shared" si="48"/>
        <v/>
      </c>
      <c r="Z160" s="418"/>
      <c r="AA160" s="419"/>
      <c r="AB160" s="252" t="str">
        <f t="shared" si="49"/>
        <v/>
      </c>
      <c r="AC160" s="418"/>
      <c r="AD160" s="419"/>
      <c r="AE160" s="252" t="str">
        <f t="shared" si="50"/>
        <v/>
      </c>
      <c r="AF160" s="418"/>
      <c r="AG160" s="418"/>
      <c r="AH160" s="418"/>
      <c r="AI160" s="418"/>
      <c r="AJ160" s="418"/>
      <c r="AK160" s="419"/>
      <c r="AL160" s="398" t="str">
        <f t="shared" si="51"/>
        <v/>
      </c>
      <c r="AM160" s="418"/>
      <c r="AN160" s="418"/>
      <c r="AO160" s="418"/>
      <c r="AP160" s="418"/>
      <c r="AQ160" s="418"/>
      <c r="AR160" s="419"/>
      <c r="AS160" s="20"/>
      <c r="BK160" s="413" t="str">
        <f t="shared" si="52"/>
        <v/>
      </c>
      <c r="BL160" s="414"/>
      <c r="BM160" s="414"/>
      <c r="BN160" s="414"/>
      <c r="BO160" s="414"/>
      <c r="BP160" s="414"/>
      <c r="BQ160" s="414"/>
      <c r="BR160" s="414"/>
      <c r="BS160" s="415"/>
      <c r="BT160" s="413" t="str">
        <f t="shared" si="53"/>
        <v/>
      </c>
      <c r="BU160" s="416"/>
      <c r="BV160" s="416"/>
      <c r="BW160" s="416"/>
      <c r="BX160" s="416"/>
      <c r="BY160" s="416"/>
      <c r="BZ160" s="416"/>
      <c r="CA160" s="416"/>
      <c r="CB160" s="417"/>
      <c r="CC160" s="405"/>
      <c r="CD160" s="406"/>
      <c r="CE160" s="406"/>
      <c r="CF160" s="406"/>
      <c r="CG160" s="406"/>
      <c r="CH160" s="406"/>
      <c r="CI160" s="406"/>
      <c r="CJ160" s="406"/>
      <c r="CK160" s="406"/>
      <c r="CL160" s="406"/>
      <c r="CM160" s="406"/>
      <c r="CN160" s="406"/>
      <c r="CO160" s="406"/>
      <c r="CP160" s="406"/>
      <c r="CQ160" s="406"/>
      <c r="CR160" s="406"/>
      <c r="CS160" s="406"/>
      <c r="CT160" s="407"/>
      <c r="DO160" s="405"/>
      <c r="DP160" s="406"/>
      <c r="DQ160" s="406"/>
      <c r="DR160" s="406"/>
      <c r="DS160" s="406"/>
      <c r="DT160" s="406"/>
      <c r="DU160" s="406"/>
      <c r="DV160" s="406"/>
      <c r="DW160" s="406"/>
      <c r="DX160" s="406"/>
      <c r="DY160" s="406"/>
      <c r="DZ160" s="406"/>
      <c r="EA160" s="406"/>
      <c r="EB160" s="406"/>
      <c r="EC160" s="406"/>
      <c r="ED160" s="406"/>
      <c r="EE160" s="406"/>
      <c r="EF160" s="407"/>
      <c r="FT160" s="405"/>
      <c r="FU160" s="406"/>
      <c r="FV160" s="406"/>
      <c r="FW160" s="406"/>
      <c r="FX160" s="406"/>
      <c r="FY160" s="406"/>
      <c r="FZ160" s="406"/>
      <c r="GA160" s="406"/>
      <c r="GB160" s="406"/>
      <c r="GC160" s="406"/>
      <c r="GD160" s="406"/>
      <c r="GE160" s="406"/>
      <c r="GF160" s="406"/>
      <c r="GG160" s="406"/>
      <c r="GH160" s="406"/>
      <c r="GI160" s="406"/>
      <c r="GJ160" s="406"/>
      <c r="GK160" s="407"/>
    </row>
    <row r="161" spans="2:193" ht="13.5" customHeight="1" thickBot="1">
      <c r="B161" s="18"/>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20"/>
      <c r="CC161" s="405"/>
      <c r="CD161" s="406"/>
      <c r="CE161" s="406"/>
      <c r="CF161" s="406"/>
      <c r="CG161" s="406"/>
      <c r="CH161" s="406"/>
      <c r="CI161" s="406"/>
      <c r="CJ161" s="406"/>
      <c r="CK161" s="406"/>
      <c r="CL161" s="406"/>
      <c r="CM161" s="406"/>
      <c r="CN161" s="406"/>
      <c r="CO161" s="406"/>
      <c r="CP161" s="406"/>
      <c r="CQ161" s="406"/>
      <c r="CR161" s="406"/>
      <c r="CS161" s="406"/>
      <c r="CT161" s="407"/>
      <c r="DO161" s="405"/>
      <c r="DP161" s="406"/>
      <c r="DQ161" s="406"/>
      <c r="DR161" s="406"/>
      <c r="DS161" s="406"/>
      <c r="DT161" s="406"/>
      <c r="DU161" s="406"/>
      <c r="DV161" s="406"/>
      <c r="DW161" s="406"/>
      <c r="DX161" s="406"/>
      <c r="DY161" s="406"/>
      <c r="DZ161" s="406"/>
      <c r="EA161" s="406"/>
      <c r="EB161" s="406"/>
      <c r="EC161" s="406"/>
      <c r="ED161" s="406"/>
      <c r="EE161" s="406"/>
      <c r="EF161" s="407"/>
      <c r="FT161" s="405"/>
      <c r="FU161" s="406"/>
      <c r="FV161" s="406"/>
      <c r="FW161" s="406"/>
      <c r="FX161" s="406"/>
      <c r="FY161" s="406"/>
      <c r="FZ161" s="406"/>
      <c r="GA161" s="406"/>
      <c r="GB161" s="406"/>
      <c r="GC161" s="406"/>
      <c r="GD161" s="406"/>
      <c r="GE161" s="406"/>
      <c r="GF161" s="406"/>
      <c r="GG161" s="406"/>
      <c r="GH161" s="406"/>
      <c r="GI161" s="406"/>
      <c r="GJ161" s="406"/>
      <c r="GK161" s="407"/>
    </row>
    <row r="162" spans="2:193" ht="13.5" customHeight="1" thickBot="1">
      <c r="B162" s="18"/>
      <c r="C162" s="388" t="s">
        <v>525</v>
      </c>
      <c r="D162" s="388"/>
      <c r="E162" s="388"/>
      <c r="F162" s="388"/>
      <c r="G162" s="421"/>
      <c r="H162" s="389"/>
      <c r="I162" s="422"/>
      <c r="J162" s="422"/>
      <c r="K162" s="422"/>
      <c r="L162" s="422"/>
      <c r="M162" s="422"/>
      <c r="N162" s="422"/>
      <c r="O162" s="422"/>
      <c r="P162" s="422"/>
      <c r="Q162" s="422"/>
      <c r="R162" s="422"/>
      <c r="S162" s="422"/>
      <c r="T162" s="422"/>
      <c r="U162" s="422"/>
      <c r="V162" s="422"/>
      <c r="W162" s="422"/>
      <c r="X162" s="422"/>
      <c r="Y162" s="422"/>
      <c r="Z162" s="422"/>
      <c r="AA162" s="422"/>
      <c r="AB162" s="422"/>
      <c r="AC162" s="422"/>
      <c r="AD162" s="422"/>
      <c r="AE162" s="422"/>
      <c r="AF162" s="422"/>
      <c r="AG162" s="422"/>
      <c r="AH162" s="422"/>
      <c r="AI162" s="423"/>
      <c r="AJ162" s="19"/>
      <c r="AK162" s="19" t="s">
        <v>526</v>
      </c>
      <c r="AL162" s="19"/>
      <c r="AM162" s="19"/>
      <c r="AN162" s="19"/>
      <c r="AO162" s="252" t="str">
        <f>IF(H150="","",SUM(Y151:AA160))</f>
        <v/>
      </c>
      <c r="AP162" s="418"/>
      <c r="AQ162" s="418"/>
      <c r="AR162" s="419"/>
      <c r="AS162" s="20"/>
      <c r="CC162" s="405"/>
      <c r="CD162" s="406"/>
      <c r="CE162" s="406"/>
      <c r="CF162" s="406"/>
      <c r="CG162" s="406"/>
      <c r="CH162" s="406"/>
      <c r="CI162" s="406"/>
      <c r="CJ162" s="406"/>
      <c r="CK162" s="406"/>
      <c r="CL162" s="406"/>
      <c r="CM162" s="406"/>
      <c r="CN162" s="406"/>
      <c r="CO162" s="406"/>
      <c r="CP162" s="406"/>
      <c r="CQ162" s="406"/>
      <c r="CR162" s="406"/>
      <c r="CS162" s="406"/>
      <c r="CT162" s="407"/>
      <c r="DO162" s="405"/>
      <c r="DP162" s="406"/>
      <c r="DQ162" s="406"/>
      <c r="DR162" s="406"/>
      <c r="DS162" s="406"/>
      <c r="DT162" s="406"/>
      <c r="DU162" s="406"/>
      <c r="DV162" s="406"/>
      <c r="DW162" s="406"/>
      <c r="DX162" s="406"/>
      <c r="DY162" s="406"/>
      <c r="DZ162" s="406"/>
      <c r="EA162" s="406"/>
      <c r="EB162" s="406"/>
      <c r="EC162" s="406"/>
      <c r="ED162" s="406"/>
      <c r="EE162" s="406"/>
      <c r="EF162" s="407"/>
      <c r="FT162" s="405"/>
      <c r="FU162" s="406"/>
      <c r="FV162" s="406"/>
      <c r="FW162" s="406"/>
      <c r="FX162" s="406"/>
      <c r="FY162" s="406"/>
      <c r="FZ162" s="406"/>
      <c r="GA162" s="406"/>
      <c r="GB162" s="406"/>
      <c r="GC162" s="406"/>
      <c r="GD162" s="406"/>
      <c r="GE162" s="406"/>
      <c r="GF162" s="406"/>
      <c r="GG162" s="406"/>
      <c r="GH162" s="406"/>
      <c r="GI162" s="406"/>
      <c r="GJ162" s="406"/>
      <c r="GK162" s="407"/>
    </row>
    <row r="163" spans="2:193" ht="13.5" customHeight="1" thickBot="1">
      <c r="B163" s="18"/>
      <c r="C163" s="388"/>
      <c r="D163" s="388"/>
      <c r="E163" s="388"/>
      <c r="F163" s="388"/>
      <c r="G163" s="421"/>
      <c r="H163" s="424"/>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6"/>
      <c r="AJ163" s="19"/>
      <c r="AK163" s="19"/>
      <c r="AL163" s="19"/>
      <c r="AM163" s="19"/>
      <c r="AN163" s="19"/>
      <c r="AO163" s="19"/>
      <c r="AP163" s="19"/>
      <c r="AQ163" s="19"/>
      <c r="AR163" s="19"/>
      <c r="AS163" s="20"/>
      <c r="CC163" s="408"/>
      <c r="CD163" s="409"/>
      <c r="CE163" s="409"/>
      <c r="CF163" s="409"/>
      <c r="CG163" s="409"/>
      <c r="CH163" s="409"/>
      <c r="CI163" s="409"/>
      <c r="CJ163" s="409"/>
      <c r="CK163" s="409"/>
      <c r="CL163" s="409"/>
      <c r="CM163" s="409"/>
      <c r="CN163" s="409"/>
      <c r="CO163" s="409"/>
      <c r="CP163" s="409"/>
      <c r="CQ163" s="409"/>
      <c r="CR163" s="409"/>
      <c r="CS163" s="409"/>
      <c r="CT163" s="410"/>
      <c r="DO163" s="408"/>
      <c r="DP163" s="409"/>
      <c r="DQ163" s="409"/>
      <c r="DR163" s="409"/>
      <c r="DS163" s="409"/>
      <c r="DT163" s="409"/>
      <c r="DU163" s="409"/>
      <c r="DV163" s="409"/>
      <c r="DW163" s="409"/>
      <c r="DX163" s="409"/>
      <c r="DY163" s="409"/>
      <c r="DZ163" s="409"/>
      <c r="EA163" s="409"/>
      <c r="EB163" s="409"/>
      <c r="EC163" s="409"/>
      <c r="ED163" s="409"/>
      <c r="EE163" s="409"/>
      <c r="EF163" s="410"/>
      <c r="FT163" s="408"/>
      <c r="FU163" s="409"/>
      <c r="FV163" s="409"/>
      <c r="FW163" s="409"/>
      <c r="FX163" s="409"/>
      <c r="FY163" s="409"/>
      <c r="FZ163" s="409"/>
      <c r="GA163" s="409"/>
      <c r="GB163" s="409"/>
      <c r="GC163" s="409"/>
      <c r="GD163" s="409"/>
      <c r="GE163" s="409"/>
      <c r="GF163" s="409"/>
      <c r="GG163" s="409"/>
      <c r="GH163" s="409"/>
      <c r="GI163" s="409"/>
      <c r="GJ163" s="409"/>
      <c r="GK163" s="410"/>
    </row>
    <row r="164" spans="2:193" ht="13.5" customHeight="1" thickBo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3"/>
    </row>
    <row r="167" spans="2:193" ht="13.5" customHeight="1">
      <c r="DO167" s="346" t="str">
        <f>DO14&amp;DO31&amp;DO48&amp;DO65&amp;DO82&amp;DO99&amp;DO116&amp;DO133&amp;DO150&amp;EH14</f>
        <v/>
      </c>
      <c r="DP167" s="403"/>
      <c r="DQ167" s="403"/>
      <c r="DR167" s="403"/>
      <c r="DS167" s="403"/>
      <c r="DT167" s="403"/>
      <c r="DU167" s="403"/>
      <c r="DV167" s="403"/>
      <c r="DW167" s="403"/>
      <c r="DX167" s="403"/>
      <c r="DY167" s="403"/>
      <c r="DZ167" s="403"/>
      <c r="EA167" s="403"/>
      <c r="EB167" s="403"/>
      <c r="EC167" s="403"/>
      <c r="ED167" s="403"/>
      <c r="EE167" s="403"/>
      <c r="EF167" s="404"/>
      <c r="FT167" s="346" t="str">
        <f>FT14&amp;FT31&amp;FT48&amp;FT65&amp;FT82&amp;FT99&amp;FT116&amp;FT133&amp;FT150&amp;FA14</f>
        <v/>
      </c>
      <c r="FU167" s="403"/>
      <c r="FV167" s="403"/>
      <c r="FW167" s="403"/>
      <c r="FX167" s="403"/>
      <c r="FY167" s="403"/>
      <c r="FZ167" s="403"/>
      <c r="GA167" s="403"/>
      <c r="GB167" s="403"/>
      <c r="GC167" s="403"/>
      <c r="GD167" s="403"/>
      <c r="GE167" s="403"/>
      <c r="GF167" s="403"/>
      <c r="GG167" s="403"/>
      <c r="GH167" s="403"/>
      <c r="GI167" s="403"/>
      <c r="GJ167" s="403"/>
      <c r="GK167" s="404"/>
    </row>
    <row r="168" spans="2:193" ht="13.5" customHeight="1">
      <c r="DO168" s="405"/>
      <c r="DP168" s="406"/>
      <c r="DQ168" s="406"/>
      <c r="DR168" s="406"/>
      <c r="DS168" s="406"/>
      <c r="DT168" s="406"/>
      <c r="DU168" s="406"/>
      <c r="DV168" s="406"/>
      <c r="DW168" s="406"/>
      <c r="DX168" s="406"/>
      <c r="DY168" s="406"/>
      <c r="DZ168" s="406"/>
      <c r="EA168" s="406"/>
      <c r="EB168" s="406"/>
      <c r="EC168" s="406"/>
      <c r="ED168" s="406"/>
      <c r="EE168" s="406"/>
      <c r="EF168" s="407"/>
      <c r="FT168" s="405"/>
      <c r="FU168" s="406"/>
      <c r="FV168" s="406"/>
      <c r="FW168" s="406"/>
      <c r="FX168" s="406"/>
      <c r="FY168" s="406"/>
      <c r="FZ168" s="406"/>
      <c r="GA168" s="406"/>
      <c r="GB168" s="406"/>
      <c r="GC168" s="406"/>
      <c r="GD168" s="406"/>
      <c r="GE168" s="406"/>
      <c r="GF168" s="406"/>
      <c r="GG168" s="406"/>
      <c r="GH168" s="406"/>
      <c r="GI168" s="406"/>
      <c r="GJ168" s="406"/>
      <c r="GK168" s="407"/>
    </row>
    <row r="169" spans="2:193" ht="13.5" customHeight="1">
      <c r="DO169" s="405"/>
      <c r="DP169" s="406"/>
      <c r="DQ169" s="406"/>
      <c r="DR169" s="406"/>
      <c r="DS169" s="406"/>
      <c r="DT169" s="406"/>
      <c r="DU169" s="406"/>
      <c r="DV169" s="406"/>
      <c r="DW169" s="406"/>
      <c r="DX169" s="406"/>
      <c r="DY169" s="406"/>
      <c r="DZ169" s="406"/>
      <c r="EA169" s="406"/>
      <c r="EB169" s="406"/>
      <c r="EC169" s="406"/>
      <c r="ED169" s="406"/>
      <c r="EE169" s="406"/>
      <c r="EF169" s="407"/>
      <c r="FT169" s="405"/>
      <c r="FU169" s="406"/>
      <c r="FV169" s="406"/>
      <c r="FW169" s="406"/>
      <c r="FX169" s="406"/>
      <c r="FY169" s="406"/>
      <c r="FZ169" s="406"/>
      <c r="GA169" s="406"/>
      <c r="GB169" s="406"/>
      <c r="GC169" s="406"/>
      <c r="GD169" s="406"/>
      <c r="GE169" s="406"/>
      <c r="GF169" s="406"/>
      <c r="GG169" s="406"/>
      <c r="GH169" s="406"/>
      <c r="GI169" s="406"/>
      <c r="GJ169" s="406"/>
      <c r="GK169" s="407"/>
    </row>
    <row r="170" spans="2:193" ht="13.5" customHeight="1">
      <c r="DO170" s="405"/>
      <c r="DP170" s="406"/>
      <c r="DQ170" s="406"/>
      <c r="DR170" s="406"/>
      <c r="DS170" s="406"/>
      <c r="DT170" s="406"/>
      <c r="DU170" s="406"/>
      <c r="DV170" s="406"/>
      <c r="DW170" s="406"/>
      <c r="DX170" s="406"/>
      <c r="DY170" s="406"/>
      <c r="DZ170" s="406"/>
      <c r="EA170" s="406"/>
      <c r="EB170" s="406"/>
      <c r="EC170" s="406"/>
      <c r="ED170" s="406"/>
      <c r="EE170" s="406"/>
      <c r="EF170" s="407"/>
      <c r="FT170" s="405"/>
      <c r="FU170" s="406"/>
      <c r="FV170" s="406"/>
      <c r="FW170" s="406"/>
      <c r="FX170" s="406"/>
      <c r="FY170" s="406"/>
      <c r="FZ170" s="406"/>
      <c r="GA170" s="406"/>
      <c r="GB170" s="406"/>
      <c r="GC170" s="406"/>
      <c r="GD170" s="406"/>
      <c r="GE170" s="406"/>
      <c r="GF170" s="406"/>
      <c r="GG170" s="406"/>
      <c r="GH170" s="406"/>
      <c r="GI170" s="406"/>
      <c r="GJ170" s="406"/>
      <c r="GK170" s="407"/>
    </row>
    <row r="171" spans="2:193" ht="13.5" customHeight="1">
      <c r="DO171" s="405"/>
      <c r="DP171" s="406"/>
      <c r="DQ171" s="406"/>
      <c r="DR171" s="406"/>
      <c r="DS171" s="406"/>
      <c r="DT171" s="406"/>
      <c r="DU171" s="406"/>
      <c r="DV171" s="406"/>
      <c r="DW171" s="406"/>
      <c r="DX171" s="406"/>
      <c r="DY171" s="406"/>
      <c r="DZ171" s="406"/>
      <c r="EA171" s="406"/>
      <c r="EB171" s="406"/>
      <c r="EC171" s="406"/>
      <c r="ED171" s="406"/>
      <c r="EE171" s="406"/>
      <c r="EF171" s="407"/>
      <c r="FT171" s="405"/>
      <c r="FU171" s="406"/>
      <c r="FV171" s="406"/>
      <c r="FW171" s="406"/>
      <c r="FX171" s="406"/>
      <c r="FY171" s="406"/>
      <c r="FZ171" s="406"/>
      <c r="GA171" s="406"/>
      <c r="GB171" s="406"/>
      <c r="GC171" s="406"/>
      <c r="GD171" s="406"/>
      <c r="GE171" s="406"/>
      <c r="GF171" s="406"/>
      <c r="GG171" s="406"/>
      <c r="GH171" s="406"/>
      <c r="GI171" s="406"/>
      <c r="GJ171" s="406"/>
      <c r="GK171" s="407"/>
    </row>
    <row r="172" spans="2:193" ht="13.5" customHeight="1">
      <c r="DO172" s="405"/>
      <c r="DP172" s="406"/>
      <c r="DQ172" s="406"/>
      <c r="DR172" s="406"/>
      <c r="DS172" s="406"/>
      <c r="DT172" s="406"/>
      <c r="DU172" s="406"/>
      <c r="DV172" s="406"/>
      <c r="DW172" s="406"/>
      <c r="DX172" s="406"/>
      <c r="DY172" s="406"/>
      <c r="DZ172" s="406"/>
      <c r="EA172" s="406"/>
      <c r="EB172" s="406"/>
      <c r="EC172" s="406"/>
      <c r="ED172" s="406"/>
      <c r="EE172" s="406"/>
      <c r="EF172" s="407"/>
      <c r="FT172" s="405"/>
      <c r="FU172" s="406"/>
      <c r="FV172" s="406"/>
      <c r="FW172" s="406"/>
      <c r="FX172" s="406"/>
      <c r="FY172" s="406"/>
      <c r="FZ172" s="406"/>
      <c r="GA172" s="406"/>
      <c r="GB172" s="406"/>
      <c r="GC172" s="406"/>
      <c r="GD172" s="406"/>
      <c r="GE172" s="406"/>
      <c r="GF172" s="406"/>
      <c r="GG172" s="406"/>
      <c r="GH172" s="406"/>
      <c r="GI172" s="406"/>
      <c r="GJ172" s="406"/>
      <c r="GK172" s="407"/>
    </row>
    <row r="173" spans="2:193" ht="13.5" customHeight="1">
      <c r="DO173" s="405"/>
      <c r="DP173" s="406"/>
      <c r="DQ173" s="406"/>
      <c r="DR173" s="406"/>
      <c r="DS173" s="406"/>
      <c r="DT173" s="406"/>
      <c r="DU173" s="406"/>
      <c r="DV173" s="406"/>
      <c r="DW173" s="406"/>
      <c r="DX173" s="406"/>
      <c r="DY173" s="406"/>
      <c r="DZ173" s="406"/>
      <c r="EA173" s="406"/>
      <c r="EB173" s="406"/>
      <c r="EC173" s="406"/>
      <c r="ED173" s="406"/>
      <c r="EE173" s="406"/>
      <c r="EF173" s="407"/>
      <c r="FT173" s="405"/>
      <c r="FU173" s="406"/>
      <c r="FV173" s="406"/>
      <c r="FW173" s="406"/>
      <c r="FX173" s="406"/>
      <c r="FY173" s="406"/>
      <c r="FZ173" s="406"/>
      <c r="GA173" s="406"/>
      <c r="GB173" s="406"/>
      <c r="GC173" s="406"/>
      <c r="GD173" s="406"/>
      <c r="GE173" s="406"/>
      <c r="GF173" s="406"/>
      <c r="GG173" s="406"/>
      <c r="GH173" s="406"/>
      <c r="GI173" s="406"/>
      <c r="GJ173" s="406"/>
      <c r="GK173" s="407"/>
    </row>
    <row r="174" spans="2:193" ht="13.5" customHeight="1">
      <c r="DO174" s="405"/>
      <c r="DP174" s="406"/>
      <c r="DQ174" s="406"/>
      <c r="DR174" s="406"/>
      <c r="DS174" s="406"/>
      <c r="DT174" s="406"/>
      <c r="DU174" s="406"/>
      <c r="DV174" s="406"/>
      <c r="DW174" s="406"/>
      <c r="DX174" s="406"/>
      <c r="DY174" s="406"/>
      <c r="DZ174" s="406"/>
      <c r="EA174" s="406"/>
      <c r="EB174" s="406"/>
      <c r="EC174" s="406"/>
      <c r="ED174" s="406"/>
      <c r="EE174" s="406"/>
      <c r="EF174" s="407"/>
      <c r="FT174" s="405"/>
      <c r="FU174" s="406"/>
      <c r="FV174" s="406"/>
      <c r="FW174" s="406"/>
      <c r="FX174" s="406"/>
      <c r="FY174" s="406"/>
      <c r="FZ174" s="406"/>
      <c r="GA174" s="406"/>
      <c r="GB174" s="406"/>
      <c r="GC174" s="406"/>
      <c r="GD174" s="406"/>
      <c r="GE174" s="406"/>
      <c r="GF174" s="406"/>
      <c r="GG174" s="406"/>
      <c r="GH174" s="406"/>
      <c r="GI174" s="406"/>
      <c r="GJ174" s="406"/>
      <c r="GK174" s="407"/>
    </row>
    <row r="175" spans="2:193" ht="13.5" customHeight="1">
      <c r="DO175" s="405"/>
      <c r="DP175" s="406"/>
      <c r="DQ175" s="406"/>
      <c r="DR175" s="406"/>
      <c r="DS175" s="406"/>
      <c r="DT175" s="406"/>
      <c r="DU175" s="406"/>
      <c r="DV175" s="406"/>
      <c r="DW175" s="406"/>
      <c r="DX175" s="406"/>
      <c r="DY175" s="406"/>
      <c r="DZ175" s="406"/>
      <c r="EA175" s="406"/>
      <c r="EB175" s="406"/>
      <c r="EC175" s="406"/>
      <c r="ED175" s="406"/>
      <c r="EE175" s="406"/>
      <c r="EF175" s="407"/>
      <c r="FT175" s="405"/>
      <c r="FU175" s="406"/>
      <c r="FV175" s="406"/>
      <c r="FW175" s="406"/>
      <c r="FX175" s="406"/>
      <c r="FY175" s="406"/>
      <c r="FZ175" s="406"/>
      <c r="GA175" s="406"/>
      <c r="GB175" s="406"/>
      <c r="GC175" s="406"/>
      <c r="GD175" s="406"/>
      <c r="GE175" s="406"/>
      <c r="GF175" s="406"/>
      <c r="GG175" s="406"/>
      <c r="GH175" s="406"/>
      <c r="GI175" s="406"/>
      <c r="GJ175" s="406"/>
      <c r="GK175" s="407"/>
    </row>
    <row r="176" spans="2:193" ht="13.5" customHeight="1">
      <c r="DO176" s="405"/>
      <c r="DP176" s="406"/>
      <c r="DQ176" s="406"/>
      <c r="DR176" s="406"/>
      <c r="DS176" s="406"/>
      <c r="DT176" s="406"/>
      <c r="DU176" s="406"/>
      <c r="DV176" s="406"/>
      <c r="DW176" s="406"/>
      <c r="DX176" s="406"/>
      <c r="DY176" s="406"/>
      <c r="DZ176" s="406"/>
      <c r="EA176" s="406"/>
      <c r="EB176" s="406"/>
      <c r="EC176" s="406"/>
      <c r="ED176" s="406"/>
      <c r="EE176" s="406"/>
      <c r="EF176" s="407"/>
      <c r="FT176" s="405"/>
      <c r="FU176" s="406"/>
      <c r="FV176" s="406"/>
      <c r="FW176" s="406"/>
      <c r="FX176" s="406"/>
      <c r="FY176" s="406"/>
      <c r="FZ176" s="406"/>
      <c r="GA176" s="406"/>
      <c r="GB176" s="406"/>
      <c r="GC176" s="406"/>
      <c r="GD176" s="406"/>
      <c r="GE176" s="406"/>
      <c r="GF176" s="406"/>
      <c r="GG176" s="406"/>
      <c r="GH176" s="406"/>
      <c r="GI176" s="406"/>
      <c r="GJ176" s="406"/>
      <c r="GK176" s="407"/>
    </row>
    <row r="177" spans="119:193" ht="13.5" customHeight="1">
      <c r="DO177" s="405"/>
      <c r="DP177" s="406"/>
      <c r="DQ177" s="406"/>
      <c r="DR177" s="406"/>
      <c r="DS177" s="406"/>
      <c r="DT177" s="406"/>
      <c r="DU177" s="406"/>
      <c r="DV177" s="406"/>
      <c r="DW177" s="406"/>
      <c r="DX177" s="406"/>
      <c r="DY177" s="406"/>
      <c r="DZ177" s="406"/>
      <c r="EA177" s="406"/>
      <c r="EB177" s="406"/>
      <c r="EC177" s="406"/>
      <c r="ED177" s="406"/>
      <c r="EE177" s="406"/>
      <c r="EF177" s="407"/>
      <c r="FT177" s="405"/>
      <c r="FU177" s="406"/>
      <c r="FV177" s="406"/>
      <c r="FW177" s="406"/>
      <c r="FX177" s="406"/>
      <c r="FY177" s="406"/>
      <c r="FZ177" s="406"/>
      <c r="GA177" s="406"/>
      <c r="GB177" s="406"/>
      <c r="GC177" s="406"/>
      <c r="GD177" s="406"/>
      <c r="GE177" s="406"/>
      <c r="GF177" s="406"/>
      <c r="GG177" s="406"/>
      <c r="GH177" s="406"/>
      <c r="GI177" s="406"/>
      <c r="GJ177" s="406"/>
      <c r="GK177" s="407"/>
    </row>
    <row r="178" spans="119:193" ht="13.5" customHeight="1">
      <c r="DO178" s="405"/>
      <c r="DP178" s="406"/>
      <c r="DQ178" s="406"/>
      <c r="DR178" s="406"/>
      <c r="DS178" s="406"/>
      <c r="DT178" s="406"/>
      <c r="DU178" s="406"/>
      <c r="DV178" s="406"/>
      <c r="DW178" s="406"/>
      <c r="DX178" s="406"/>
      <c r="DY178" s="406"/>
      <c r="DZ178" s="406"/>
      <c r="EA178" s="406"/>
      <c r="EB178" s="406"/>
      <c r="EC178" s="406"/>
      <c r="ED178" s="406"/>
      <c r="EE178" s="406"/>
      <c r="EF178" s="407"/>
      <c r="FT178" s="405"/>
      <c r="FU178" s="406"/>
      <c r="FV178" s="406"/>
      <c r="FW178" s="406"/>
      <c r="FX178" s="406"/>
      <c r="FY178" s="406"/>
      <c r="FZ178" s="406"/>
      <c r="GA178" s="406"/>
      <c r="GB178" s="406"/>
      <c r="GC178" s="406"/>
      <c r="GD178" s="406"/>
      <c r="GE178" s="406"/>
      <c r="GF178" s="406"/>
      <c r="GG178" s="406"/>
      <c r="GH178" s="406"/>
      <c r="GI178" s="406"/>
      <c r="GJ178" s="406"/>
      <c r="GK178" s="407"/>
    </row>
    <row r="179" spans="119:193" ht="13.5" customHeight="1">
      <c r="DO179" s="405"/>
      <c r="DP179" s="406"/>
      <c r="DQ179" s="406"/>
      <c r="DR179" s="406"/>
      <c r="DS179" s="406"/>
      <c r="DT179" s="406"/>
      <c r="DU179" s="406"/>
      <c r="DV179" s="406"/>
      <c r="DW179" s="406"/>
      <c r="DX179" s="406"/>
      <c r="DY179" s="406"/>
      <c r="DZ179" s="406"/>
      <c r="EA179" s="406"/>
      <c r="EB179" s="406"/>
      <c r="EC179" s="406"/>
      <c r="ED179" s="406"/>
      <c r="EE179" s="406"/>
      <c r="EF179" s="407"/>
      <c r="FT179" s="405"/>
      <c r="FU179" s="406"/>
      <c r="FV179" s="406"/>
      <c r="FW179" s="406"/>
      <c r="FX179" s="406"/>
      <c r="FY179" s="406"/>
      <c r="FZ179" s="406"/>
      <c r="GA179" s="406"/>
      <c r="GB179" s="406"/>
      <c r="GC179" s="406"/>
      <c r="GD179" s="406"/>
      <c r="GE179" s="406"/>
      <c r="GF179" s="406"/>
      <c r="GG179" s="406"/>
      <c r="GH179" s="406"/>
      <c r="GI179" s="406"/>
      <c r="GJ179" s="406"/>
      <c r="GK179" s="407"/>
    </row>
    <row r="180" spans="119:193" ht="13.5" customHeight="1">
      <c r="DO180" s="408"/>
      <c r="DP180" s="409"/>
      <c r="DQ180" s="409"/>
      <c r="DR180" s="409"/>
      <c r="DS180" s="409"/>
      <c r="DT180" s="409"/>
      <c r="DU180" s="409"/>
      <c r="DV180" s="409"/>
      <c r="DW180" s="409"/>
      <c r="DX180" s="409"/>
      <c r="DY180" s="409"/>
      <c r="DZ180" s="409"/>
      <c r="EA180" s="409"/>
      <c r="EB180" s="409"/>
      <c r="EC180" s="409"/>
      <c r="ED180" s="409"/>
      <c r="EE180" s="409"/>
      <c r="EF180" s="410"/>
      <c r="FT180" s="408"/>
      <c r="FU180" s="409"/>
      <c r="FV180" s="409"/>
      <c r="FW180" s="409"/>
      <c r="FX180" s="409"/>
      <c r="FY180" s="409"/>
      <c r="FZ180" s="409"/>
      <c r="GA180" s="409"/>
      <c r="GB180" s="409"/>
      <c r="GC180" s="409"/>
      <c r="GD180" s="409"/>
      <c r="GE180" s="409"/>
      <c r="GF180" s="409"/>
      <c r="GG180" s="409"/>
      <c r="GH180" s="409"/>
      <c r="GI180" s="409"/>
      <c r="GJ180" s="409"/>
      <c r="GK180" s="410"/>
    </row>
  </sheetData>
  <mergeCells count="882">
    <mergeCell ref="C3:M4"/>
    <mergeCell ref="AL3:AV4"/>
    <mergeCell ref="AT6:AV6"/>
    <mergeCell ref="AT7:AV7"/>
    <mergeCell ref="AT8:AV8"/>
    <mergeCell ref="AT9:AV9"/>
    <mergeCell ref="BK14:BS14"/>
    <mergeCell ref="BT14:CB14"/>
    <mergeCell ref="CC14:CT27"/>
    <mergeCell ref="H15:R15"/>
    <mergeCell ref="S15:X15"/>
    <mergeCell ref="Y15:AA15"/>
    <mergeCell ref="AB15:AD15"/>
    <mergeCell ref="AE15:AK15"/>
    <mergeCell ref="AL15:AR15"/>
    <mergeCell ref="BK15:BS15"/>
    <mergeCell ref="H14:R14"/>
    <mergeCell ref="S14:X14"/>
    <mergeCell ref="Y14:AA14"/>
    <mergeCell ref="AB14:AD14"/>
    <mergeCell ref="AE14:AK14"/>
    <mergeCell ref="AL14:AR14"/>
    <mergeCell ref="BT15:CB15"/>
    <mergeCell ref="H16:R16"/>
    <mergeCell ref="S16:X16"/>
    <mergeCell ref="Y16:AA16"/>
    <mergeCell ref="AB16:AD16"/>
    <mergeCell ref="AE16:AK16"/>
    <mergeCell ref="AL16:AR16"/>
    <mergeCell ref="BK16:BS16"/>
    <mergeCell ref="BT16:CB16"/>
    <mergeCell ref="BK17:BS17"/>
    <mergeCell ref="BT17:CB17"/>
    <mergeCell ref="H18:R18"/>
    <mergeCell ref="S18:X18"/>
    <mergeCell ref="Y18:AA18"/>
    <mergeCell ref="AB18:AD18"/>
    <mergeCell ref="AE18:AK18"/>
    <mergeCell ref="AL18:AR18"/>
    <mergeCell ref="BK18:BS18"/>
    <mergeCell ref="BT18:CB18"/>
    <mergeCell ref="H17:R17"/>
    <mergeCell ref="S17:X17"/>
    <mergeCell ref="Y17:AA17"/>
    <mergeCell ref="AB17:AD17"/>
    <mergeCell ref="AE17:AK17"/>
    <mergeCell ref="AL17:AR17"/>
    <mergeCell ref="BK19:BS19"/>
    <mergeCell ref="BT19:CB19"/>
    <mergeCell ref="H20:R20"/>
    <mergeCell ref="S20:X20"/>
    <mergeCell ref="Y20:AA20"/>
    <mergeCell ref="AB20:AD20"/>
    <mergeCell ref="AE20:AK20"/>
    <mergeCell ref="AL20:AR20"/>
    <mergeCell ref="BK20:BS20"/>
    <mergeCell ref="BT20:CB20"/>
    <mergeCell ref="H19:R19"/>
    <mergeCell ref="S19:X19"/>
    <mergeCell ref="Y19:AA19"/>
    <mergeCell ref="AB19:AD19"/>
    <mergeCell ref="AE19:AK19"/>
    <mergeCell ref="AL19:AR19"/>
    <mergeCell ref="BK21:BS21"/>
    <mergeCell ref="BT21:CB21"/>
    <mergeCell ref="H22:R22"/>
    <mergeCell ref="S22:X22"/>
    <mergeCell ref="Y22:AA22"/>
    <mergeCell ref="AB22:AD22"/>
    <mergeCell ref="AE22:AK22"/>
    <mergeCell ref="AL22:AR22"/>
    <mergeCell ref="BK22:BS22"/>
    <mergeCell ref="BT22:CB22"/>
    <mergeCell ref="H21:R21"/>
    <mergeCell ref="S21:X21"/>
    <mergeCell ref="Y21:AA21"/>
    <mergeCell ref="AB21:AD21"/>
    <mergeCell ref="AE21:AK21"/>
    <mergeCell ref="AL21:AR21"/>
    <mergeCell ref="BK23:BS23"/>
    <mergeCell ref="BT23:CB23"/>
    <mergeCell ref="H24:R24"/>
    <mergeCell ref="S24:X24"/>
    <mergeCell ref="Y24:AA24"/>
    <mergeCell ref="AB24:AD24"/>
    <mergeCell ref="AE24:AK24"/>
    <mergeCell ref="AL24:AR24"/>
    <mergeCell ref="BK24:BS24"/>
    <mergeCell ref="BT24:CB24"/>
    <mergeCell ref="H23:R23"/>
    <mergeCell ref="S23:X23"/>
    <mergeCell ref="Y23:AA23"/>
    <mergeCell ref="AB23:AD23"/>
    <mergeCell ref="AE23:AK23"/>
    <mergeCell ref="AL23:AR23"/>
    <mergeCell ref="C26:G27"/>
    <mergeCell ref="H26:AI27"/>
    <mergeCell ref="AO26:AR26"/>
    <mergeCell ref="H31:R31"/>
    <mergeCell ref="S31:X31"/>
    <mergeCell ref="Y31:AA31"/>
    <mergeCell ref="AB31:AD31"/>
    <mergeCell ref="AE31:AK31"/>
    <mergeCell ref="AL31:AR31"/>
    <mergeCell ref="BK31:BS31"/>
    <mergeCell ref="BT31:CB31"/>
    <mergeCell ref="CC31:CT44"/>
    <mergeCell ref="H32:R32"/>
    <mergeCell ref="S32:X32"/>
    <mergeCell ref="Y32:AA32"/>
    <mergeCell ref="AB32:AD32"/>
    <mergeCell ref="AE32:AK32"/>
    <mergeCell ref="AL32:AR32"/>
    <mergeCell ref="BK32:BS32"/>
    <mergeCell ref="BT32:CB32"/>
    <mergeCell ref="H33:R33"/>
    <mergeCell ref="S33:X33"/>
    <mergeCell ref="Y33:AA33"/>
    <mergeCell ref="AB33:AD33"/>
    <mergeCell ref="AE33:AK33"/>
    <mergeCell ref="AL33:AR33"/>
    <mergeCell ref="BK33:BS33"/>
    <mergeCell ref="BT33:CB33"/>
    <mergeCell ref="BK34:BS34"/>
    <mergeCell ref="BT34:CB34"/>
    <mergeCell ref="H35:R35"/>
    <mergeCell ref="S35:X35"/>
    <mergeCell ref="Y35:AA35"/>
    <mergeCell ref="AB35:AD35"/>
    <mergeCell ref="AE35:AK35"/>
    <mergeCell ref="AL35:AR35"/>
    <mergeCell ref="BK35:BS35"/>
    <mergeCell ref="BT35:CB35"/>
    <mergeCell ref="H34:R34"/>
    <mergeCell ref="S34:X34"/>
    <mergeCell ref="Y34:AA34"/>
    <mergeCell ref="AB34:AD34"/>
    <mergeCell ref="AE34:AK34"/>
    <mergeCell ref="AL34:AR34"/>
    <mergeCell ref="BK36:BS36"/>
    <mergeCell ref="BT36:CB36"/>
    <mergeCell ref="H37:R37"/>
    <mergeCell ref="S37:X37"/>
    <mergeCell ref="Y37:AA37"/>
    <mergeCell ref="AB37:AD37"/>
    <mergeCell ref="AE37:AK37"/>
    <mergeCell ref="AL37:AR37"/>
    <mergeCell ref="BK37:BS37"/>
    <mergeCell ref="BT37:CB37"/>
    <mergeCell ref="H36:R36"/>
    <mergeCell ref="S36:X36"/>
    <mergeCell ref="Y36:AA36"/>
    <mergeCell ref="AB36:AD36"/>
    <mergeCell ref="AE36:AK36"/>
    <mergeCell ref="AL36:AR36"/>
    <mergeCell ref="BK38:BS38"/>
    <mergeCell ref="BT38:CB38"/>
    <mergeCell ref="H39:R39"/>
    <mergeCell ref="S39:X39"/>
    <mergeCell ref="Y39:AA39"/>
    <mergeCell ref="AB39:AD39"/>
    <mergeCell ref="AE39:AK39"/>
    <mergeCell ref="AL39:AR39"/>
    <mergeCell ref="BK39:BS39"/>
    <mergeCell ref="BT39:CB39"/>
    <mergeCell ref="H38:R38"/>
    <mergeCell ref="S38:X38"/>
    <mergeCell ref="Y38:AA38"/>
    <mergeCell ref="AB38:AD38"/>
    <mergeCell ref="AE38:AK38"/>
    <mergeCell ref="AL38:AR38"/>
    <mergeCell ref="BK40:BS40"/>
    <mergeCell ref="BT40:CB40"/>
    <mergeCell ref="H41:R41"/>
    <mergeCell ref="S41:X41"/>
    <mergeCell ref="Y41:AA41"/>
    <mergeCell ref="AB41:AD41"/>
    <mergeCell ref="AE41:AK41"/>
    <mergeCell ref="AL41:AR41"/>
    <mergeCell ref="BK41:BS41"/>
    <mergeCell ref="BT41:CB41"/>
    <mergeCell ref="H40:R40"/>
    <mergeCell ref="S40:X40"/>
    <mergeCell ref="Y40:AA40"/>
    <mergeCell ref="AB40:AD40"/>
    <mergeCell ref="AE40:AK40"/>
    <mergeCell ref="AL40:AR40"/>
    <mergeCell ref="C43:G44"/>
    <mergeCell ref="H43:AI44"/>
    <mergeCell ref="AO43:AR43"/>
    <mergeCell ref="H48:R48"/>
    <mergeCell ref="S48:X48"/>
    <mergeCell ref="Y48:AA48"/>
    <mergeCell ref="AB48:AD48"/>
    <mergeCell ref="AE48:AK48"/>
    <mergeCell ref="AL48:AR48"/>
    <mergeCell ref="BK48:BS48"/>
    <mergeCell ref="BT48:CB48"/>
    <mergeCell ref="CC48:CT61"/>
    <mergeCell ref="H49:R49"/>
    <mergeCell ref="S49:X49"/>
    <mergeCell ref="Y49:AA49"/>
    <mergeCell ref="AB49:AD49"/>
    <mergeCell ref="AE49:AK49"/>
    <mergeCell ref="AL49:AR49"/>
    <mergeCell ref="BK49:BS49"/>
    <mergeCell ref="BT49:CB49"/>
    <mergeCell ref="H50:R50"/>
    <mergeCell ref="S50:X50"/>
    <mergeCell ref="Y50:AA50"/>
    <mergeCell ref="AB50:AD50"/>
    <mergeCell ref="AE50:AK50"/>
    <mergeCell ref="AL50:AR50"/>
    <mergeCell ref="BK50:BS50"/>
    <mergeCell ref="BT50:CB50"/>
    <mergeCell ref="BK51:BS51"/>
    <mergeCell ref="BT51:CB51"/>
    <mergeCell ref="H52:R52"/>
    <mergeCell ref="S52:X52"/>
    <mergeCell ref="Y52:AA52"/>
    <mergeCell ref="AB52:AD52"/>
    <mergeCell ref="AE52:AK52"/>
    <mergeCell ref="AL52:AR52"/>
    <mergeCell ref="BK52:BS52"/>
    <mergeCell ref="BT52:CB52"/>
    <mergeCell ref="H51:R51"/>
    <mergeCell ref="S51:X51"/>
    <mergeCell ref="Y51:AA51"/>
    <mergeCell ref="AB51:AD51"/>
    <mergeCell ref="AE51:AK51"/>
    <mergeCell ref="AL51:AR51"/>
    <mergeCell ref="BK53:BS53"/>
    <mergeCell ref="BT53:CB53"/>
    <mergeCell ref="H54:R54"/>
    <mergeCell ref="S54:X54"/>
    <mergeCell ref="Y54:AA54"/>
    <mergeCell ref="AB54:AD54"/>
    <mergeCell ref="AE54:AK54"/>
    <mergeCell ref="AL54:AR54"/>
    <mergeCell ref="BK54:BS54"/>
    <mergeCell ref="BT54:CB54"/>
    <mergeCell ref="H53:R53"/>
    <mergeCell ref="S53:X53"/>
    <mergeCell ref="Y53:AA53"/>
    <mergeCell ref="AB53:AD53"/>
    <mergeCell ref="AE53:AK53"/>
    <mergeCell ref="AL53:AR53"/>
    <mergeCell ref="BK55:BS55"/>
    <mergeCell ref="BT55:CB55"/>
    <mergeCell ref="H56:R56"/>
    <mergeCell ref="S56:X56"/>
    <mergeCell ref="Y56:AA56"/>
    <mergeCell ref="AB56:AD56"/>
    <mergeCell ref="AE56:AK56"/>
    <mergeCell ref="AL56:AR56"/>
    <mergeCell ref="BK56:BS56"/>
    <mergeCell ref="BT56:CB56"/>
    <mergeCell ref="H55:R55"/>
    <mergeCell ref="S55:X55"/>
    <mergeCell ref="Y55:AA55"/>
    <mergeCell ref="AB55:AD55"/>
    <mergeCell ref="AE55:AK55"/>
    <mergeCell ref="AL55:AR55"/>
    <mergeCell ref="BK57:BS57"/>
    <mergeCell ref="BT57:CB57"/>
    <mergeCell ref="H58:R58"/>
    <mergeCell ref="S58:X58"/>
    <mergeCell ref="Y58:AA58"/>
    <mergeCell ref="AB58:AD58"/>
    <mergeCell ref="AE58:AK58"/>
    <mergeCell ref="AL58:AR58"/>
    <mergeCell ref="BK58:BS58"/>
    <mergeCell ref="BT58:CB58"/>
    <mergeCell ref="H57:R57"/>
    <mergeCell ref="S57:X57"/>
    <mergeCell ref="Y57:AA57"/>
    <mergeCell ref="AB57:AD57"/>
    <mergeCell ref="AE57:AK57"/>
    <mergeCell ref="AL57:AR57"/>
    <mergeCell ref="C60:G61"/>
    <mergeCell ref="H60:AI61"/>
    <mergeCell ref="AO60:AR60"/>
    <mergeCell ref="H65:R65"/>
    <mergeCell ref="S65:X65"/>
    <mergeCell ref="Y65:AA65"/>
    <mergeCell ref="AB65:AD65"/>
    <mergeCell ref="AE65:AK65"/>
    <mergeCell ref="AL65:AR65"/>
    <mergeCell ref="BK65:BS65"/>
    <mergeCell ref="BT65:CB65"/>
    <mergeCell ref="CC65:CT78"/>
    <mergeCell ref="H66:R66"/>
    <mergeCell ref="S66:X66"/>
    <mergeCell ref="Y66:AA66"/>
    <mergeCell ref="AB66:AD66"/>
    <mergeCell ref="AE66:AK66"/>
    <mergeCell ref="AL66:AR66"/>
    <mergeCell ref="BK66:BS66"/>
    <mergeCell ref="BT66:CB66"/>
    <mergeCell ref="H67:R67"/>
    <mergeCell ref="S67:X67"/>
    <mergeCell ref="Y67:AA67"/>
    <mergeCell ref="AB67:AD67"/>
    <mergeCell ref="AE67:AK67"/>
    <mergeCell ref="AL67:AR67"/>
    <mergeCell ref="BK67:BS67"/>
    <mergeCell ref="BT67:CB67"/>
    <mergeCell ref="BK68:BS68"/>
    <mergeCell ref="BT68:CB68"/>
    <mergeCell ref="H69:R69"/>
    <mergeCell ref="S69:X69"/>
    <mergeCell ref="Y69:AA69"/>
    <mergeCell ref="AB69:AD69"/>
    <mergeCell ref="AE69:AK69"/>
    <mergeCell ref="AL69:AR69"/>
    <mergeCell ref="BK69:BS69"/>
    <mergeCell ref="BT69:CB69"/>
    <mergeCell ref="H68:R68"/>
    <mergeCell ref="S68:X68"/>
    <mergeCell ref="Y68:AA68"/>
    <mergeCell ref="AB68:AD68"/>
    <mergeCell ref="AE68:AK68"/>
    <mergeCell ref="AL68:AR68"/>
    <mergeCell ref="BK70:BS70"/>
    <mergeCell ref="BT70:CB70"/>
    <mergeCell ref="H71:R71"/>
    <mergeCell ref="S71:X71"/>
    <mergeCell ref="Y71:AA71"/>
    <mergeCell ref="AB71:AD71"/>
    <mergeCell ref="AE71:AK71"/>
    <mergeCell ref="AL71:AR71"/>
    <mergeCell ref="BK71:BS71"/>
    <mergeCell ref="BT71:CB71"/>
    <mergeCell ref="H70:R70"/>
    <mergeCell ref="S70:X70"/>
    <mergeCell ref="Y70:AA70"/>
    <mergeCell ref="AB70:AD70"/>
    <mergeCell ref="AE70:AK70"/>
    <mergeCell ref="AL70:AR70"/>
    <mergeCell ref="BK72:BS72"/>
    <mergeCell ref="BT72:CB72"/>
    <mergeCell ref="H73:R73"/>
    <mergeCell ref="S73:X73"/>
    <mergeCell ref="Y73:AA73"/>
    <mergeCell ref="AB73:AD73"/>
    <mergeCell ref="AE73:AK73"/>
    <mergeCell ref="AL73:AR73"/>
    <mergeCell ref="BK73:BS73"/>
    <mergeCell ref="BT73:CB73"/>
    <mergeCell ref="H72:R72"/>
    <mergeCell ref="S72:X72"/>
    <mergeCell ref="Y72:AA72"/>
    <mergeCell ref="AB72:AD72"/>
    <mergeCell ref="AE72:AK72"/>
    <mergeCell ref="AL72:AR72"/>
    <mergeCell ref="BK74:BS74"/>
    <mergeCell ref="BT74:CB74"/>
    <mergeCell ref="H75:R75"/>
    <mergeCell ref="S75:X75"/>
    <mergeCell ref="Y75:AA75"/>
    <mergeCell ref="AB75:AD75"/>
    <mergeCell ref="AE75:AK75"/>
    <mergeCell ref="AL75:AR75"/>
    <mergeCell ref="BK75:BS75"/>
    <mergeCell ref="BT75:CB75"/>
    <mergeCell ref="H74:R74"/>
    <mergeCell ref="S74:X74"/>
    <mergeCell ref="Y74:AA74"/>
    <mergeCell ref="AB74:AD74"/>
    <mergeCell ref="AE74:AK74"/>
    <mergeCell ref="AL74:AR74"/>
    <mergeCell ref="C77:G78"/>
    <mergeCell ref="H77:AI78"/>
    <mergeCell ref="AO77:AR77"/>
    <mergeCell ref="H82:R82"/>
    <mergeCell ref="S82:X82"/>
    <mergeCell ref="Y82:AA82"/>
    <mergeCell ref="AB82:AD82"/>
    <mergeCell ref="AE82:AK82"/>
    <mergeCell ref="AL82:AR82"/>
    <mergeCell ref="BK82:BS82"/>
    <mergeCell ref="BT82:CB82"/>
    <mergeCell ref="CC82:CT95"/>
    <mergeCell ref="H83:R83"/>
    <mergeCell ref="S83:X83"/>
    <mergeCell ref="Y83:AA83"/>
    <mergeCell ref="AB83:AD83"/>
    <mergeCell ref="AE83:AK83"/>
    <mergeCell ref="AL83:AR83"/>
    <mergeCell ref="BK83:BS83"/>
    <mergeCell ref="BT83:CB83"/>
    <mergeCell ref="H84:R84"/>
    <mergeCell ref="S84:X84"/>
    <mergeCell ref="Y84:AA84"/>
    <mergeCell ref="AB84:AD84"/>
    <mergeCell ref="AE84:AK84"/>
    <mergeCell ref="AL84:AR84"/>
    <mergeCell ref="BK84:BS84"/>
    <mergeCell ref="BT84:CB84"/>
    <mergeCell ref="BK85:BS85"/>
    <mergeCell ref="BT85:CB85"/>
    <mergeCell ref="H86:R86"/>
    <mergeCell ref="S86:X86"/>
    <mergeCell ref="Y86:AA86"/>
    <mergeCell ref="AB86:AD86"/>
    <mergeCell ref="AE86:AK86"/>
    <mergeCell ref="AL86:AR86"/>
    <mergeCell ref="BK86:BS86"/>
    <mergeCell ref="BT86:CB86"/>
    <mergeCell ref="H85:R85"/>
    <mergeCell ref="S85:X85"/>
    <mergeCell ref="Y85:AA85"/>
    <mergeCell ref="AB85:AD85"/>
    <mergeCell ref="AE85:AK85"/>
    <mergeCell ref="AL85:AR85"/>
    <mergeCell ref="BK87:BS87"/>
    <mergeCell ref="BT87:CB87"/>
    <mergeCell ref="H88:R88"/>
    <mergeCell ref="S88:X88"/>
    <mergeCell ref="Y88:AA88"/>
    <mergeCell ref="AB88:AD88"/>
    <mergeCell ref="AE88:AK88"/>
    <mergeCell ref="AL88:AR88"/>
    <mergeCell ref="BK88:BS88"/>
    <mergeCell ref="BT88:CB88"/>
    <mergeCell ref="H87:R87"/>
    <mergeCell ref="S87:X87"/>
    <mergeCell ref="Y87:AA87"/>
    <mergeCell ref="AB87:AD87"/>
    <mergeCell ref="AE87:AK87"/>
    <mergeCell ref="AL87:AR87"/>
    <mergeCell ref="BK89:BS89"/>
    <mergeCell ref="BT89:CB89"/>
    <mergeCell ref="H90:R90"/>
    <mergeCell ref="S90:X90"/>
    <mergeCell ref="Y90:AA90"/>
    <mergeCell ref="AB90:AD90"/>
    <mergeCell ref="AE90:AK90"/>
    <mergeCell ref="AL90:AR90"/>
    <mergeCell ref="BK90:BS90"/>
    <mergeCell ref="BT90:CB90"/>
    <mergeCell ref="H89:R89"/>
    <mergeCell ref="S89:X89"/>
    <mergeCell ref="Y89:AA89"/>
    <mergeCell ref="AB89:AD89"/>
    <mergeCell ref="AE89:AK89"/>
    <mergeCell ref="AL89:AR89"/>
    <mergeCell ref="BK91:BS91"/>
    <mergeCell ref="BT91:CB91"/>
    <mergeCell ref="H92:R92"/>
    <mergeCell ref="S92:X92"/>
    <mergeCell ref="Y92:AA92"/>
    <mergeCell ref="AB92:AD92"/>
    <mergeCell ref="AE92:AK92"/>
    <mergeCell ref="AL92:AR92"/>
    <mergeCell ref="BK92:BS92"/>
    <mergeCell ref="BT92:CB92"/>
    <mergeCell ref="H91:R91"/>
    <mergeCell ref="S91:X91"/>
    <mergeCell ref="Y91:AA91"/>
    <mergeCell ref="AB91:AD91"/>
    <mergeCell ref="AE91:AK91"/>
    <mergeCell ref="AL91:AR91"/>
    <mergeCell ref="C94:G95"/>
    <mergeCell ref="H94:AI95"/>
    <mergeCell ref="AO94:AR94"/>
    <mergeCell ref="H99:R99"/>
    <mergeCell ref="S99:X99"/>
    <mergeCell ref="Y99:AA99"/>
    <mergeCell ref="AB99:AD99"/>
    <mergeCell ref="AE99:AK99"/>
    <mergeCell ref="AL99:AR99"/>
    <mergeCell ref="BK99:BS99"/>
    <mergeCell ref="BT99:CB99"/>
    <mergeCell ref="CC99:CT112"/>
    <mergeCell ref="H100:R100"/>
    <mergeCell ref="S100:X100"/>
    <mergeCell ref="Y100:AA100"/>
    <mergeCell ref="AB100:AD100"/>
    <mergeCell ref="AE100:AK100"/>
    <mergeCell ref="AL100:AR100"/>
    <mergeCell ref="BK100:BS100"/>
    <mergeCell ref="BT100:CB100"/>
    <mergeCell ref="H101:R101"/>
    <mergeCell ref="S101:X101"/>
    <mergeCell ref="Y101:AA101"/>
    <mergeCell ref="AB101:AD101"/>
    <mergeCell ref="AE101:AK101"/>
    <mergeCell ref="AL101:AR101"/>
    <mergeCell ref="BK101:BS101"/>
    <mergeCell ref="BT101:CB101"/>
    <mergeCell ref="BK102:BS102"/>
    <mergeCell ref="BT102:CB102"/>
    <mergeCell ref="H103:R103"/>
    <mergeCell ref="S103:X103"/>
    <mergeCell ref="Y103:AA103"/>
    <mergeCell ref="AB103:AD103"/>
    <mergeCell ref="AE103:AK103"/>
    <mergeCell ref="AL103:AR103"/>
    <mergeCell ref="BK103:BS103"/>
    <mergeCell ref="BT103:CB103"/>
    <mergeCell ref="H102:R102"/>
    <mergeCell ref="S102:X102"/>
    <mergeCell ref="Y102:AA102"/>
    <mergeCell ref="AB102:AD102"/>
    <mergeCell ref="AE102:AK102"/>
    <mergeCell ref="AL102:AR102"/>
    <mergeCell ref="BK104:BS104"/>
    <mergeCell ref="BT104:CB104"/>
    <mergeCell ref="H105:R105"/>
    <mergeCell ref="S105:X105"/>
    <mergeCell ref="Y105:AA105"/>
    <mergeCell ref="AB105:AD105"/>
    <mergeCell ref="AE105:AK105"/>
    <mergeCell ref="AL105:AR105"/>
    <mergeCell ref="BK105:BS105"/>
    <mergeCell ref="BT105:CB105"/>
    <mergeCell ref="H104:R104"/>
    <mergeCell ref="S104:X104"/>
    <mergeCell ref="Y104:AA104"/>
    <mergeCell ref="AB104:AD104"/>
    <mergeCell ref="AE104:AK104"/>
    <mergeCell ref="AL104:AR104"/>
    <mergeCell ref="BK106:BS106"/>
    <mergeCell ref="BT106:CB106"/>
    <mergeCell ref="H107:R107"/>
    <mergeCell ref="S107:X107"/>
    <mergeCell ref="Y107:AA107"/>
    <mergeCell ref="AB107:AD107"/>
    <mergeCell ref="AE107:AK107"/>
    <mergeCell ref="AL107:AR107"/>
    <mergeCell ref="BK107:BS107"/>
    <mergeCell ref="BT107:CB107"/>
    <mergeCell ref="H106:R106"/>
    <mergeCell ref="S106:X106"/>
    <mergeCell ref="Y106:AA106"/>
    <mergeCell ref="AB106:AD106"/>
    <mergeCell ref="AE106:AK106"/>
    <mergeCell ref="AL106:AR106"/>
    <mergeCell ref="BK108:BS108"/>
    <mergeCell ref="BT108:CB108"/>
    <mergeCell ref="H109:R109"/>
    <mergeCell ref="S109:X109"/>
    <mergeCell ref="Y109:AA109"/>
    <mergeCell ref="AB109:AD109"/>
    <mergeCell ref="AE109:AK109"/>
    <mergeCell ref="AL109:AR109"/>
    <mergeCell ref="BK109:BS109"/>
    <mergeCell ref="BT109:CB109"/>
    <mergeCell ref="H108:R108"/>
    <mergeCell ref="S108:X108"/>
    <mergeCell ref="Y108:AA108"/>
    <mergeCell ref="AB108:AD108"/>
    <mergeCell ref="AE108:AK108"/>
    <mergeCell ref="AL108:AR108"/>
    <mergeCell ref="C111:G112"/>
    <mergeCell ref="H111:AI112"/>
    <mergeCell ref="AO111:AR111"/>
    <mergeCell ref="H116:R116"/>
    <mergeCell ref="S116:X116"/>
    <mergeCell ref="Y116:AA116"/>
    <mergeCell ref="AB116:AD116"/>
    <mergeCell ref="AE116:AK116"/>
    <mergeCell ref="AL116:AR116"/>
    <mergeCell ref="BK116:BS116"/>
    <mergeCell ref="BT116:CB116"/>
    <mergeCell ref="CC116:CT129"/>
    <mergeCell ref="H117:R117"/>
    <mergeCell ref="S117:X117"/>
    <mergeCell ref="Y117:AA117"/>
    <mergeCell ref="AB117:AD117"/>
    <mergeCell ref="AE117:AK117"/>
    <mergeCell ref="AL117:AR117"/>
    <mergeCell ref="BK117:BS117"/>
    <mergeCell ref="BT117:CB117"/>
    <mergeCell ref="H118:R118"/>
    <mergeCell ref="S118:X118"/>
    <mergeCell ref="Y118:AA118"/>
    <mergeCell ref="AB118:AD118"/>
    <mergeCell ref="AE118:AK118"/>
    <mergeCell ref="AL118:AR118"/>
    <mergeCell ref="BK118:BS118"/>
    <mergeCell ref="BT118:CB118"/>
    <mergeCell ref="BK119:BS119"/>
    <mergeCell ref="BT119:CB119"/>
    <mergeCell ref="H120:R120"/>
    <mergeCell ref="S120:X120"/>
    <mergeCell ref="Y120:AA120"/>
    <mergeCell ref="AB120:AD120"/>
    <mergeCell ref="AE120:AK120"/>
    <mergeCell ref="AL120:AR120"/>
    <mergeCell ref="BK120:BS120"/>
    <mergeCell ref="BT120:CB120"/>
    <mergeCell ref="H119:R119"/>
    <mergeCell ref="S119:X119"/>
    <mergeCell ref="Y119:AA119"/>
    <mergeCell ref="AB119:AD119"/>
    <mergeCell ref="AE119:AK119"/>
    <mergeCell ref="AL119:AR119"/>
    <mergeCell ref="BK121:BS121"/>
    <mergeCell ref="BT121:CB121"/>
    <mergeCell ref="H122:R122"/>
    <mergeCell ref="S122:X122"/>
    <mergeCell ref="Y122:AA122"/>
    <mergeCell ref="AB122:AD122"/>
    <mergeCell ref="AE122:AK122"/>
    <mergeCell ref="AL122:AR122"/>
    <mergeCell ref="BK122:BS122"/>
    <mergeCell ref="BT122:CB122"/>
    <mergeCell ref="H121:R121"/>
    <mergeCell ref="S121:X121"/>
    <mergeCell ref="Y121:AA121"/>
    <mergeCell ref="AB121:AD121"/>
    <mergeCell ref="AE121:AK121"/>
    <mergeCell ref="AL121:AR121"/>
    <mergeCell ref="BK123:BS123"/>
    <mergeCell ref="BT123:CB123"/>
    <mergeCell ref="H124:R124"/>
    <mergeCell ref="S124:X124"/>
    <mergeCell ref="Y124:AA124"/>
    <mergeCell ref="AB124:AD124"/>
    <mergeCell ref="AE124:AK124"/>
    <mergeCell ref="AL124:AR124"/>
    <mergeCell ref="BK124:BS124"/>
    <mergeCell ref="BT124:CB124"/>
    <mergeCell ref="H123:R123"/>
    <mergeCell ref="S123:X123"/>
    <mergeCell ref="Y123:AA123"/>
    <mergeCell ref="AB123:AD123"/>
    <mergeCell ref="AE123:AK123"/>
    <mergeCell ref="AL123:AR123"/>
    <mergeCell ref="BK125:BS125"/>
    <mergeCell ref="BT125:CB125"/>
    <mergeCell ref="H126:R126"/>
    <mergeCell ref="S126:X126"/>
    <mergeCell ref="Y126:AA126"/>
    <mergeCell ref="AB126:AD126"/>
    <mergeCell ref="AE126:AK126"/>
    <mergeCell ref="AL126:AR126"/>
    <mergeCell ref="BK126:BS126"/>
    <mergeCell ref="BT126:CB126"/>
    <mergeCell ref="H125:R125"/>
    <mergeCell ref="S125:X125"/>
    <mergeCell ref="Y125:AA125"/>
    <mergeCell ref="AB125:AD125"/>
    <mergeCell ref="AE125:AK125"/>
    <mergeCell ref="AL125:AR125"/>
    <mergeCell ref="C128:G129"/>
    <mergeCell ref="H128:AI129"/>
    <mergeCell ref="AO128:AR128"/>
    <mergeCell ref="H133:R133"/>
    <mergeCell ref="S133:X133"/>
    <mergeCell ref="Y133:AA133"/>
    <mergeCell ref="AB133:AD133"/>
    <mergeCell ref="AE133:AK133"/>
    <mergeCell ref="AL133:AR133"/>
    <mergeCell ref="BK133:BS133"/>
    <mergeCell ref="BT133:CB133"/>
    <mergeCell ref="CC133:CT146"/>
    <mergeCell ref="H134:R134"/>
    <mergeCell ref="S134:X134"/>
    <mergeCell ref="Y134:AA134"/>
    <mergeCell ref="AB134:AD134"/>
    <mergeCell ref="AE134:AK134"/>
    <mergeCell ref="AL134:AR134"/>
    <mergeCell ref="BK134:BS134"/>
    <mergeCell ref="BT134:CB134"/>
    <mergeCell ref="H135:R135"/>
    <mergeCell ref="S135:X135"/>
    <mergeCell ref="Y135:AA135"/>
    <mergeCell ref="AB135:AD135"/>
    <mergeCell ref="AE135:AK135"/>
    <mergeCell ref="AL135:AR135"/>
    <mergeCell ref="BK135:BS135"/>
    <mergeCell ref="BT135:CB135"/>
    <mergeCell ref="BK136:BS136"/>
    <mergeCell ref="BT136:CB136"/>
    <mergeCell ref="H137:R137"/>
    <mergeCell ref="S137:X137"/>
    <mergeCell ref="Y137:AA137"/>
    <mergeCell ref="AB137:AD137"/>
    <mergeCell ref="AE137:AK137"/>
    <mergeCell ref="AL137:AR137"/>
    <mergeCell ref="BK137:BS137"/>
    <mergeCell ref="BT137:CB137"/>
    <mergeCell ref="H136:R136"/>
    <mergeCell ref="S136:X136"/>
    <mergeCell ref="Y136:AA136"/>
    <mergeCell ref="AB136:AD136"/>
    <mergeCell ref="AE136:AK136"/>
    <mergeCell ref="AL136:AR136"/>
    <mergeCell ref="BK138:BS138"/>
    <mergeCell ref="BT138:CB138"/>
    <mergeCell ref="H139:R139"/>
    <mergeCell ref="S139:X139"/>
    <mergeCell ref="Y139:AA139"/>
    <mergeCell ref="AB139:AD139"/>
    <mergeCell ref="AE139:AK139"/>
    <mergeCell ref="AL139:AR139"/>
    <mergeCell ref="BK139:BS139"/>
    <mergeCell ref="BT139:CB139"/>
    <mergeCell ref="H138:R138"/>
    <mergeCell ref="S138:X138"/>
    <mergeCell ref="Y138:AA138"/>
    <mergeCell ref="AB138:AD138"/>
    <mergeCell ref="AE138:AK138"/>
    <mergeCell ref="AL138:AR138"/>
    <mergeCell ref="BT140:CB140"/>
    <mergeCell ref="H141:R141"/>
    <mergeCell ref="S141:X141"/>
    <mergeCell ref="Y141:AA141"/>
    <mergeCell ref="AB141:AD141"/>
    <mergeCell ref="AE141:AK141"/>
    <mergeCell ref="AL141:AR141"/>
    <mergeCell ref="BK141:BS141"/>
    <mergeCell ref="BT141:CB141"/>
    <mergeCell ref="H140:R140"/>
    <mergeCell ref="S140:X140"/>
    <mergeCell ref="Y140:AA140"/>
    <mergeCell ref="AB140:AD140"/>
    <mergeCell ref="AE140:AK140"/>
    <mergeCell ref="AL140:AR140"/>
    <mergeCell ref="H143:R143"/>
    <mergeCell ref="S143:X143"/>
    <mergeCell ref="Y143:AA143"/>
    <mergeCell ref="AB143:AD143"/>
    <mergeCell ref="AE143:AK143"/>
    <mergeCell ref="AL143:AR143"/>
    <mergeCell ref="BK143:BS143"/>
    <mergeCell ref="BT143:CB143"/>
    <mergeCell ref="H142:R142"/>
    <mergeCell ref="S142:X142"/>
    <mergeCell ref="Y142:AA142"/>
    <mergeCell ref="AB142:AD142"/>
    <mergeCell ref="AE142:AK142"/>
    <mergeCell ref="AL142:AR142"/>
    <mergeCell ref="C145:G146"/>
    <mergeCell ref="H145:AI146"/>
    <mergeCell ref="AO145:AR145"/>
    <mergeCell ref="H150:R150"/>
    <mergeCell ref="S150:X150"/>
    <mergeCell ref="Y150:AA150"/>
    <mergeCell ref="AB150:AD150"/>
    <mergeCell ref="AE150:AK150"/>
    <mergeCell ref="AL150:AR150"/>
    <mergeCell ref="H152:R152"/>
    <mergeCell ref="S152:X152"/>
    <mergeCell ref="Y152:AA152"/>
    <mergeCell ref="AB152:AD152"/>
    <mergeCell ref="AE152:AK152"/>
    <mergeCell ref="AL152:AR152"/>
    <mergeCell ref="BK152:BS152"/>
    <mergeCell ref="BT152:CB152"/>
    <mergeCell ref="BK150:BS150"/>
    <mergeCell ref="BT150:CB150"/>
    <mergeCell ref="H151:R151"/>
    <mergeCell ref="S151:X151"/>
    <mergeCell ref="Y151:AA151"/>
    <mergeCell ref="AB151:AD151"/>
    <mergeCell ref="AE151:AK151"/>
    <mergeCell ref="AL151:AR151"/>
    <mergeCell ref="BK151:BS151"/>
    <mergeCell ref="H154:R154"/>
    <mergeCell ref="S154:X154"/>
    <mergeCell ref="Y154:AA154"/>
    <mergeCell ref="AB154:AD154"/>
    <mergeCell ref="AE154:AK154"/>
    <mergeCell ref="AL154:AR154"/>
    <mergeCell ref="BK154:BS154"/>
    <mergeCell ref="BT154:CB154"/>
    <mergeCell ref="H153:R153"/>
    <mergeCell ref="S153:X153"/>
    <mergeCell ref="Y153:AA153"/>
    <mergeCell ref="AB153:AD153"/>
    <mergeCell ref="AE153:AK153"/>
    <mergeCell ref="AL153:AR153"/>
    <mergeCell ref="H156:R156"/>
    <mergeCell ref="S156:X156"/>
    <mergeCell ref="Y156:AA156"/>
    <mergeCell ref="AB156:AD156"/>
    <mergeCell ref="AE156:AK156"/>
    <mergeCell ref="AL156:AR156"/>
    <mergeCell ref="BK156:BS156"/>
    <mergeCell ref="BT156:CB156"/>
    <mergeCell ref="H155:R155"/>
    <mergeCell ref="S155:X155"/>
    <mergeCell ref="Y155:AA155"/>
    <mergeCell ref="AB155:AD155"/>
    <mergeCell ref="AE155:AK155"/>
    <mergeCell ref="AL155:AR155"/>
    <mergeCell ref="AL158:AR158"/>
    <mergeCell ref="BK158:BS158"/>
    <mergeCell ref="BT158:CB158"/>
    <mergeCell ref="H157:R157"/>
    <mergeCell ref="S157:X157"/>
    <mergeCell ref="Y157:AA157"/>
    <mergeCell ref="AB157:AD157"/>
    <mergeCell ref="AE157:AK157"/>
    <mergeCell ref="AL157:AR157"/>
    <mergeCell ref="C162:G163"/>
    <mergeCell ref="H162:AI163"/>
    <mergeCell ref="AO162:AR162"/>
    <mergeCell ref="C6:AH10"/>
    <mergeCell ref="AV16:BG17"/>
    <mergeCell ref="BG18:BH18"/>
    <mergeCell ref="BG19:BH19"/>
    <mergeCell ref="H159:R159"/>
    <mergeCell ref="S159:X159"/>
    <mergeCell ref="Y159:AA159"/>
    <mergeCell ref="H160:R160"/>
    <mergeCell ref="S160:X160"/>
    <mergeCell ref="Y160:AA160"/>
    <mergeCell ref="AB160:AD160"/>
    <mergeCell ref="AE160:AK160"/>
    <mergeCell ref="AL160:AR160"/>
    <mergeCell ref="AB159:AD159"/>
    <mergeCell ref="AE159:AK159"/>
    <mergeCell ref="AL159:AR159"/>
    <mergeCell ref="H158:R158"/>
    <mergeCell ref="S158:X158"/>
    <mergeCell ref="Y158:AA158"/>
    <mergeCell ref="AB158:AD158"/>
    <mergeCell ref="AE158:AK158"/>
    <mergeCell ref="AV28:BF28"/>
    <mergeCell ref="BG28:BH28"/>
    <mergeCell ref="CV14:DM27"/>
    <mergeCell ref="DO14:EF27"/>
    <mergeCell ref="DO31:EF44"/>
    <mergeCell ref="DO48:EF61"/>
    <mergeCell ref="AV25:BF25"/>
    <mergeCell ref="BG25:BH25"/>
    <mergeCell ref="AV26:BF26"/>
    <mergeCell ref="BG26:BH26"/>
    <mergeCell ref="AV27:BF27"/>
    <mergeCell ref="BG27:BH27"/>
    <mergeCell ref="AV22:BF22"/>
    <mergeCell ref="BG22:BH22"/>
    <mergeCell ref="AV23:BF23"/>
    <mergeCell ref="BG23:BH23"/>
    <mergeCell ref="AV24:BF24"/>
    <mergeCell ref="BG24:BH24"/>
    <mergeCell ref="AV18:BF18"/>
    <mergeCell ref="AV19:BF19"/>
    <mergeCell ref="AV20:BF20"/>
    <mergeCell ref="BG20:BH20"/>
    <mergeCell ref="AV21:BF21"/>
    <mergeCell ref="BG21:BH21"/>
    <mergeCell ref="BS27:BT27"/>
    <mergeCell ref="DO167:EF180"/>
    <mergeCell ref="EH14:EY27"/>
    <mergeCell ref="DO65:EF78"/>
    <mergeCell ref="DO82:EF95"/>
    <mergeCell ref="DO99:EF112"/>
    <mergeCell ref="DO116:EF129"/>
    <mergeCell ref="DO133:EF146"/>
    <mergeCell ref="DO150:EF163"/>
    <mergeCell ref="BK159:BS159"/>
    <mergeCell ref="BT159:CB159"/>
    <mergeCell ref="BK160:BS160"/>
    <mergeCell ref="BT160:CB160"/>
    <mergeCell ref="BK157:BS157"/>
    <mergeCell ref="BT157:CB157"/>
    <mergeCell ref="BK155:BS155"/>
    <mergeCell ref="BT155:CB155"/>
    <mergeCell ref="BK153:BS153"/>
    <mergeCell ref="BT153:CB153"/>
    <mergeCell ref="BT151:CB151"/>
    <mergeCell ref="CC150:CT163"/>
    <mergeCell ref="BK142:BS142"/>
    <mergeCell ref="BT142:CB142"/>
    <mergeCell ref="BK140:BS140"/>
    <mergeCell ref="FT99:GK112"/>
    <mergeCell ref="FT116:GK129"/>
    <mergeCell ref="FT133:GK146"/>
    <mergeCell ref="FT150:GK163"/>
    <mergeCell ref="FT167:GK180"/>
    <mergeCell ref="FA14:FR27"/>
    <mergeCell ref="FT14:GK27"/>
    <mergeCell ref="FT31:GK44"/>
    <mergeCell ref="FT48:GK61"/>
    <mergeCell ref="FT65:GK78"/>
    <mergeCell ref="FT82:GK95"/>
  </mergeCells>
  <conditionalFormatting sqref="H15:H24">
    <cfRule type="expression" dxfId="33" priority="48" stopIfTrue="1">
      <formula>IF(H14="",FALSE,TRUE)</formula>
    </cfRule>
  </conditionalFormatting>
  <conditionalFormatting sqref="S15:S24">
    <cfRule type="expression" dxfId="32" priority="47" stopIfTrue="1">
      <formula>IF(H15="",FALSE,TRUE)</formula>
    </cfRule>
  </conditionalFormatting>
  <conditionalFormatting sqref="H32:H41">
    <cfRule type="expression" dxfId="31" priority="46" stopIfTrue="1">
      <formula>IF(H31="",FALSE,TRUE)</formula>
    </cfRule>
  </conditionalFormatting>
  <conditionalFormatting sqref="S32:S41">
    <cfRule type="expression" dxfId="30" priority="45" stopIfTrue="1">
      <formula>IF(H32="",FALSE,TRUE)</formula>
    </cfRule>
  </conditionalFormatting>
  <conditionalFormatting sqref="H49:H58">
    <cfRule type="expression" dxfId="29" priority="44" stopIfTrue="1">
      <formula>IF(H48="",FALSE,TRUE)</formula>
    </cfRule>
  </conditionalFormatting>
  <conditionalFormatting sqref="S49:S58">
    <cfRule type="expression" dxfId="28" priority="43" stopIfTrue="1">
      <formula>IF(H49="",FALSE,TRUE)</formula>
    </cfRule>
  </conditionalFormatting>
  <conditionalFormatting sqref="H66:H75">
    <cfRule type="expression" dxfId="27" priority="42" stopIfTrue="1">
      <formula>IF(H65="",FALSE,TRUE)</formula>
    </cfRule>
  </conditionalFormatting>
  <conditionalFormatting sqref="S66:S75">
    <cfRule type="expression" dxfId="26" priority="41" stopIfTrue="1">
      <formula>IF(H66="",FALSE,TRUE)</formula>
    </cfRule>
  </conditionalFormatting>
  <conditionalFormatting sqref="H83:H92">
    <cfRule type="expression" dxfId="25" priority="40" stopIfTrue="1">
      <formula>IF(H82="",FALSE,TRUE)</formula>
    </cfRule>
  </conditionalFormatting>
  <conditionalFormatting sqref="S83:S92">
    <cfRule type="expression" dxfId="24" priority="39" stopIfTrue="1">
      <formula>IF(H83="",FALSE,TRUE)</formula>
    </cfRule>
  </conditionalFormatting>
  <conditionalFormatting sqref="H100:H109">
    <cfRule type="expression" dxfId="23" priority="38" stopIfTrue="1">
      <formula>IF(H99="",FALSE,TRUE)</formula>
    </cfRule>
  </conditionalFormatting>
  <conditionalFormatting sqref="S100:S109">
    <cfRule type="expression" dxfId="22" priority="37" stopIfTrue="1">
      <formula>IF(H100="",FALSE,TRUE)</formula>
    </cfRule>
  </conditionalFormatting>
  <conditionalFormatting sqref="H117:H126">
    <cfRule type="expression" dxfId="21" priority="36" stopIfTrue="1">
      <formula>IF(H116="",FALSE,TRUE)</formula>
    </cfRule>
  </conditionalFormatting>
  <conditionalFormatting sqref="S117:S126">
    <cfRule type="expression" dxfId="20" priority="35" stopIfTrue="1">
      <formula>IF(H117="",FALSE,TRUE)</formula>
    </cfRule>
  </conditionalFormatting>
  <conditionalFormatting sqref="H134:H143">
    <cfRule type="expression" dxfId="19" priority="34" stopIfTrue="1">
      <formula>IF(H133="",FALSE,TRUE)</formula>
    </cfRule>
  </conditionalFormatting>
  <conditionalFormatting sqref="S134:S143">
    <cfRule type="expression" dxfId="18" priority="33" stopIfTrue="1">
      <formula>IF(H134="",FALSE,TRUE)</formula>
    </cfRule>
  </conditionalFormatting>
  <conditionalFormatting sqref="H151:H160">
    <cfRule type="expression" dxfId="17" priority="32" stopIfTrue="1">
      <formula>IF(H150="",FALSE,TRUE)</formula>
    </cfRule>
  </conditionalFormatting>
  <conditionalFormatting sqref="S151:S160">
    <cfRule type="expression" dxfId="16" priority="31" stopIfTrue="1">
      <formula>IF(H151="",FALSE,TRUE)</formula>
    </cfRule>
  </conditionalFormatting>
  <conditionalFormatting sqref="S32:S41">
    <cfRule type="expression" dxfId="15" priority="29" stopIfTrue="1">
      <formula>IF(H32="",FALSE,TRUE)</formula>
    </cfRule>
  </conditionalFormatting>
  <conditionalFormatting sqref="S49:S58">
    <cfRule type="expression" dxfId="14" priority="27" stopIfTrue="1">
      <formula>IF(H49="",FALSE,TRUE)</formula>
    </cfRule>
  </conditionalFormatting>
  <conditionalFormatting sqref="S49:S58">
    <cfRule type="expression" dxfId="13" priority="25" stopIfTrue="1">
      <formula>IF(H49="",FALSE,TRUE)</formula>
    </cfRule>
  </conditionalFormatting>
  <conditionalFormatting sqref="S66:S75">
    <cfRule type="expression" dxfId="12" priority="23" stopIfTrue="1">
      <formula>IF(H66="",FALSE,TRUE)</formula>
    </cfRule>
  </conditionalFormatting>
  <conditionalFormatting sqref="S66:S75">
    <cfRule type="expression" dxfId="11" priority="21" stopIfTrue="1">
      <formula>IF(H66="",FALSE,TRUE)</formula>
    </cfRule>
  </conditionalFormatting>
  <conditionalFormatting sqref="S83:S92">
    <cfRule type="expression" dxfId="10" priority="19" stopIfTrue="1">
      <formula>IF(H83="",FALSE,TRUE)</formula>
    </cfRule>
  </conditionalFormatting>
  <conditionalFormatting sqref="S83:S92">
    <cfRule type="expression" dxfId="9" priority="17" stopIfTrue="1">
      <formula>IF(H83="",FALSE,TRUE)</formula>
    </cfRule>
  </conditionalFormatting>
  <conditionalFormatting sqref="S100:S109">
    <cfRule type="expression" dxfId="8" priority="15" stopIfTrue="1">
      <formula>IF(H100="",FALSE,TRUE)</formula>
    </cfRule>
  </conditionalFormatting>
  <conditionalFormatting sqref="S100:S109">
    <cfRule type="expression" dxfId="7" priority="13" stopIfTrue="1">
      <formula>IF(H100="",FALSE,TRUE)</formula>
    </cfRule>
  </conditionalFormatting>
  <conditionalFormatting sqref="S117:S126">
    <cfRule type="expression" dxfId="6" priority="11" stopIfTrue="1">
      <formula>IF(H117="",FALSE,TRUE)</formula>
    </cfRule>
  </conditionalFormatting>
  <conditionalFormatting sqref="S117:S126">
    <cfRule type="expression" dxfId="5" priority="9" stopIfTrue="1">
      <formula>IF(H117="",FALSE,TRUE)</formula>
    </cfRule>
  </conditionalFormatting>
  <conditionalFormatting sqref="S134:S143">
    <cfRule type="expression" dxfId="4" priority="7" stopIfTrue="1">
      <formula>IF(H134="",FALSE,TRUE)</formula>
    </cfRule>
  </conditionalFormatting>
  <conditionalFormatting sqref="S134:S143">
    <cfRule type="expression" dxfId="3" priority="5" stopIfTrue="1">
      <formula>IF(H134="",FALSE,TRUE)</formula>
    </cfRule>
  </conditionalFormatting>
  <conditionalFormatting sqref="S151:S160">
    <cfRule type="expression" dxfId="2" priority="3" stopIfTrue="1">
      <formula>IF(H151="",FALSE,TRUE)</formula>
    </cfRule>
  </conditionalFormatting>
  <conditionalFormatting sqref="S151:S160">
    <cfRule type="expression" dxfId="1" priority="1" stopIfTrue="1">
      <formula>IF(H151="",FALSE,TRUE)</formula>
    </cfRule>
  </conditionalFormatting>
  <dataValidations count="2">
    <dataValidation type="list" allowBlank="1" showInputMessage="1" showErrorMessage="1" sqref="S134:S143 S117:S126 S100:S109 S83:S92 S66:S75 S49:S58 S32:S41 S15:S24 S151:S160">
      <formula1>"Normal,Alternate,Dynamic,None"</formula1>
    </dataValidation>
    <dataValidation type="list" allowBlank="1" showInputMessage="1" showErrorMessage="1" sqref="H134:H143 H15:H24 H32:H41 H49:H58 H66:H75 H83:H92 H100:H109 H117:H126 H151:H160">
      <formula1>EqCompIndex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earEquipment">
                <anchor moveWithCells="1" sizeWithCells="1">
                  <from>
                    <xdr:col>49</xdr:col>
                    <xdr:colOff>114300</xdr:colOff>
                    <xdr:row>0</xdr:row>
                    <xdr:rowOff>160020</xdr:rowOff>
                  </from>
                  <to>
                    <xdr:col>56</xdr:col>
                    <xdr:colOff>22860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249977111117893"/>
  </sheetPr>
  <dimension ref="B1:AI38"/>
  <sheetViews>
    <sheetView showGridLines="0" zoomScaleNormal="100" workbookViewId="0"/>
  </sheetViews>
  <sheetFormatPr defaultColWidth="2.6640625" defaultRowHeight="13.5" customHeight="1"/>
  <cols>
    <col min="1" max="16384" width="2.6640625" style="12"/>
  </cols>
  <sheetData>
    <row r="1" spans="2:35" ht="13.5" customHeight="1" thickBot="1"/>
    <row r="2" spans="2:3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row>
    <row r="3" spans="2:35" ht="13.5" customHeight="1">
      <c r="B3" s="18"/>
      <c r="C3" s="224" t="s">
        <v>862</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row>
    <row r="4" spans="2:3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row>
    <row r="5" spans="2:35"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row>
    <row r="6" spans="2:35" ht="13.5" customHeight="1">
      <c r="B6" s="18"/>
      <c r="C6" s="375" t="s">
        <v>863</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row>
    <row r="7" spans="2:35"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row>
    <row r="8" spans="2:35"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row>
    <row r="9" spans="2:35"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row>
    <row r="10" spans="2:35"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row>
    <row r="11" spans="2:35"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row>
    <row r="12" spans="2:35"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row>
    <row r="13" spans="2:35"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row>
    <row r="14" spans="2:35"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row>
    <row r="15" spans="2:35"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row>
    <row r="16" spans="2:35" ht="13.5" customHeight="1">
      <c r="B16" s="18"/>
      <c r="C16" s="380"/>
      <c r="D16" s="381"/>
      <c r="E16" s="381"/>
      <c r="F16" s="381"/>
      <c r="G16" s="381"/>
      <c r="H16" s="381"/>
      <c r="I16" s="381"/>
      <c r="J16" s="381"/>
      <c r="K16" s="381"/>
      <c r="L16" s="381"/>
      <c r="M16" s="381"/>
      <c r="N16" s="381"/>
      <c r="O16" s="381"/>
      <c r="P16" s="381"/>
      <c r="Q16" s="381"/>
      <c r="R16" s="381"/>
      <c r="S16" s="381"/>
      <c r="T16" s="381"/>
      <c r="U16" s="381"/>
      <c r="V16" s="381"/>
      <c r="W16" s="381"/>
      <c r="X16" s="381"/>
      <c r="Y16" s="381"/>
      <c r="Z16" s="381"/>
      <c r="AA16" s="381"/>
      <c r="AB16" s="381"/>
      <c r="AC16" s="381"/>
      <c r="AD16" s="381"/>
      <c r="AE16" s="381"/>
      <c r="AF16" s="381"/>
      <c r="AG16" s="381"/>
      <c r="AH16" s="382"/>
      <c r="AI16" s="20"/>
    </row>
    <row r="17" spans="2:35" ht="13.5" customHeight="1" thickBot="1">
      <c r="B17" s="21"/>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3"/>
    </row>
    <row r="18" spans="2:35" ht="13.5" customHeight="1" thickBot="1">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row>
    <row r="19" spans="2:35" ht="13.5" customHeight="1" thickBot="1">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7"/>
    </row>
    <row r="20" spans="2:35" ht="13.5" customHeight="1" thickBot="1">
      <c r="B20" s="18"/>
      <c r="C20" s="19" t="s">
        <v>864</v>
      </c>
      <c r="D20" s="19"/>
      <c r="E20" s="19"/>
      <c r="F20" s="19"/>
      <c r="G20" s="19"/>
      <c r="H20" s="19"/>
      <c r="I20" s="275"/>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7"/>
      <c r="AG20" s="19"/>
      <c r="AH20" s="19"/>
      <c r="AI20" s="20"/>
    </row>
    <row r="21" spans="2:35" ht="13.5" customHeight="1">
      <c r="B21" s="18"/>
      <c r="C21" s="19" t="s">
        <v>865</v>
      </c>
      <c r="D21" s="19"/>
      <c r="E21" s="19"/>
      <c r="F21" s="19"/>
      <c r="G21" s="19"/>
      <c r="H21" s="19"/>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19"/>
      <c r="AH21" s="19"/>
      <c r="AI21" s="20"/>
    </row>
    <row r="22" spans="2:35" ht="13.5" customHeight="1">
      <c r="B22" s="18"/>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20"/>
    </row>
    <row r="23" spans="2:35" ht="13.5" customHeight="1">
      <c r="B23" s="18"/>
      <c r="C23" s="375" t="str">
        <f>IF(I20="","",VLOOKUP(I20,PowerExamplesMatrix,13))</f>
        <v/>
      </c>
      <c r="D23" s="376"/>
      <c r="E23" s="376"/>
      <c r="F23" s="376"/>
      <c r="G23" s="376"/>
      <c r="H23" s="376"/>
      <c r="I23" s="376"/>
      <c r="J23" s="376"/>
      <c r="K23" s="376"/>
      <c r="L23" s="376"/>
      <c r="M23" s="376"/>
      <c r="N23" s="376"/>
      <c r="O23" s="376"/>
      <c r="P23" s="376"/>
      <c r="Q23" s="376"/>
      <c r="R23" s="376"/>
      <c r="S23" s="376"/>
      <c r="T23" s="376"/>
      <c r="U23" s="376"/>
      <c r="V23" s="376"/>
      <c r="W23" s="376"/>
      <c r="X23" s="376"/>
      <c r="Y23" s="376"/>
      <c r="Z23" s="376"/>
      <c r="AA23" s="376"/>
      <c r="AB23" s="376"/>
      <c r="AC23" s="376"/>
      <c r="AD23" s="376"/>
      <c r="AE23" s="376"/>
      <c r="AF23" s="376"/>
      <c r="AG23" s="376"/>
      <c r="AH23" s="377"/>
      <c r="AI23" s="20"/>
    </row>
    <row r="24" spans="2:35" ht="13.5" customHeight="1">
      <c r="B24" s="18"/>
      <c r="C24" s="378"/>
      <c r="D24" s="364"/>
      <c r="E24" s="364"/>
      <c r="F24" s="364"/>
      <c r="G24" s="364"/>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79"/>
      <c r="AI24" s="20"/>
    </row>
    <row r="25" spans="2:35" ht="13.5" customHeight="1">
      <c r="B25" s="18"/>
      <c r="C25" s="378"/>
      <c r="D25" s="364"/>
      <c r="E25" s="364"/>
      <c r="F25" s="364"/>
      <c r="G25" s="364"/>
      <c r="H25" s="364"/>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79"/>
      <c r="AI25" s="20"/>
    </row>
    <row r="26" spans="2:35" ht="13.5" customHeight="1">
      <c r="B26" s="18"/>
      <c r="C26" s="378"/>
      <c r="D26" s="364"/>
      <c r="E26" s="364"/>
      <c r="F26" s="364"/>
      <c r="G26" s="364"/>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79"/>
      <c r="AI26" s="20"/>
    </row>
    <row r="27" spans="2:35" ht="13.5" customHeight="1">
      <c r="B27" s="18"/>
      <c r="C27" s="378"/>
      <c r="D27" s="364"/>
      <c r="E27" s="364"/>
      <c r="F27" s="364"/>
      <c r="G27" s="364"/>
      <c r="H27" s="364"/>
      <c r="I27" s="364"/>
      <c r="J27" s="364"/>
      <c r="K27" s="364"/>
      <c r="L27" s="364"/>
      <c r="M27" s="364"/>
      <c r="N27" s="364"/>
      <c r="O27" s="364"/>
      <c r="P27" s="364"/>
      <c r="Q27" s="364"/>
      <c r="R27" s="364"/>
      <c r="S27" s="364"/>
      <c r="T27" s="364"/>
      <c r="U27" s="364"/>
      <c r="V27" s="364"/>
      <c r="W27" s="364"/>
      <c r="X27" s="364"/>
      <c r="Y27" s="364"/>
      <c r="Z27" s="364"/>
      <c r="AA27" s="364"/>
      <c r="AB27" s="364"/>
      <c r="AC27" s="364"/>
      <c r="AD27" s="364"/>
      <c r="AE27" s="364"/>
      <c r="AF27" s="364"/>
      <c r="AG27" s="364"/>
      <c r="AH27" s="379"/>
      <c r="AI27" s="20"/>
    </row>
    <row r="28" spans="2:35" ht="13.5" customHeight="1">
      <c r="B28" s="18"/>
      <c r="C28" s="378"/>
      <c r="D28" s="364"/>
      <c r="E28" s="364"/>
      <c r="F28" s="364"/>
      <c r="G28" s="364"/>
      <c r="H28" s="364"/>
      <c r="I28" s="364"/>
      <c r="J28" s="364"/>
      <c r="K28" s="364"/>
      <c r="L28" s="364"/>
      <c r="M28" s="364"/>
      <c r="N28" s="364"/>
      <c r="O28" s="364"/>
      <c r="P28" s="364"/>
      <c r="Q28" s="364"/>
      <c r="R28" s="364"/>
      <c r="S28" s="364"/>
      <c r="T28" s="364"/>
      <c r="U28" s="364"/>
      <c r="V28" s="364"/>
      <c r="W28" s="364"/>
      <c r="X28" s="364"/>
      <c r="Y28" s="364"/>
      <c r="Z28" s="364"/>
      <c r="AA28" s="364"/>
      <c r="AB28" s="364"/>
      <c r="AC28" s="364"/>
      <c r="AD28" s="364"/>
      <c r="AE28" s="364"/>
      <c r="AF28" s="364"/>
      <c r="AG28" s="364"/>
      <c r="AH28" s="379"/>
      <c r="AI28" s="20"/>
    </row>
    <row r="29" spans="2:35" ht="13.5" customHeight="1">
      <c r="B29" s="18"/>
      <c r="C29" s="378"/>
      <c r="D29" s="364"/>
      <c r="E29" s="364"/>
      <c r="F29" s="364"/>
      <c r="G29" s="364"/>
      <c r="H29" s="364"/>
      <c r="I29" s="364"/>
      <c r="J29" s="364"/>
      <c r="K29" s="364"/>
      <c r="L29" s="364"/>
      <c r="M29" s="364"/>
      <c r="N29" s="364"/>
      <c r="O29" s="364"/>
      <c r="P29" s="364"/>
      <c r="Q29" s="364"/>
      <c r="R29" s="364"/>
      <c r="S29" s="364"/>
      <c r="T29" s="364"/>
      <c r="U29" s="364"/>
      <c r="V29" s="364"/>
      <c r="W29" s="364"/>
      <c r="X29" s="364"/>
      <c r="Y29" s="364"/>
      <c r="Z29" s="364"/>
      <c r="AA29" s="364"/>
      <c r="AB29" s="364"/>
      <c r="AC29" s="364"/>
      <c r="AD29" s="364"/>
      <c r="AE29" s="364"/>
      <c r="AF29" s="364"/>
      <c r="AG29" s="364"/>
      <c r="AH29" s="379"/>
      <c r="AI29" s="20"/>
    </row>
    <row r="30" spans="2:35" ht="13.5" customHeight="1">
      <c r="B30" s="18"/>
      <c r="C30" s="378"/>
      <c r="D30" s="364"/>
      <c r="E30" s="364"/>
      <c r="F30" s="364"/>
      <c r="G30" s="364"/>
      <c r="H30" s="364"/>
      <c r="I30" s="364"/>
      <c r="J30" s="364"/>
      <c r="K30" s="364"/>
      <c r="L30" s="364"/>
      <c r="M30" s="364"/>
      <c r="N30" s="364"/>
      <c r="O30" s="364"/>
      <c r="P30" s="364"/>
      <c r="Q30" s="364"/>
      <c r="R30" s="364"/>
      <c r="S30" s="364"/>
      <c r="T30" s="364"/>
      <c r="U30" s="364"/>
      <c r="V30" s="364"/>
      <c r="W30" s="364"/>
      <c r="X30" s="364"/>
      <c r="Y30" s="364"/>
      <c r="Z30" s="364"/>
      <c r="AA30" s="364"/>
      <c r="AB30" s="364"/>
      <c r="AC30" s="364"/>
      <c r="AD30" s="364"/>
      <c r="AE30" s="364"/>
      <c r="AF30" s="364"/>
      <c r="AG30" s="364"/>
      <c r="AH30" s="379"/>
      <c r="AI30" s="20"/>
    </row>
    <row r="31" spans="2:35" ht="13.5" customHeight="1">
      <c r="B31" s="18"/>
      <c r="C31" s="378"/>
      <c r="D31" s="364"/>
      <c r="E31" s="364"/>
      <c r="F31" s="364"/>
      <c r="G31" s="364"/>
      <c r="H31" s="364"/>
      <c r="I31" s="364"/>
      <c r="J31" s="364"/>
      <c r="K31" s="364"/>
      <c r="L31" s="364"/>
      <c r="M31" s="364"/>
      <c r="N31" s="364"/>
      <c r="O31" s="364"/>
      <c r="P31" s="364"/>
      <c r="Q31" s="364"/>
      <c r="R31" s="364"/>
      <c r="S31" s="364"/>
      <c r="T31" s="364"/>
      <c r="U31" s="364"/>
      <c r="V31" s="364"/>
      <c r="W31" s="364"/>
      <c r="X31" s="364"/>
      <c r="Y31" s="364"/>
      <c r="Z31" s="364"/>
      <c r="AA31" s="364"/>
      <c r="AB31" s="364"/>
      <c r="AC31" s="364"/>
      <c r="AD31" s="364"/>
      <c r="AE31" s="364"/>
      <c r="AF31" s="364"/>
      <c r="AG31" s="364"/>
      <c r="AH31" s="379"/>
      <c r="AI31" s="20"/>
    </row>
    <row r="32" spans="2:35" ht="13.5" customHeight="1">
      <c r="B32" s="18"/>
      <c r="C32" s="378"/>
      <c r="D32" s="364"/>
      <c r="E32" s="364"/>
      <c r="F32" s="364"/>
      <c r="G32" s="364"/>
      <c r="H32" s="364"/>
      <c r="I32" s="364"/>
      <c r="J32" s="364"/>
      <c r="K32" s="364"/>
      <c r="L32" s="364"/>
      <c r="M32" s="364"/>
      <c r="N32" s="364"/>
      <c r="O32" s="364"/>
      <c r="P32" s="364"/>
      <c r="Q32" s="364"/>
      <c r="R32" s="364"/>
      <c r="S32" s="364"/>
      <c r="T32" s="364"/>
      <c r="U32" s="364"/>
      <c r="V32" s="364"/>
      <c r="W32" s="364"/>
      <c r="X32" s="364"/>
      <c r="Y32" s="364"/>
      <c r="Z32" s="364"/>
      <c r="AA32" s="364"/>
      <c r="AB32" s="364"/>
      <c r="AC32" s="364"/>
      <c r="AD32" s="364"/>
      <c r="AE32" s="364"/>
      <c r="AF32" s="364"/>
      <c r="AG32" s="364"/>
      <c r="AH32" s="379"/>
      <c r="AI32" s="20"/>
    </row>
    <row r="33" spans="2:35" ht="13.5" customHeight="1">
      <c r="B33" s="18"/>
      <c r="C33" s="378"/>
      <c r="D33" s="364"/>
      <c r="E33" s="364"/>
      <c r="F33" s="364"/>
      <c r="G33" s="364"/>
      <c r="H33" s="364"/>
      <c r="I33" s="364"/>
      <c r="J33" s="364"/>
      <c r="K33" s="364"/>
      <c r="L33" s="364"/>
      <c r="M33" s="364"/>
      <c r="N33" s="364"/>
      <c r="O33" s="364"/>
      <c r="P33" s="364"/>
      <c r="Q33" s="364"/>
      <c r="R33" s="364"/>
      <c r="S33" s="364"/>
      <c r="T33" s="364"/>
      <c r="U33" s="364"/>
      <c r="V33" s="364"/>
      <c r="W33" s="364"/>
      <c r="X33" s="364"/>
      <c r="Y33" s="364"/>
      <c r="Z33" s="364"/>
      <c r="AA33" s="364"/>
      <c r="AB33" s="364"/>
      <c r="AC33" s="364"/>
      <c r="AD33" s="364"/>
      <c r="AE33" s="364"/>
      <c r="AF33" s="364"/>
      <c r="AG33" s="364"/>
      <c r="AH33" s="379"/>
      <c r="AI33" s="20"/>
    </row>
    <row r="34" spans="2:35" ht="13.5" customHeight="1">
      <c r="B34" s="18"/>
      <c r="C34" s="378"/>
      <c r="D34" s="364"/>
      <c r="E34" s="364"/>
      <c r="F34" s="364"/>
      <c r="G34" s="364"/>
      <c r="H34" s="364"/>
      <c r="I34" s="364"/>
      <c r="J34" s="364"/>
      <c r="K34" s="364"/>
      <c r="L34" s="364"/>
      <c r="M34" s="364"/>
      <c r="N34" s="364"/>
      <c r="O34" s="364"/>
      <c r="P34" s="364"/>
      <c r="Q34" s="364"/>
      <c r="R34" s="364"/>
      <c r="S34" s="364"/>
      <c r="T34" s="364"/>
      <c r="U34" s="364"/>
      <c r="V34" s="364"/>
      <c r="W34" s="364"/>
      <c r="X34" s="364"/>
      <c r="Y34" s="364"/>
      <c r="Z34" s="364"/>
      <c r="AA34" s="364"/>
      <c r="AB34" s="364"/>
      <c r="AC34" s="364"/>
      <c r="AD34" s="364"/>
      <c r="AE34" s="364"/>
      <c r="AF34" s="364"/>
      <c r="AG34" s="364"/>
      <c r="AH34" s="379"/>
      <c r="AI34" s="20"/>
    </row>
    <row r="35" spans="2:35" ht="13.5" customHeight="1">
      <c r="B35" s="18"/>
      <c r="C35" s="378"/>
      <c r="D35" s="364"/>
      <c r="E35" s="364"/>
      <c r="F35" s="364"/>
      <c r="G35" s="364"/>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79"/>
      <c r="AI35" s="20"/>
    </row>
    <row r="36" spans="2:35" ht="13.5" customHeight="1">
      <c r="B36" s="18"/>
      <c r="C36" s="378"/>
      <c r="D36" s="364"/>
      <c r="E36" s="364"/>
      <c r="F36" s="364"/>
      <c r="G36" s="364"/>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79"/>
      <c r="AI36" s="20"/>
    </row>
    <row r="37" spans="2:35" ht="13.5" customHeight="1">
      <c r="B37" s="18"/>
      <c r="C37" s="380"/>
      <c r="D37" s="381"/>
      <c r="E37" s="381"/>
      <c r="F37" s="381"/>
      <c r="G37" s="381"/>
      <c r="H37" s="381"/>
      <c r="I37" s="381"/>
      <c r="J37" s="381"/>
      <c r="K37" s="381"/>
      <c r="L37" s="381"/>
      <c r="M37" s="381"/>
      <c r="N37" s="381"/>
      <c r="O37" s="381"/>
      <c r="P37" s="381"/>
      <c r="Q37" s="381"/>
      <c r="R37" s="381"/>
      <c r="S37" s="381"/>
      <c r="T37" s="381"/>
      <c r="U37" s="381"/>
      <c r="V37" s="381"/>
      <c r="W37" s="381"/>
      <c r="X37" s="381"/>
      <c r="Y37" s="381"/>
      <c r="Z37" s="381"/>
      <c r="AA37" s="381"/>
      <c r="AB37" s="381"/>
      <c r="AC37" s="381"/>
      <c r="AD37" s="381"/>
      <c r="AE37" s="381"/>
      <c r="AF37" s="381"/>
      <c r="AG37" s="381"/>
      <c r="AH37" s="382"/>
      <c r="AI37" s="20"/>
    </row>
    <row r="38" spans="2:35"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3"/>
    </row>
  </sheetData>
  <mergeCells count="4">
    <mergeCell ref="C3:M4"/>
    <mergeCell ref="C6:AH16"/>
    <mergeCell ref="I20:AF20"/>
    <mergeCell ref="C23:AH37"/>
  </mergeCells>
  <dataValidations count="1">
    <dataValidation type="list" allowBlank="1" showInputMessage="1" showErrorMessage="1" sqref="I20:AF20">
      <formula1>PowerExamplesList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1:CC27"/>
  <sheetViews>
    <sheetView showGridLines="0" zoomScaleNormal="100" workbookViewId="0"/>
  </sheetViews>
  <sheetFormatPr defaultColWidth="2.6640625" defaultRowHeight="13.5" customHeight="1"/>
  <cols>
    <col min="1" max="16384" width="2.6640625" style="12"/>
  </cols>
  <sheetData>
    <row r="1" spans="2:81" ht="13.5" customHeight="1" thickBot="1"/>
    <row r="2" spans="2:81"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7"/>
    </row>
    <row r="3" spans="2:81" ht="13.5" customHeight="1">
      <c r="B3" s="18"/>
      <c r="C3" s="224" t="s">
        <v>618</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20"/>
    </row>
    <row r="4" spans="2:81"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20"/>
    </row>
    <row r="5" spans="2:81"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20"/>
      <c r="BD5" s="12" t="s">
        <v>790</v>
      </c>
    </row>
    <row r="6" spans="2:81" ht="13.5" customHeight="1" thickBot="1">
      <c r="B6" s="18"/>
      <c r="C6" s="294"/>
      <c r="D6" s="295"/>
      <c r="E6" s="295"/>
      <c r="F6" s="295"/>
      <c r="G6" s="295"/>
      <c r="H6" s="295"/>
      <c r="I6" s="295"/>
      <c r="J6" s="295"/>
      <c r="K6" s="295"/>
      <c r="L6" s="295"/>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6"/>
      <c r="AT6" s="20"/>
      <c r="BD6" s="346" t="str">
        <f>IF(C6="","",C6)&amp;IF(C7="","",CHAR(10)&amp;C7)&amp;IF(C8="","",CHAR(10)&amp;C8)&amp;IF(C9="","",CHAR(10)&amp;C9)&amp;IF(C10="","",CHAR(10)&amp;C10)&amp;IF(C11="","",CHAR(10)&amp;C11)</f>
        <v/>
      </c>
      <c r="BE6" s="347"/>
      <c r="BF6" s="347"/>
      <c r="BG6" s="347"/>
      <c r="BH6" s="347"/>
      <c r="BI6" s="347"/>
      <c r="BJ6" s="347"/>
      <c r="BK6" s="347"/>
      <c r="BL6" s="347"/>
      <c r="BM6" s="347"/>
      <c r="BN6" s="347"/>
      <c r="BO6" s="347"/>
      <c r="BP6" s="347"/>
      <c r="BQ6" s="347"/>
      <c r="BR6" s="347"/>
      <c r="BS6" s="347"/>
      <c r="BT6" s="347"/>
      <c r="BU6" s="347"/>
      <c r="BV6" s="347"/>
      <c r="BW6" s="347"/>
      <c r="BX6" s="347"/>
      <c r="BY6" s="347"/>
      <c r="BZ6" s="347"/>
      <c r="CA6" s="347"/>
      <c r="CB6" s="347"/>
      <c r="CC6" s="348"/>
    </row>
    <row r="7" spans="2:81" ht="13.5" customHeight="1" thickBot="1">
      <c r="B7" s="18"/>
      <c r="C7" s="294"/>
      <c r="D7" s="295"/>
      <c r="E7" s="295"/>
      <c r="F7" s="295"/>
      <c r="G7" s="295"/>
      <c r="H7" s="295"/>
      <c r="I7" s="295"/>
      <c r="J7" s="295"/>
      <c r="K7" s="295"/>
      <c r="L7" s="295"/>
      <c r="M7" s="295"/>
      <c r="N7" s="295"/>
      <c r="O7" s="295"/>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6"/>
      <c r="AT7" s="20"/>
      <c r="BD7" s="349"/>
      <c r="BE7" s="334"/>
      <c r="BF7" s="334"/>
      <c r="BG7" s="334"/>
      <c r="BH7" s="334"/>
      <c r="BI7" s="334"/>
      <c r="BJ7" s="334"/>
      <c r="BK7" s="334"/>
      <c r="BL7" s="334"/>
      <c r="BM7" s="334"/>
      <c r="BN7" s="334"/>
      <c r="BO7" s="334"/>
      <c r="BP7" s="334"/>
      <c r="BQ7" s="334"/>
      <c r="BR7" s="334"/>
      <c r="BS7" s="334"/>
      <c r="BT7" s="334"/>
      <c r="BU7" s="334"/>
      <c r="BV7" s="334"/>
      <c r="BW7" s="334"/>
      <c r="BX7" s="334"/>
      <c r="BY7" s="334"/>
      <c r="BZ7" s="334"/>
      <c r="CA7" s="334"/>
      <c r="CB7" s="334"/>
      <c r="CC7" s="350"/>
    </row>
    <row r="8" spans="2:81" ht="13.5" customHeight="1" thickBot="1">
      <c r="B8" s="18"/>
      <c r="C8" s="294"/>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6"/>
      <c r="AT8" s="20"/>
      <c r="BD8" s="349"/>
      <c r="BE8" s="334"/>
      <c r="BF8" s="334"/>
      <c r="BG8" s="334"/>
      <c r="BH8" s="334"/>
      <c r="BI8" s="334"/>
      <c r="BJ8" s="334"/>
      <c r="BK8" s="334"/>
      <c r="BL8" s="334"/>
      <c r="BM8" s="334"/>
      <c r="BN8" s="334"/>
      <c r="BO8" s="334"/>
      <c r="BP8" s="334"/>
      <c r="BQ8" s="334"/>
      <c r="BR8" s="334"/>
      <c r="BS8" s="334"/>
      <c r="BT8" s="334"/>
      <c r="BU8" s="334"/>
      <c r="BV8" s="334"/>
      <c r="BW8" s="334"/>
      <c r="BX8" s="334"/>
      <c r="BY8" s="334"/>
      <c r="BZ8" s="334"/>
      <c r="CA8" s="334"/>
      <c r="CB8" s="334"/>
      <c r="CC8" s="350"/>
    </row>
    <row r="9" spans="2:81" ht="13.5" customHeight="1" thickBot="1">
      <c r="B9" s="18"/>
      <c r="C9" s="294"/>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6"/>
      <c r="AT9" s="20"/>
      <c r="BD9" s="349"/>
      <c r="BE9" s="334"/>
      <c r="BF9" s="334"/>
      <c r="BG9" s="334"/>
      <c r="BH9" s="334"/>
      <c r="BI9" s="334"/>
      <c r="BJ9" s="334"/>
      <c r="BK9" s="334"/>
      <c r="BL9" s="334"/>
      <c r="BM9" s="334"/>
      <c r="BN9" s="334"/>
      <c r="BO9" s="334"/>
      <c r="BP9" s="334"/>
      <c r="BQ9" s="334"/>
      <c r="BR9" s="334"/>
      <c r="BS9" s="334"/>
      <c r="BT9" s="334"/>
      <c r="BU9" s="334"/>
      <c r="BV9" s="334"/>
      <c r="BW9" s="334"/>
      <c r="BX9" s="334"/>
      <c r="BY9" s="334"/>
      <c r="BZ9" s="334"/>
      <c r="CA9" s="334"/>
      <c r="CB9" s="334"/>
      <c r="CC9" s="350"/>
    </row>
    <row r="10" spans="2:81" ht="13.5" customHeight="1" thickBot="1">
      <c r="B10" s="18"/>
      <c r="C10" s="294"/>
      <c r="D10" s="295"/>
      <c r="E10" s="295"/>
      <c r="F10" s="295"/>
      <c r="G10" s="295"/>
      <c r="H10" s="295"/>
      <c r="I10" s="295"/>
      <c r="J10" s="295"/>
      <c r="K10" s="295"/>
      <c r="L10" s="295"/>
      <c r="M10" s="295"/>
      <c r="N10" s="295"/>
      <c r="O10" s="295"/>
      <c r="P10" s="295"/>
      <c r="Q10" s="295"/>
      <c r="R10" s="295"/>
      <c r="S10" s="295"/>
      <c r="T10" s="295"/>
      <c r="U10" s="295"/>
      <c r="V10" s="295"/>
      <c r="W10" s="295"/>
      <c r="X10" s="295"/>
      <c r="Y10" s="295"/>
      <c r="Z10" s="295"/>
      <c r="AA10" s="295"/>
      <c r="AB10" s="295"/>
      <c r="AC10" s="295"/>
      <c r="AD10" s="295"/>
      <c r="AE10" s="295"/>
      <c r="AF10" s="295"/>
      <c r="AG10" s="295"/>
      <c r="AH10" s="295"/>
      <c r="AI10" s="295"/>
      <c r="AJ10" s="295"/>
      <c r="AK10" s="295"/>
      <c r="AL10" s="295"/>
      <c r="AM10" s="295"/>
      <c r="AN10" s="295"/>
      <c r="AO10" s="295"/>
      <c r="AP10" s="295"/>
      <c r="AQ10" s="295"/>
      <c r="AR10" s="295"/>
      <c r="AS10" s="296"/>
      <c r="AT10" s="20"/>
      <c r="BD10" s="349"/>
      <c r="BE10" s="334"/>
      <c r="BF10" s="334"/>
      <c r="BG10" s="334"/>
      <c r="BH10" s="334"/>
      <c r="BI10" s="334"/>
      <c r="BJ10" s="334"/>
      <c r="BK10" s="334"/>
      <c r="BL10" s="334"/>
      <c r="BM10" s="334"/>
      <c r="BN10" s="334"/>
      <c r="BO10" s="334"/>
      <c r="BP10" s="334"/>
      <c r="BQ10" s="334"/>
      <c r="BR10" s="334"/>
      <c r="BS10" s="334"/>
      <c r="BT10" s="334"/>
      <c r="BU10" s="334"/>
      <c r="BV10" s="334"/>
      <c r="BW10" s="334"/>
      <c r="BX10" s="334"/>
      <c r="BY10" s="334"/>
      <c r="BZ10" s="334"/>
      <c r="CA10" s="334"/>
      <c r="CB10" s="334"/>
      <c r="CC10" s="350"/>
    </row>
    <row r="11" spans="2:81" ht="13.5" customHeight="1" thickBot="1">
      <c r="B11" s="18"/>
      <c r="C11" s="294"/>
      <c r="D11" s="295"/>
      <c r="E11" s="295"/>
      <c r="F11" s="295"/>
      <c r="G11" s="295"/>
      <c r="H11" s="295"/>
      <c r="I11" s="295"/>
      <c r="J11" s="295"/>
      <c r="K11" s="295"/>
      <c r="L11" s="295"/>
      <c r="M11" s="295"/>
      <c r="N11" s="295"/>
      <c r="O11" s="295"/>
      <c r="P11" s="295"/>
      <c r="Q11" s="295"/>
      <c r="R11" s="295"/>
      <c r="S11" s="295"/>
      <c r="T11" s="295"/>
      <c r="U11" s="295"/>
      <c r="V11" s="295"/>
      <c r="W11" s="295"/>
      <c r="X11" s="295"/>
      <c r="Y11" s="295"/>
      <c r="Z11" s="295"/>
      <c r="AA11" s="295"/>
      <c r="AB11" s="295"/>
      <c r="AC11" s="295"/>
      <c r="AD11" s="295"/>
      <c r="AE11" s="295"/>
      <c r="AF11" s="295"/>
      <c r="AG11" s="295"/>
      <c r="AH11" s="295"/>
      <c r="AI11" s="295"/>
      <c r="AJ11" s="295"/>
      <c r="AK11" s="295"/>
      <c r="AL11" s="295"/>
      <c r="AM11" s="295"/>
      <c r="AN11" s="295"/>
      <c r="AO11" s="295"/>
      <c r="AP11" s="295"/>
      <c r="AQ11" s="295"/>
      <c r="AR11" s="295"/>
      <c r="AS11" s="296"/>
      <c r="AT11" s="20"/>
      <c r="BD11" s="351"/>
      <c r="BE11" s="352"/>
      <c r="BF11" s="352"/>
      <c r="BG11" s="352"/>
      <c r="BH11" s="352"/>
      <c r="BI11" s="352"/>
      <c r="BJ11" s="352"/>
      <c r="BK11" s="352"/>
      <c r="BL11" s="352"/>
      <c r="BM11" s="352"/>
      <c r="BN11" s="352"/>
      <c r="BO11" s="352"/>
      <c r="BP11" s="352"/>
      <c r="BQ11" s="352"/>
      <c r="BR11" s="352"/>
      <c r="BS11" s="352"/>
      <c r="BT11" s="352"/>
      <c r="BU11" s="352"/>
      <c r="BV11" s="352"/>
      <c r="BW11" s="352"/>
      <c r="BX11" s="352"/>
      <c r="BY11" s="352"/>
      <c r="BZ11" s="352"/>
      <c r="CA11" s="352"/>
      <c r="CB11" s="352"/>
      <c r="CC11" s="353"/>
    </row>
    <row r="12" spans="2:81" ht="13.5" customHeight="1" thickBot="1">
      <c r="B12" s="21"/>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3"/>
    </row>
    <row r="14" spans="2:81" ht="13.5" customHeight="1" thickBot="1"/>
    <row r="15" spans="2:81" ht="13.5" customHeight="1">
      <c r="B15" s="15"/>
      <c r="C15" s="427" t="s">
        <v>802</v>
      </c>
      <c r="D15" s="427"/>
      <c r="E15" s="427"/>
      <c r="F15" s="427"/>
      <c r="G15" s="427"/>
      <c r="H15" s="427"/>
      <c r="I15" s="427"/>
      <c r="J15" s="427"/>
      <c r="K15" s="427"/>
      <c r="L15" s="427"/>
      <c r="M15" s="427"/>
      <c r="N15" s="16"/>
      <c r="O15" s="437" t="s">
        <v>803</v>
      </c>
      <c r="P15" s="437"/>
      <c r="Q15" s="437"/>
      <c r="R15" s="437"/>
      <c r="S15" s="437"/>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17"/>
    </row>
    <row r="16" spans="2:81" ht="13.5" customHeight="1" thickBot="1">
      <c r="B16" s="18"/>
      <c r="C16" s="224"/>
      <c r="D16" s="224"/>
      <c r="E16" s="224"/>
      <c r="F16" s="224"/>
      <c r="G16" s="224"/>
      <c r="H16" s="224"/>
      <c r="I16" s="224"/>
      <c r="J16" s="224"/>
      <c r="K16" s="224"/>
      <c r="L16" s="224"/>
      <c r="M16" s="224"/>
      <c r="N16" s="19"/>
      <c r="O16" s="438"/>
      <c r="P16" s="438"/>
      <c r="Q16" s="438"/>
      <c r="R16" s="438"/>
      <c r="S16" s="438"/>
      <c r="T16" s="438"/>
      <c r="U16" s="438"/>
      <c r="V16" s="438"/>
      <c r="W16" s="438"/>
      <c r="X16" s="438"/>
      <c r="Y16" s="438"/>
      <c r="Z16" s="438"/>
      <c r="AA16" s="438"/>
      <c r="AB16" s="438"/>
      <c r="AC16" s="438"/>
      <c r="AD16" s="438"/>
      <c r="AE16" s="438"/>
      <c r="AF16" s="438"/>
      <c r="AG16" s="438"/>
      <c r="AH16" s="438"/>
      <c r="AI16" s="438"/>
      <c r="AJ16" s="438"/>
      <c r="AK16" s="438"/>
      <c r="AL16" s="438"/>
      <c r="AM16" s="438"/>
      <c r="AN16" s="438"/>
      <c r="AO16" s="438"/>
      <c r="AP16" s="438"/>
      <c r="AQ16" s="438"/>
      <c r="AR16" s="438"/>
      <c r="AS16" s="438"/>
      <c r="AT16" s="153"/>
    </row>
    <row r="17" spans="2:46" ht="13.5" customHeight="1">
      <c r="B17" s="18"/>
      <c r="C17" s="428"/>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30"/>
      <c r="AT17" s="20"/>
    </row>
    <row r="18" spans="2:46" ht="13.5" customHeight="1">
      <c r="B18" s="18"/>
      <c r="C18" s="431"/>
      <c r="D18" s="432"/>
      <c r="E18" s="432"/>
      <c r="F18" s="432"/>
      <c r="G18" s="432"/>
      <c r="H18" s="432"/>
      <c r="I18" s="432"/>
      <c r="J18" s="432"/>
      <c r="K18" s="432"/>
      <c r="L18" s="432"/>
      <c r="M18" s="432"/>
      <c r="N18" s="432"/>
      <c r="O18" s="432"/>
      <c r="P18" s="432"/>
      <c r="Q18" s="432"/>
      <c r="R18" s="432"/>
      <c r="S18" s="432"/>
      <c r="T18" s="432"/>
      <c r="U18" s="432"/>
      <c r="V18" s="432"/>
      <c r="W18" s="432"/>
      <c r="X18" s="432"/>
      <c r="Y18" s="432"/>
      <c r="Z18" s="432"/>
      <c r="AA18" s="432"/>
      <c r="AB18" s="432"/>
      <c r="AC18" s="432"/>
      <c r="AD18" s="432"/>
      <c r="AE18" s="432"/>
      <c r="AF18" s="432"/>
      <c r="AG18" s="432"/>
      <c r="AH18" s="432"/>
      <c r="AI18" s="432"/>
      <c r="AJ18" s="432"/>
      <c r="AK18" s="432"/>
      <c r="AL18" s="432"/>
      <c r="AM18" s="432"/>
      <c r="AN18" s="432"/>
      <c r="AO18" s="432"/>
      <c r="AP18" s="432"/>
      <c r="AQ18" s="432"/>
      <c r="AR18" s="432"/>
      <c r="AS18" s="433"/>
      <c r="AT18" s="20"/>
    </row>
    <row r="19" spans="2:46" ht="13.5" customHeight="1">
      <c r="B19" s="18"/>
      <c r="C19" s="431"/>
      <c r="D19" s="432"/>
      <c r="E19" s="432"/>
      <c r="F19" s="432"/>
      <c r="G19" s="432"/>
      <c r="H19" s="432"/>
      <c r="I19" s="432"/>
      <c r="J19" s="432"/>
      <c r="K19" s="432"/>
      <c r="L19" s="432"/>
      <c r="M19" s="432"/>
      <c r="N19" s="432"/>
      <c r="O19" s="432"/>
      <c r="P19" s="432"/>
      <c r="Q19" s="432"/>
      <c r="R19" s="432"/>
      <c r="S19" s="432"/>
      <c r="T19" s="432"/>
      <c r="U19" s="432"/>
      <c r="V19" s="432"/>
      <c r="W19" s="432"/>
      <c r="X19" s="432"/>
      <c r="Y19" s="432"/>
      <c r="Z19" s="432"/>
      <c r="AA19" s="432"/>
      <c r="AB19" s="432"/>
      <c r="AC19" s="432"/>
      <c r="AD19" s="432"/>
      <c r="AE19" s="432"/>
      <c r="AF19" s="432"/>
      <c r="AG19" s="432"/>
      <c r="AH19" s="432"/>
      <c r="AI19" s="432"/>
      <c r="AJ19" s="432"/>
      <c r="AK19" s="432"/>
      <c r="AL19" s="432"/>
      <c r="AM19" s="432"/>
      <c r="AN19" s="432"/>
      <c r="AO19" s="432"/>
      <c r="AP19" s="432"/>
      <c r="AQ19" s="432"/>
      <c r="AR19" s="432"/>
      <c r="AS19" s="433"/>
      <c r="AT19" s="20"/>
    </row>
    <row r="20" spans="2:46" ht="13.5" customHeight="1">
      <c r="B20" s="18"/>
      <c r="C20" s="431"/>
      <c r="D20" s="432"/>
      <c r="E20" s="432"/>
      <c r="F20" s="432"/>
      <c r="G20" s="432"/>
      <c r="H20" s="432"/>
      <c r="I20" s="432"/>
      <c r="J20" s="432"/>
      <c r="K20" s="432"/>
      <c r="L20" s="432"/>
      <c r="M20" s="432"/>
      <c r="N20" s="432"/>
      <c r="O20" s="432"/>
      <c r="P20" s="432"/>
      <c r="Q20" s="432"/>
      <c r="R20" s="432"/>
      <c r="S20" s="432"/>
      <c r="T20" s="432"/>
      <c r="U20" s="432"/>
      <c r="V20" s="432"/>
      <c r="W20" s="432"/>
      <c r="X20" s="432"/>
      <c r="Y20" s="432"/>
      <c r="Z20" s="432"/>
      <c r="AA20" s="432"/>
      <c r="AB20" s="432"/>
      <c r="AC20" s="432"/>
      <c r="AD20" s="432"/>
      <c r="AE20" s="432"/>
      <c r="AF20" s="432"/>
      <c r="AG20" s="432"/>
      <c r="AH20" s="432"/>
      <c r="AI20" s="432"/>
      <c r="AJ20" s="432"/>
      <c r="AK20" s="432"/>
      <c r="AL20" s="432"/>
      <c r="AM20" s="432"/>
      <c r="AN20" s="432"/>
      <c r="AO20" s="432"/>
      <c r="AP20" s="432"/>
      <c r="AQ20" s="432"/>
      <c r="AR20" s="432"/>
      <c r="AS20" s="433"/>
      <c r="AT20" s="20"/>
    </row>
    <row r="21" spans="2:46" ht="13.5" customHeight="1">
      <c r="B21" s="18"/>
      <c r="C21" s="431"/>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3"/>
      <c r="AT21" s="20"/>
    </row>
    <row r="22" spans="2:46" ht="13.5" customHeight="1">
      <c r="B22" s="18"/>
      <c r="C22" s="431"/>
      <c r="D22" s="432"/>
      <c r="E22" s="432"/>
      <c r="F22" s="432"/>
      <c r="G22" s="432"/>
      <c r="H22" s="432"/>
      <c r="I22" s="432"/>
      <c r="J22" s="432"/>
      <c r="K22" s="432"/>
      <c r="L22" s="432"/>
      <c r="M22" s="432"/>
      <c r="N22" s="432"/>
      <c r="O22" s="432"/>
      <c r="P22" s="432"/>
      <c r="Q22" s="432"/>
      <c r="R22" s="432"/>
      <c r="S22" s="432"/>
      <c r="T22" s="432"/>
      <c r="U22" s="432"/>
      <c r="V22" s="432"/>
      <c r="W22" s="432"/>
      <c r="X22" s="432"/>
      <c r="Y22" s="432"/>
      <c r="Z22" s="432"/>
      <c r="AA22" s="432"/>
      <c r="AB22" s="432"/>
      <c r="AC22" s="432"/>
      <c r="AD22" s="432"/>
      <c r="AE22" s="432"/>
      <c r="AF22" s="432"/>
      <c r="AG22" s="432"/>
      <c r="AH22" s="432"/>
      <c r="AI22" s="432"/>
      <c r="AJ22" s="432"/>
      <c r="AK22" s="432"/>
      <c r="AL22" s="432"/>
      <c r="AM22" s="432"/>
      <c r="AN22" s="432"/>
      <c r="AO22" s="432"/>
      <c r="AP22" s="432"/>
      <c r="AQ22" s="432"/>
      <c r="AR22" s="432"/>
      <c r="AS22" s="433"/>
      <c r="AT22" s="20"/>
    </row>
    <row r="23" spans="2:46" ht="13.5" customHeight="1">
      <c r="B23" s="18"/>
      <c r="C23" s="431"/>
      <c r="D23" s="432"/>
      <c r="E23" s="432"/>
      <c r="F23" s="432"/>
      <c r="G23" s="432"/>
      <c r="H23" s="432"/>
      <c r="I23" s="432"/>
      <c r="J23" s="432"/>
      <c r="K23" s="432"/>
      <c r="L23" s="432"/>
      <c r="M23" s="432"/>
      <c r="N23" s="432"/>
      <c r="O23" s="432"/>
      <c r="P23" s="432"/>
      <c r="Q23" s="432"/>
      <c r="R23" s="432"/>
      <c r="S23" s="432"/>
      <c r="T23" s="432"/>
      <c r="U23" s="432"/>
      <c r="V23" s="432"/>
      <c r="W23" s="432"/>
      <c r="X23" s="432"/>
      <c r="Y23" s="432"/>
      <c r="Z23" s="432"/>
      <c r="AA23" s="432"/>
      <c r="AB23" s="432"/>
      <c r="AC23" s="432"/>
      <c r="AD23" s="432"/>
      <c r="AE23" s="432"/>
      <c r="AF23" s="432"/>
      <c r="AG23" s="432"/>
      <c r="AH23" s="432"/>
      <c r="AI23" s="432"/>
      <c r="AJ23" s="432"/>
      <c r="AK23" s="432"/>
      <c r="AL23" s="432"/>
      <c r="AM23" s="432"/>
      <c r="AN23" s="432"/>
      <c r="AO23" s="432"/>
      <c r="AP23" s="432"/>
      <c r="AQ23" s="432"/>
      <c r="AR23" s="432"/>
      <c r="AS23" s="433"/>
      <c r="AT23" s="20"/>
    </row>
    <row r="24" spans="2:46" ht="13.5" customHeight="1">
      <c r="B24" s="18"/>
      <c r="C24" s="431"/>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3"/>
      <c r="AT24" s="20"/>
    </row>
    <row r="25" spans="2:46" ht="13.5" customHeight="1">
      <c r="B25" s="18"/>
      <c r="C25" s="431"/>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3"/>
      <c r="AT25" s="20"/>
    </row>
    <row r="26" spans="2:46" ht="13.5" customHeight="1" thickBot="1">
      <c r="B26" s="18"/>
      <c r="C26" s="434"/>
      <c r="D26" s="435"/>
      <c r="E26" s="435"/>
      <c r="F26" s="435"/>
      <c r="G26" s="435"/>
      <c r="H26" s="435"/>
      <c r="I26" s="435"/>
      <c r="J26" s="435"/>
      <c r="K26" s="435"/>
      <c r="L26" s="435"/>
      <c r="M26" s="435"/>
      <c r="N26" s="435"/>
      <c r="O26" s="435"/>
      <c r="P26" s="435"/>
      <c r="Q26" s="435"/>
      <c r="R26" s="435"/>
      <c r="S26" s="435"/>
      <c r="T26" s="435"/>
      <c r="U26" s="435"/>
      <c r="V26" s="435"/>
      <c r="W26" s="435"/>
      <c r="X26" s="435"/>
      <c r="Y26" s="435"/>
      <c r="Z26" s="435"/>
      <c r="AA26" s="435"/>
      <c r="AB26" s="435"/>
      <c r="AC26" s="435"/>
      <c r="AD26" s="435"/>
      <c r="AE26" s="435"/>
      <c r="AF26" s="435"/>
      <c r="AG26" s="435"/>
      <c r="AH26" s="435"/>
      <c r="AI26" s="435"/>
      <c r="AJ26" s="435"/>
      <c r="AK26" s="435"/>
      <c r="AL26" s="435"/>
      <c r="AM26" s="435"/>
      <c r="AN26" s="435"/>
      <c r="AO26" s="435"/>
      <c r="AP26" s="435"/>
      <c r="AQ26" s="435"/>
      <c r="AR26" s="435"/>
      <c r="AS26" s="436"/>
      <c r="AT26" s="20"/>
    </row>
    <row r="27" spans="2:46" ht="13.5" customHeight="1" thickBot="1">
      <c r="B27" s="21"/>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3"/>
    </row>
  </sheetData>
  <mergeCells count="11">
    <mergeCell ref="C10:AS10"/>
    <mergeCell ref="C11:AS11"/>
    <mergeCell ref="BD6:CC11"/>
    <mergeCell ref="C15:M16"/>
    <mergeCell ref="C17:AS26"/>
    <mergeCell ref="O15:AS16"/>
    <mergeCell ref="C3:M4"/>
    <mergeCell ref="C6:AS6"/>
    <mergeCell ref="C7:AS7"/>
    <mergeCell ref="C8:AS8"/>
    <mergeCell ref="C9:AS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etails">
                <anchor moveWithCells="1" sizeWithCells="1">
                  <from>
                    <xdr:col>47</xdr:col>
                    <xdr:colOff>160020</xdr:colOff>
                    <xdr:row>3</xdr:row>
                    <xdr:rowOff>99060</xdr:rowOff>
                  </from>
                  <to>
                    <xdr:col>52</xdr:col>
                    <xdr:colOff>152400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6" tint="-0.499984740745262"/>
  </sheetPr>
  <dimension ref="B1:CQ37"/>
  <sheetViews>
    <sheetView showGridLines="0" zoomScaleNormal="100" workbookViewId="0">
      <selection activeCell="M43" sqref="M43"/>
    </sheetView>
  </sheetViews>
  <sheetFormatPr defaultColWidth="2.6640625" defaultRowHeight="13.5" customHeight="1"/>
  <cols>
    <col min="1" max="16384" width="2.6640625" style="12"/>
  </cols>
  <sheetData>
    <row r="1" spans="2:95" ht="13.5" customHeight="1" thickBot="1"/>
    <row r="2" spans="2:9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7"/>
    </row>
    <row r="3" spans="2:95" ht="13.5" customHeight="1">
      <c r="B3" s="18"/>
      <c r="C3" s="224" t="s">
        <v>595</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20"/>
    </row>
    <row r="4" spans="2:9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20"/>
    </row>
    <row r="5" spans="2:95" ht="13.5" customHeight="1">
      <c r="B5" s="18"/>
      <c r="C5" s="26"/>
      <c r="D5" s="26"/>
      <c r="E5" s="26"/>
      <c r="F5" s="26"/>
      <c r="G5" s="26"/>
      <c r="H5" s="26"/>
      <c r="I5" s="26"/>
      <c r="J5" s="26"/>
      <c r="K5" s="26"/>
      <c r="L5" s="26"/>
      <c r="M5" s="2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20"/>
    </row>
    <row r="6" spans="2:95" ht="13.5" customHeight="1">
      <c r="B6" s="18"/>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442" t="s">
        <v>598</v>
      </c>
      <c r="AG6" s="442"/>
      <c r="AH6" s="442"/>
      <c r="AI6" s="442"/>
      <c r="AJ6" s="442"/>
      <c r="AK6" s="442"/>
      <c r="AL6" s="442"/>
      <c r="AM6" s="19"/>
      <c r="AN6" s="19"/>
      <c r="AO6" s="19"/>
      <c r="AP6" s="19"/>
      <c r="AQ6" s="442" t="s">
        <v>1241</v>
      </c>
      <c r="AR6" s="443"/>
      <c r="AS6" s="443"/>
      <c r="AT6" s="443"/>
      <c r="AU6" s="442" t="s">
        <v>610</v>
      </c>
      <c r="AV6" s="443"/>
      <c r="AW6" s="443"/>
      <c r="AX6" s="443"/>
      <c r="AY6" s="19"/>
      <c r="AZ6" s="19"/>
      <c r="BA6" s="19"/>
      <c r="BB6" s="19"/>
      <c r="BC6" s="19"/>
      <c r="BD6" s="19"/>
      <c r="BE6" s="19"/>
      <c r="BF6" s="19"/>
      <c r="BG6" s="19"/>
      <c r="BH6" s="19"/>
      <c r="BI6" s="19"/>
      <c r="BJ6" s="19"/>
      <c r="BK6" s="19"/>
      <c r="BL6" s="19"/>
      <c r="BM6" s="19"/>
      <c r="BN6" s="19"/>
      <c r="BO6" s="19"/>
      <c r="BP6" s="19"/>
      <c r="BQ6" s="20"/>
      <c r="CM6" s="293" t="s">
        <v>834</v>
      </c>
      <c r="CN6" s="293"/>
      <c r="CO6" s="293"/>
      <c r="CP6" s="293"/>
      <c r="CQ6" s="293"/>
    </row>
    <row r="7" spans="2:95" ht="13.5" customHeight="1" thickBot="1">
      <c r="B7" s="18"/>
      <c r="C7" s="34" t="s">
        <v>596</v>
      </c>
      <c r="D7" s="19"/>
      <c r="E7" s="19"/>
      <c r="F7" s="19"/>
      <c r="G7" s="19"/>
      <c r="H7" s="19"/>
      <c r="I7" s="19"/>
      <c r="J7" s="19"/>
      <c r="K7" s="19"/>
      <c r="L7" s="19"/>
      <c r="M7" s="19"/>
      <c r="N7" s="444" t="s">
        <v>416</v>
      </c>
      <c r="O7" s="444"/>
      <c r="P7" s="444"/>
      <c r="Q7" s="444"/>
      <c r="R7" s="444"/>
      <c r="S7" s="444"/>
      <c r="T7" s="444" t="s">
        <v>867</v>
      </c>
      <c r="U7" s="444"/>
      <c r="V7" s="444"/>
      <c r="W7" s="444"/>
      <c r="X7" s="444" t="s">
        <v>609</v>
      </c>
      <c r="Y7" s="444"/>
      <c r="Z7" s="444"/>
      <c r="AA7" s="444"/>
      <c r="AB7" s="444" t="s">
        <v>229</v>
      </c>
      <c r="AC7" s="444"/>
      <c r="AD7" s="444"/>
      <c r="AE7" s="444"/>
      <c r="AF7" s="442"/>
      <c r="AG7" s="442"/>
      <c r="AH7" s="442"/>
      <c r="AI7" s="442"/>
      <c r="AJ7" s="442"/>
      <c r="AK7" s="442"/>
      <c r="AL7" s="442"/>
      <c r="AM7" s="444" t="s">
        <v>602</v>
      </c>
      <c r="AN7" s="444"/>
      <c r="AO7" s="444"/>
      <c r="AP7" s="444"/>
      <c r="AQ7" s="444"/>
      <c r="AR7" s="444"/>
      <c r="AS7" s="444"/>
      <c r="AT7" s="444"/>
      <c r="AU7" s="444"/>
      <c r="AV7" s="444"/>
      <c r="AW7" s="444"/>
      <c r="AX7" s="444"/>
      <c r="AY7" s="34" t="s">
        <v>603</v>
      </c>
      <c r="AZ7" s="19"/>
      <c r="BA7" s="19"/>
      <c r="BB7" s="19"/>
      <c r="BC7" s="19"/>
      <c r="BD7" s="19"/>
      <c r="BE7" s="19"/>
      <c r="BF7" s="19"/>
      <c r="BG7" s="19"/>
      <c r="BH7" s="19"/>
      <c r="BI7" s="19"/>
      <c r="BJ7" s="19"/>
      <c r="BK7" s="19"/>
      <c r="BL7" s="19"/>
      <c r="BM7" s="19"/>
      <c r="BN7" s="19"/>
      <c r="BO7" s="19"/>
      <c r="BP7" s="19"/>
      <c r="BQ7" s="20"/>
      <c r="BS7" s="12" t="s">
        <v>790</v>
      </c>
      <c r="CM7" s="451"/>
      <c r="CN7" s="293"/>
      <c r="CO7" s="293"/>
      <c r="CP7" s="293"/>
      <c r="CQ7" s="293"/>
    </row>
    <row r="8" spans="2:95" ht="13.5" customHeight="1" thickBot="1">
      <c r="B8" s="18"/>
      <c r="C8" s="294" t="s">
        <v>1308</v>
      </c>
      <c r="D8" s="295"/>
      <c r="E8" s="295"/>
      <c r="F8" s="295"/>
      <c r="G8" s="295"/>
      <c r="H8" s="295"/>
      <c r="I8" s="295"/>
      <c r="J8" s="295"/>
      <c r="K8" s="295"/>
      <c r="L8" s="295"/>
      <c r="M8" s="296"/>
      <c r="N8" s="249" t="s">
        <v>491</v>
      </c>
      <c r="O8" s="250"/>
      <c r="P8" s="250"/>
      <c r="Q8" s="250"/>
      <c r="R8" s="250"/>
      <c r="S8" s="251"/>
      <c r="T8" s="249" t="s">
        <v>1310</v>
      </c>
      <c r="U8" s="250"/>
      <c r="V8" s="250"/>
      <c r="W8" s="251"/>
      <c r="X8" s="439">
        <f t="shared" ref="X8:X13" si="0">IF(C8="","",IF(N8="Ranged",Dexterity,IF(N8="Close",Fighting,0)))</f>
        <v>1</v>
      </c>
      <c r="Y8" s="440"/>
      <c r="Z8" s="440"/>
      <c r="AA8" s="441"/>
      <c r="AB8" s="439">
        <f>IF($N8="Ranged",Adv!$BZ$40,IF($N8="Close",Adv!$BV$40,""))</f>
        <v>0</v>
      </c>
      <c r="AC8" s="440"/>
      <c r="AD8" s="440"/>
      <c r="AE8" s="441"/>
      <c r="AF8" s="249" t="s">
        <v>1309</v>
      </c>
      <c r="AG8" s="250"/>
      <c r="AH8" s="250"/>
      <c r="AI8" s="250"/>
      <c r="AJ8" s="250"/>
      <c r="AK8" s="250"/>
      <c r="AL8" s="251"/>
      <c r="AM8" s="439">
        <f t="shared" ref="AM8:AM13" si="1">IF(AF8="",0,VLOOKUP(AF8,CombatSkillsMatrix,6,FALSE))</f>
        <v>9</v>
      </c>
      <c r="AN8" s="440"/>
      <c r="AO8" s="440"/>
      <c r="AP8" s="441"/>
      <c r="AQ8" s="445"/>
      <c r="AR8" s="446"/>
      <c r="AS8" s="446"/>
      <c r="AT8" s="447"/>
      <c r="AU8" s="439">
        <f t="shared" ref="AU8:AU13" si="2">IF(C8="","",SUM(IF(AM8=0,X8+AB8,AM8),IF(AQ8="",0,AQ8)))</f>
        <v>9</v>
      </c>
      <c r="AV8" s="440"/>
      <c r="AW8" s="440"/>
      <c r="AX8" s="441"/>
      <c r="AY8" s="305"/>
      <c r="AZ8" s="306"/>
      <c r="BA8" s="306"/>
      <c r="BB8" s="306"/>
      <c r="BC8" s="306"/>
      <c r="BD8" s="306"/>
      <c r="BE8" s="306"/>
      <c r="BF8" s="306"/>
      <c r="BG8" s="306"/>
      <c r="BH8" s="306"/>
      <c r="BI8" s="306"/>
      <c r="BJ8" s="306"/>
      <c r="BK8" s="306"/>
      <c r="BL8" s="306"/>
      <c r="BM8" s="306"/>
      <c r="BN8" s="306"/>
      <c r="BO8" s="306"/>
      <c r="BP8" s="307"/>
      <c r="BQ8" s="20"/>
      <c r="BS8" s="12" t="str">
        <f>IF(C8="","",C8&amp;" "&amp;IF(AU8&lt;0,"-","+")&amp;AU8&amp;", Damage "&amp;T8&amp;IF(AY8="","",", "&amp;AY8))</f>
        <v>Pistol +9, Damage 3</v>
      </c>
      <c r="CM8" s="452">
        <f t="shared" ref="CM8:CM13" si="3">IF(AU8="",0,AU8+T8)</f>
        <v>12</v>
      </c>
      <c r="CN8" s="370"/>
      <c r="CO8" s="370"/>
      <c r="CP8" s="370"/>
      <c r="CQ8" s="370"/>
    </row>
    <row r="9" spans="2:95" ht="13.5" customHeight="1" thickBot="1">
      <c r="B9" s="18"/>
      <c r="C9" s="294"/>
      <c r="D9" s="295"/>
      <c r="E9" s="295"/>
      <c r="F9" s="295"/>
      <c r="G9" s="295"/>
      <c r="H9" s="295"/>
      <c r="I9" s="295"/>
      <c r="J9" s="295"/>
      <c r="K9" s="295"/>
      <c r="L9" s="295"/>
      <c r="M9" s="296"/>
      <c r="N9" s="249"/>
      <c r="O9" s="250"/>
      <c r="P9" s="250"/>
      <c r="Q9" s="250"/>
      <c r="R9" s="250"/>
      <c r="S9" s="251"/>
      <c r="T9" s="249"/>
      <c r="U9" s="250"/>
      <c r="V9" s="250"/>
      <c r="W9" s="251"/>
      <c r="X9" s="439" t="str">
        <f t="shared" si="0"/>
        <v/>
      </c>
      <c r="Y9" s="440"/>
      <c r="Z9" s="440"/>
      <c r="AA9" s="441"/>
      <c r="AB9" s="439" t="str">
        <f>IF($N9="Ranged",Adv!$BZ$40,IF($N9="Close",Adv!$BV$40,""))</f>
        <v/>
      </c>
      <c r="AC9" s="440"/>
      <c r="AD9" s="440"/>
      <c r="AE9" s="441"/>
      <c r="AF9" s="249"/>
      <c r="AG9" s="250"/>
      <c r="AH9" s="250"/>
      <c r="AI9" s="250"/>
      <c r="AJ9" s="250"/>
      <c r="AK9" s="250"/>
      <c r="AL9" s="251"/>
      <c r="AM9" s="439">
        <f t="shared" si="1"/>
        <v>0</v>
      </c>
      <c r="AN9" s="440"/>
      <c r="AO9" s="440"/>
      <c r="AP9" s="441"/>
      <c r="AQ9" s="445"/>
      <c r="AR9" s="446"/>
      <c r="AS9" s="446"/>
      <c r="AT9" s="447"/>
      <c r="AU9" s="439" t="str">
        <f t="shared" si="2"/>
        <v/>
      </c>
      <c r="AV9" s="440"/>
      <c r="AW9" s="440"/>
      <c r="AX9" s="441"/>
      <c r="AY9" s="305"/>
      <c r="AZ9" s="306"/>
      <c r="BA9" s="306"/>
      <c r="BB9" s="306"/>
      <c r="BC9" s="306"/>
      <c r="BD9" s="306"/>
      <c r="BE9" s="306"/>
      <c r="BF9" s="306"/>
      <c r="BG9" s="306"/>
      <c r="BH9" s="306"/>
      <c r="BI9" s="306"/>
      <c r="BJ9" s="306"/>
      <c r="BK9" s="306"/>
      <c r="BL9" s="306"/>
      <c r="BM9" s="306"/>
      <c r="BN9" s="306"/>
      <c r="BO9" s="306"/>
      <c r="BP9" s="307"/>
      <c r="BQ9" s="20"/>
      <c r="BS9" s="12" t="str">
        <f>IF(C9="","",CHAR(10)&amp;C9&amp;" "&amp;IF(AU9&lt;0,"-","+")&amp;AU9&amp;", Damage "&amp;T9&amp;IF(AY9="","",", "&amp;AY9))</f>
        <v/>
      </c>
      <c r="CM9" s="452">
        <f t="shared" si="3"/>
        <v>0</v>
      </c>
      <c r="CN9" s="370"/>
      <c r="CO9" s="370"/>
      <c r="CP9" s="370"/>
      <c r="CQ9" s="370"/>
    </row>
    <row r="10" spans="2:95" ht="13.5" customHeight="1" thickBot="1">
      <c r="B10" s="18"/>
      <c r="C10" s="294"/>
      <c r="D10" s="295"/>
      <c r="E10" s="295"/>
      <c r="F10" s="295"/>
      <c r="G10" s="295"/>
      <c r="H10" s="295"/>
      <c r="I10" s="295"/>
      <c r="J10" s="295"/>
      <c r="K10" s="295"/>
      <c r="L10" s="295"/>
      <c r="M10" s="296"/>
      <c r="N10" s="249"/>
      <c r="O10" s="250"/>
      <c r="P10" s="250"/>
      <c r="Q10" s="250"/>
      <c r="R10" s="250"/>
      <c r="S10" s="251"/>
      <c r="T10" s="249"/>
      <c r="U10" s="250"/>
      <c r="V10" s="250"/>
      <c r="W10" s="251"/>
      <c r="X10" s="439" t="str">
        <f t="shared" si="0"/>
        <v/>
      </c>
      <c r="Y10" s="440"/>
      <c r="Z10" s="440"/>
      <c r="AA10" s="441"/>
      <c r="AB10" s="439" t="str">
        <f>IF($N10="Ranged",Adv!$BZ$40,IF($N10="Close",Adv!$BV$40,""))</f>
        <v/>
      </c>
      <c r="AC10" s="440"/>
      <c r="AD10" s="440"/>
      <c r="AE10" s="441"/>
      <c r="AF10" s="249"/>
      <c r="AG10" s="250"/>
      <c r="AH10" s="250"/>
      <c r="AI10" s="250"/>
      <c r="AJ10" s="250"/>
      <c r="AK10" s="250"/>
      <c r="AL10" s="251"/>
      <c r="AM10" s="439">
        <f t="shared" si="1"/>
        <v>0</v>
      </c>
      <c r="AN10" s="440"/>
      <c r="AO10" s="440"/>
      <c r="AP10" s="441"/>
      <c r="AQ10" s="445"/>
      <c r="AR10" s="446"/>
      <c r="AS10" s="446"/>
      <c r="AT10" s="447"/>
      <c r="AU10" s="439" t="str">
        <f t="shared" si="2"/>
        <v/>
      </c>
      <c r="AV10" s="440"/>
      <c r="AW10" s="440"/>
      <c r="AX10" s="441"/>
      <c r="AY10" s="305"/>
      <c r="AZ10" s="306"/>
      <c r="BA10" s="306"/>
      <c r="BB10" s="306"/>
      <c r="BC10" s="306"/>
      <c r="BD10" s="306"/>
      <c r="BE10" s="306"/>
      <c r="BF10" s="306"/>
      <c r="BG10" s="306"/>
      <c r="BH10" s="306"/>
      <c r="BI10" s="306"/>
      <c r="BJ10" s="306"/>
      <c r="BK10" s="306"/>
      <c r="BL10" s="306"/>
      <c r="BM10" s="306"/>
      <c r="BN10" s="306"/>
      <c r="BO10" s="306"/>
      <c r="BP10" s="307"/>
      <c r="BQ10" s="20"/>
      <c r="BS10" s="12" t="str">
        <f>IF(C10="","",CHAR(10)&amp;C10&amp;" "&amp;IF(AU10&lt;0,"-","+")&amp;AU10&amp;", Damage "&amp;T10&amp;IF(AY10="","",", "&amp;AY10))</f>
        <v/>
      </c>
      <c r="CM10" s="452">
        <f t="shared" si="3"/>
        <v>0</v>
      </c>
      <c r="CN10" s="370"/>
      <c r="CO10" s="370"/>
      <c r="CP10" s="370"/>
      <c r="CQ10" s="370"/>
    </row>
    <row r="11" spans="2:95" ht="13.5" customHeight="1" thickBot="1">
      <c r="B11" s="18"/>
      <c r="C11" s="294"/>
      <c r="D11" s="295"/>
      <c r="E11" s="295"/>
      <c r="F11" s="295"/>
      <c r="G11" s="295"/>
      <c r="H11" s="295"/>
      <c r="I11" s="295"/>
      <c r="J11" s="295"/>
      <c r="K11" s="295"/>
      <c r="L11" s="295"/>
      <c r="M11" s="296"/>
      <c r="N11" s="249"/>
      <c r="O11" s="250"/>
      <c r="P11" s="250"/>
      <c r="Q11" s="250"/>
      <c r="R11" s="250"/>
      <c r="S11" s="251"/>
      <c r="T11" s="249"/>
      <c r="U11" s="250"/>
      <c r="V11" s="250"/>
      <c r="W11" s="251"/>
      <c r="X11" s="439" t="str">
        <f t="shared" si="0"/>
        <v/>
      </c>
      <c r="Y11" s="440"/>
      <c r="Z11" s="440"/>
      <c r="AA11" s="441"/>
      <c r="AB11" s="439" t="str">
        <f>IF($N11="Ranged",Adv!$BZ$40,IF($N11="Close",Adv!$BV$40,""))</f>
        <v/>
      </c>
      <c r="AC11" s="440"/>
      <c r="AD11" s="440"/>
      <c r="AE11" s="441"/>
      <c r="AF11" s="249"/>
      <c r="AG11" s="250"/>
      <c r="AH11" s="250"/>
      <c r="AI11" s="250"/>
      <c r="AJ11" s="250"/>
      <c r="AK11" s="250"/>
      <c r="AL11" s="251"/>
      <c r="AM11" s="439">
        <f t="shared" si="1"/>
        <v>0</v>
      </c>
      <c r="AN11" s="440"/>
      <c r="AO11" s="440"/>
      <c r="AP11" s="441"/>
      <c r="AQ11" s="445"/>
      <c r="AR11" s="446"/>
      <c r="AS11" s="446"/>
      <c r="AT11" s="447"/>
      <c r="AU11" s="439" t="str">
        <f t="shared" si="2"/>
        <v/>
      </c>
      <c r="AV11" s="440"/>
      <c r="AW11" s="440"/>
      <c r="AX11" s="441"/>
      <c r="AY11" s="305"/>
      <c r="AZ11" s="306"/>
      <c r="BA11" s="306"/>
      <c r="BB11" s="306"/>
      <c r="BC11" s="306"/>
      <c r="BD11" s="306"/>
      <c r="BE11" s="306"/>
      <c r="BF11" s="306"/>
      <c r="BG11" s="306"/>
      <c r="BH11" s="306"/>
      <c r="BI11" s="306"/>
      <c r="BJ11" s="306"/>
      <c r="BK11" s="306"/>
      <c r="BL11" s="306"/>
      <c r="BM11" s="306"/>
      <c r="BN11" s="306"/>
      <c r="BO11" s="306"/>
      <c r="BP11" s="307"/>
      <c r="BQ11" s="20"/>
      <c r="BS11" s="12" t="str">
        <f>IF(C11="","",CHAR(10)&amp;C11&amp;" "&amp;IF(AU11&lt;0,"-","+")&amp;AU11&amp;", Damage "&amp;T11&amp;IF(AY11="","",", "&amp;AY11))</f>
        <v/>
      </c>
      <c r="CM11" s="452">
        <f t="shared" si="3"/>
        <v>0</v>
      </c>
      <c r="CN11" s="370"/>
      <c r="CO11" s="370"/>
      <c r="CP11" s="370"/>
      <c r="CQ11" s="370"/>
    </row>
    <row r="12" spans="2:95" ht="13.5" customHeight="1" thickBot="1">
      <c r="B12" s="18"/>
      <c r="C12" s="294"/>
      <c r="D12" s="295"/>
      <c r="E12" s="295"/>
      <c r="F12" s="295"/>
      <c r="G12" s="295"/>
      <c r="H12" s="295"/>
      <c r="I12" s="295"/>
      <c r="J12" s="295"/>
      <c r="K12" s="295"/>
      <c r="L12" s="295"/>
      <c r="M12" s="296"/>
      <c r="N12" s="249"/>
      <c r="O12" s="250"/>
      <c r="P12" s="250"/>
      <c r="Q12" s="250"/>
      <c r="R12" s="250"/>
      <c r="S12" s="251"/>
      <c r="T12" s="249"/>
      <c r="U12" s="250"/>
      <c r="V12" s="250"/>
      <c r="W12" s="251"/>
      <c r="X12" s="439" t="str">
        <f t="shared" si="0"/>
        <v/>
      </c>
      <c r="Y12" s="440"/>
      <c r="Z12" s="440"/>
      <c r="AA12" s="441"/>
      <c r="AB12" s="439" t="str">
        <f>IF($N12="Ranged",Adv!$BZ$40,IF($N12="Close",Adv!$BV$40,""))</f>
        <v/>
      </c>
      <c r="AC12" s="440"/>
      <c r="AD12" s="440"/>
      <c r="AE12" s="441"/>
      <c r="AF12" s="249"/>
      <c r="AG12" s="250"/>
      <c r="AH12" s="250"/>
      <c r="AI12" s="250"/>
      <c r="AJ12" s="250"/>
      <c r="AK12" s="250"/>
      <c r="AL12" s="251"/>
      <c r="AM12" s="439">
        <f t="shared" si="1"/>
        <v>0</v>
      </c>
      <c r="AN12" s="440"/>
      <c r="AO12" s="440"/>
      <c r="AP12" s="441"/>
      <c r="AQ12" s="445"/>
      <c r="AR12" s="446"/>
      <c r="AS12" s="446"/>
      <c r="AT12" s="447"/>
      <c r="AU12" s="439" t="str">
        <f t="shared" si="2"/>
        <v/>
      </c>
      <c r="AV12" s="440"/>
      <c r="AW12" s="440"/>
      <c r="AX12" s="441"/>
      <c r="AY12" s="305"/>
      <c r="AZ12" s="306"/>
      <c r="BA12" s="306"/>
      <c r="BB12" s="306"/>
      <c r="BC12" s="306"/>
      <c r="BD12" s="306"/>
      <c r="BE12" s="306"/>
      <c r="BF12" s="306"/>
      <c r="BG12" s="306"/>
      <c r="BH12" s="306"/>
      <c r="BI12" s="306"/>
      <c r="BJ12" s="306"/>
      <c r="BK12" s="306"/>
      <c r="BL12" s="306"/>
      <c r="BM12" s="306"/>
      <c r="BN12" s="306"/>
      <c r="BO12" s="306"/>
      <c r="BP12" s="307"/>
      <c r="BQ12" s="20"/>
      <c r="BS12" s="12" t="str">
        <f>IF(C12="","",CHAR(10)&amp;C12&amp;" "&amp;IF(AU12&lt;0,"-","+")&amp;AU12&amp;", Damage "&amp;T12&amp;IF(AY12="","",", "&amp;AY12))</f>
        <v/>
      </c>
      <c r="CM12" s="452">
        <f t="shared" si="3"/>
        <v>0</v>
      </c>
      <c r="CN12" s="370"/>
      <c r="CO12" s="370"/>
      <c r="CP12" s="370"/>
      <c r="CQ12" s="370"/>
    </row>
    <row r="13" spans="2:95" ht="13.5" customHeight="1" thickBot="1">
      <c r="B13" s="18"/>
      <c r="C13" s="294"/>
      <c r="D13" s="295"/>
      <c r="E13" s="295"/>
      <c r="F13" s="295"/>
      <c r="G13" s="295"/>
      <c r="H13" s="295"/>
      <c r="I13" s="295"/>
      <c r="J13" s="295"/>
      <c r="K13" s="295"/>
      <c r="L13" s="295"/>
      <c r="M13" s="296"/>
      <c r="N13" s="249"/>
      <c r="O13" s="250"/>
      <c r="P13" s="250"/>
      <c r="Q13" s="250"/>
      <c r="R13" s="250"/>
      <c r="S13" s="251"/>
      <c r="T13" s="249"/>
      <c r="U13" s="250"/>
      <c r="V13" s="250"/>
      <c r="W13" s="251"/>
      <c r="X13" s="439" t="str">
        <f t="shared" si="0"/>
        <v/>
      </c>
      <c r="Y13" s="440"/>
      <c r="Z13" s="440"/>
      <c r="AA13" s="441"/>
      <c r="AB13" s="439" t="str">
        <f>IF($N13="Ranged",Adv!$BZ$40,IF($N13="Close",Adv!$BV$40,""))</f>
        <v/>
      </c>
      <c r="AC13" s="440"/>
      <c r="AD13" s="440"/>
      <c r="AE13" s="441"/>
      <c r="AF13" s="249"/>
      <c r="AG13" s="250"/>
      <c r="AH13" s="250"/>
      <c r="AI13" s="250"/>
      <c r="AJ13" s="250"/>
      <c r="AK13" s="250"/>
      <c r="AL13" s="251"/>
      <c r="AM13" s="439">
        <f t="shared" si="1"/>
        <v>0</v>
      </c>
      <c r="AN13" s="440"/>
      <c r="AO13" s="440"/>
      <c r="AP13" s="441"/>
      <c r="AQ13" s="445"/>
      <c r="AR13" s="446"/>
      <c r="AS13" s="446"/>
      <c r="AT13" s="447"/>
      <c r="AU13" s="439" t="str">
        <f t="shared" si="2"/>
        <v/>
      </c>
      <c r="AV13" s="440"/>
      <c r="AW13" s="440"/>
      <c r="AX13" s="441"/>
      <c r="AY13" s="305"/>
      <c r="AZ13" s="306"/>
      <c r="BA13" s="306"/>
      <c r="BB13" s="306"/>
      <c r="BC13" s="306"/>
      <c r="BD13" s="306"/>
      <c r="BE13" s="306"/>
      <c r="BF13" s="306"/>
      <c r="BG13" s="306"/>
      <c r="BH13" s="306"/>
      <c r="BI13" s="306"/>
      <c r="BJ13" s="306"/>
      <c r="BK13" s="306"/>
      <c r="BL13" s="306"/>
      <c r="BM13" s="306"/>
      <c r="BN13" s="306"/>
      <c r="BO13" s="306"/>
      <c r="BP13" s="307"/>
      <c r="BQ13" s="20"/>
      <c r="BS13" s="12" t="str">
        <f>IF(C13="","",CHAR(10)&amp;C13&amp;" "&amp;IF(AU13&lt;0,"-","+")&amp;AU13&amp;", Damage "&amp;T13&amp;IF(AY13="","",", "&amp;AY13))</f>
        <v/>
      </c>
      <c r="CM13" s="452">
        <f t="shared" si="3"/>
        <v>0</v>
      </c>
      <c r="CN13" s="370"/>
      <c r="CO13" s="370"/>
      <c r="CP13" s="370"/>
      <c r="CQ13" s="370"/>
    </row>
    <row r="14" spans="2:95" ht="13.5" customHeight="1">
      <c r="B14" s="18"/>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20"/>
      <c r="BS14" s="12" t="s">
        <v>798</v>
      </c>
    </row>
    <row r="15" spans="2:95" ht="13.5" customHeight="1">
      <c r="B15" s="18"/>
      <c r="C15" s="19" t="s">
        <v>605</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20"/>
      <c r="BS15" s="346" t="str">
        <f>BS8&amp;BS9&amp;BS10&amp;BS11&amp;BS12&amp;BS13</f>
        <v>Pistol +9, Damage 3</v>
      </c>
      <c r="BT15" s="347"/>
      <c r="BU15" s="347"/>
      <c r="BV15" s="347"/>
      <c r="BW15" s="347"/>
      <c r="BX15" s="347"/>
      <c r="BY15" s="347"/>
      <c r="BZ15" s="347"/>
      <c r="CA15" s="347"/>
      <c r="CB15" s="347"/>
      <c r="CC15" s="347"/>
      <c r="CD15" s="347"/>
      <c r="CE15" s="347"/>
      <c r="CF15" s="347"/>
      <c r="CG15" s="347"/>
      <c r="CH15" s="347"/>
      <c r="CI15" s="347"/>
      <c r="CJ15" s="347"/>
      <c r="CK15" s="348"/>
    </row>
    <row r="16" spans="2:95" ht="13.5" customHeight="1">
      <c r="B16" s="18"/>
      <c r="C16" s="19" t="str">
        <f>"Unarmed Damage is equal to your current Strength ("&amp;IF(Strength="","",Strength)&amp;")"</f>
        <v>Unarmed Damage is equal to your current Strength (0)</v>
      </c>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20"/>
      <c r="BS16" s="349"/>
      <c r="BT16" s="334"/>
      <c r="BU16" s="334"/>
      <c r="BV16" s="334"/>
      <c r="BW16" s="334"/>
      <c r="BX16" s="334"/>
      <c r="BY16" s="334"/>
      <c r="BZ16" s="334"/>
      <c r="CA16" s="334"/>
      <c r="CB16" s="334"/>
      <c r="CC16" s="334"/>
      <c r="CD16" s="334"/>
      <c r="CE16" s="334"/>
      <c r="CF16" s="334"/>
      <c r="CG16" s="334"/>
      <c r="CH16" s="334"/>
      <c r="CI16" s="334"/>
      <c r="CJ16" s="334"/>
      <c r="CK16" s="350"/>
    </row>
    <row r="17" spans="2:89" ht="13.5" customHeight="1">
      <c r="B17" s="18"/>
      <c r="C17" s="27" t="s">
        <v>1239</v>
      </c>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20"/>
      <c r="BS17" s="349"/>
      <c r="BT17" s="334"/>
      <c r="BU17" s="334"/>
      <c r="BV17" s="334"/>
      <c r="BW17" s="334"/>
      <c r="BX17" s="334"/>
      <c r="BY17" s="334"/>
      <c r="BZ17" s="334"/>
      <c r="CA17" s="334"/>
      <c r="CB17" s="334"/>
      <c r="CC17" s="334"/>
      <c r="CD17" s="334"/>
      <c r="CE17" s="334"/>
      <c r="CF17" s="334"/>
      <c r="CG17" s="334"/>
      <c r="CH17" s="334"/>
      <c r="CI17" s="334"/>
      <c r="CJ17" s="334"/>
      <c r="CK17" s="350"/>
    </row>
    <row r="18" spans="2:89" ht="13.5" customHeight="1">
      <c r="B18" s="18"/>
      <c r="C18" s="19" t="s">
        <v>606</v>
      </c>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20"/>
      <c r="BS18" s="349"/>
      <c r="BT18" s="334"/>
      <c r="BU18" s="334"/>
      <c r="BV18" s="334"/>
      <c r="BW18" s="334"/>
      <c r="BX18" s="334"/>
      <c r="BY18" s="334"/>
      <c r="BZ18" s="334"/>
      <c r="CA18" s="334"/>
      <c r="CB18" s="334"/>
      <c r="CC18" s="334"/>
      <c r="CD18" s="334"/>
      <c r="CE18" s="334"/>
      <c r="CF18" s="334"/>
      <c r="CG18" s="334"/>
      <c r="CH18" s="334"/>
      <c r="CI18" s="334"/>
      <c r="CJ18" s="334"/>
      <c r="CK18" s="350"/>
    </row>
    <row r="19" spans="2:89" ht="13.5" customHeight="1">
      <c r="B19" s="18"/>
      <c r="C19" s="19" t="s">
        <v>607</v>
      </c>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20"/>
      <c r="BS19" s="349"/>
      <c r="BT19" s="334"/>
      <c r="BU19" s="334"/>
      <c r="BV19" s="334"/>
      <c r="BW19" s="334"/>
      <c r="BX19" s="334"/>
      <c r="BY19" s="334"/>
      <c r="BZ19" s="334"/>
      <c r="CA19" s="334"/>
      <c r="CB19" s="334"/>
      <c r="CC19" s="334"/>
      <c r="CD19" s="334"/>
      <c r="CE19" s="334"/>
      <c r="CF19" s="334"/>
      <c r="CG19" s="334"/>
      <c r="CH19" s="334"/>
      <c r="CI19" s="334"/>
      <c r="CJ19" s="334"/>
      <c r="CK19" s="350"/>
    </row>
    <row r="20" spans="2:89" ht="13.5" customHeight="1">
      <c r="B20" s="18"/>
      <c r="C20" s="19" t="s">
        <v>608</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20"/>
      <c r="BS20" s="349"/>
      <c r="BT20" s="334"/>
      <c r="BU20" s="334"/>
      <c r="BV20" s="334"/>
      <c r="BW20" s="334"/>
      <c r="BX20" s="334"/>
      <c r="BY20" s="334"/>
      <c r="BZ20" s="334"/>
      <c r="CA20" s="334"/>
      <c r="CB20" s="334"/>
      <c r="CC20" s="334"/>
      <c r="CD20" s="334"/>
      <c r="CE20" s="334"/>
      <c r="CF20" s="334"/>
      <c r="CG20" s="334"/>
      <c r="CH20" s="334"/>
      <c r="CI20" s="334"/>
      <c r="CJ20" s="334"/>
      <c r="CK20" s="350"/>
    </row>
    <row r="21" spans="2:89" ht="13.5" customHeight="1">
      <c r="B21" s="18"/>
      <c r="C21" s="27" t="s">
        <v>1240</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20"/>
      <c r="BS21" s="351"/>
      <c r="BT21" s="352"/>
      <c r="BU21" s="352"/>
      <c r="BV21" s="352"/>
      <c r="BW21" s="352"/>
      <c r="BX21" s="352"/>
      <c r="BY21" s="352"/>
      <c r="BZ21" s="352"/>
      <c r="CA21" s="352"/>
      <c r="CB21" s="352"/>
      <c r="CC21" s="352"/>
      <c r="CD21" s="352"/>
      <c r="CE21" s="352"/>
      <c r="CF21" s="352"/>
      <c r="CG21" s="352"/>
      <c r="CH21" s="352"/>
      <c r="CI21" s="352"/>
      <c r="CJ21" s="352"/>
      <c r="CK21" s="353"/>
    </row>
    <row r="22" spans="2:89" ht="13.5" customHeight="1" thickBot="1">
      <c r="B22" s="21"/>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3"/>
    </row>
    <row r="27" spans="2:89" ht="13.5" customHeight="1" thickBot="1"/>
    <row r="28" spans="2:89" ht="13.5" customHeight="1">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7"/>
    </row>
    <row r="29" spans="2:89" ht="13.5" customHeight="1">
      <c r="B29" s="18"/>
      <c r="C29" s="224" t="s">
        <v>827</v>
      </c>
      <c r="D29" s="224"/>
      <c r="E29" s="224"/>
      <c r="F29" s="224"/>
      <c r="G29" s="224"/>
      <c r="H29" s="224"/>
      <c r="I29" s="224"/>
      <c r="J29" s="224"/>
      <c r="K29" s="224"/>
      <c r="L29" s="224"/>
      <c r="M29" s="224"/>
      <c r="N29" s="19"/>
      <c r="O29" s="19"/>
      <c r="P29" s="19"/>
      <c r="Q29" s="19"/>
      <c r="R29" s="19"/>
      <c r="S29" s="19"/>
      <c r="T29" s="19"/>
      <c r="U29" s="19"/>
      <c r="V29" s="19"/>
      <c r="W29" s="19"/>
      <c r="X29" s="19"/>
      <c r="Y29" s="19"/>
      <c r="Z29" s="19"/>
      <c r="AA29" s="19"/>
      <c r="AB29" s="19"/>
      <c r="AC29" s="19"/>
      <c r="AD29" s="19"/>
      <c r="AE29" s="19"/>
      <c r="AF29" s="19"/>
      <c r="AG29" s="19"/>
      <c r="AH29" s="19"/>
      <c r="AI29" s="19"/>
      <c r="AJ29" s="19"/>
      <c r="AK29" s="20"/>
    </row>
    <row r="30" spans="2:89" ht="13.5" customHeight="1">
      <c r="B30" s="18"/>
      <c r="C30" s="225"/>
      <c r="D30" s="225"/>
      <c r="E30" s="225"/>
      <c r="F30" s="225"/>
      <c r="G30" s="225"/>
      <c r="H30" s="225"/>
      <c r="I30" s="225"/>
      <c r="J30" s="225"/>
      <c r="K30" s="225"/>
      <c r="L30" s="225"/>
      <c r="M30" s="225"/>
      <c r="N30" s="19"/>
      <c r="O30" s="19"/>
      <c r="P30" s="19"/>
      <c r="Q30" s="19"/>
      <c r="R30" s="19"/>
      <c r="S30" s="19"/>
      <c r="T30" s="19"/>
      <c r="U30" s="19"/>
      <c r="V30" s="19"/>
      <c r="W30" s="19"/>
      <c r="X30" s="19"/>
      <c r="Y30" s="19"/>
      <c r="Z30" s="19"/>
      <c r="AA30" s="19"/>
      <c r="AB30" s="19"/>
      <c r="AC30" s="19"/>
      <c r="AD30" s="19"/>
      <c r="AE30" s="19"/>
      <c r="AF30" s="19"/>
      <c r="AG30" s="19"/>
      <c r="AH30" s="19"/>
      <c r="AI30" s="19"/>
      <c r="AJ30" s="19"/>
      <c r="AK30" s="20"/>
    </row>
    <row r="31" spans="2:89" ht="13.5" customHeight="1" thickBot="1">
      <c r="B31" s="18"/>
      <c r="C31" s="19"/>
      <c r="D31" s="19"/>
      <c r="E31" s="19"/>
      <c r="F31" s="19"/>
      <c r="G31" s="19"/>
      <c r="H31" s="19"/>
      <c r="I31" s="19"/>
      <c r="J31" s="19"/>
      <c r="K31" s="19"/>
      <c r="L31" s="19"/>
      <c r="M31" s="19"/>
      <c r="N31" s="19"/>
      <c r="O31" s="19"/>
      <c r="P31" s="19"/>
      <c r="Q31" s="19"/>
      <c r="R31" s="19"/>
      <c r="S31" s="19"/>
      <c r="T31" s="34" t="s">
        <v>835</v>
      </c>
      <c r="U31" s="19"/>
      <c r="V31" s="19"/>
      <c r="W31" s="19"/>
      <c r="X31" s="19"/>
      <c r="Y31" s="19"/>
      <c r="Z31" s="19"/>
      <c r="AA31" s="19"/>
      <c r="AB31" s="19"/>
      <c r="AC31" s="19"/>
      <c r="AD31" s="19"/>
      <c r="AE31" s="19"/>
      <c r="AF31" s="19"/>
      <c r="AG31" s="19"/>
      <c r="AH31" s="19"/>
      <c r="AI31" s="19"/>
      <c r="AJ31" s="19"/>
      <c r="AK31" s="20"/>
    </row>
    <row r="32" spans="2:89" ht="13.5" customHeight="1" thickBot="1">
      <c r="B32" s="18"/>
      <c r="C32" s="34" t="s">
        <v>828</v>
      </c>
      <c r="D32" s="19"/>
      <c r="E32" s="19"/>
      <c r="F32" s="19"/>
      <c r="G32" s="19"/>
      <c r="H32" s="19"/>
      <c r="I32" s="19"/>
      <c r="J32" s="19"/>
      <c r="K32" s="448" t="str">
        <f>IF(MAX(Skills!X6:AA30)&lt;=(Basics!U6+10),"Pass","Fail")</f>
        <v>Pass</v>
      </c>
      <c r="L32" s="449"/>
      <c r="M32" s="449"/>
      <c r="N32" s="449"/>
      <c r="O32" s="450"/>
      <c r="P32" s="19"/>
      <c r="Q32" s="19"/>
      <c r="R32" s="19"/>
      <c r="S32" s="19"/>
      <c r="T32" s="19" t="s">
        <v>833</v>
      </c>
      <c r="U32" s="19"/>
      <c r="V32" s="19"/>
      <c r="W32" s="19"/>
      <c r="X32" s="19"/>
      <c r="Y32" s="19"/>
      <c r="Z32" s="19"/>
      <c r="AA32" s="19"/>
      <c r="AB32" s="19"/>
      <c r="AC32" s="19"/>
      <c r="AD32" s="19"/>
      <c r="AE32" s="19"/>
      <c r="AF32" s="19"/>
      <c r="AG32" s="19"/>
      <c r="AH32" s="19"/>
      <c r="AI32" s="19"/>
      <c r="AJ32" s="19"/>
      <c r="AK32" s="20"/>
    </row>
    <row r="33" spans="2:37" ht="13.5" customHeight="1" thickBot="1">
      <c r="B33" s="18"/>
      <c r="C33" s="34" t="s">
        <v>829</v>
      </c>
      <c r="D33" s="19"/>
      <c r="E33" s="19"/>
      <c r="F33" s="19"/>
      <c r="G33" s="19"/>
      <c r="H33" s="19"/>
      <c r="I33" s="19"/>
      <c r="J33" s="19"/>
      <c r="K33" s="448" t="str">
        <f>IF(MAX(CM8:CQ13)&lt;=(Basics!U6*2),"Pass","Fail")</f>
        <v>Pass</v>
      </c>
      <c r="L33" s="449"/>
      <c r="M33" s="449"/>
      <c r="N33" s="449"/>
      <c r="O33" s="450"/>
      <c r="P33" s="19"/>
      <c r="Q33" s="19"/>
      <c r="R33" s="19"/>
      <c r="S33" s="19"/>
      <c r="T33" s="19" t="s">
        <v>836</v>
      </c>
      <c r="U33" s="19"/>
      <c r="V33" s="19"/>
      <c r="W33" s="19"/>
      <c r="X33" s="19"/>
      <c r="Y33" s="19"/>
      <c r="Z33" s="19"/>
      <c r="AA33" s="19"/>
      <c r="AB33" s="19"/>
      <c r="AC33" s="19"/>
      <c r="AD33" s="19"/>
      <c r="AE33" s="19"/>
      <c r="AF33" s="19"/>
      <c r="AG33" s="19"/>
      <c r="AH33" s="19"/>
      <c r="AI33" s="19"/>
      <c r="AJ33" s="19"/>
      <c r="AK33" s="20"/>
    </row>
    <row r="34" spans="2:37" ht="13.5" customHeight="1" thickBot="1">
      <c r="B34" s="18"/>
      <c r="C34" s="34" t="s">
        <v>830</v>
      </c>
      <c r="D34" s="19"/>
      <c r="E34" s="19"/>
      <c r="F34" s="19"/>
      <c r="G34" s="19"/>
      <c r="H34" s="19"/>
      <c r="I34" s="19"/>
      <c r="J34" s="19"/>
      <c r="K34" s="448" t="str">
        <f>IF((Abilities!AR7+Custom!BJ41)&lt;=(Basics!U6*2),"Pass","Fail")</f>
        <v>Pass</v>
      </c>
      <c r="L34" s="449"/>
      <c r="M34" s="449"/>
      <c r="N34" s="449"/>
      <c r="O34" s="450"/>
      <c r="P34" s="19"/>
      <c r="Q34" s="19"/>
      <c r="R34" s="19"/>
      <c r="S34" s="19"/>
      <c r="T34" s="19" t="s">
        <v>837</v>
      </c>
      <c r="U34" s="19"/>
      <c r="V34" s="19"/>
      <c r="W34" s="19"/>
      <c r="X34" s="19"/>
      <c r="Y34" s="19"/>
      <c r="Z34" s="19"/>
      <c r="AA34" s="19"/>
      <c r="AB34" s="19"/>
      <c r="AC34" s="19"/>
      <c r="AD34" s="19"/>
      <c r="AE34" s="19"/>
      <c r="AF34" s="19"/>
      <c r="AG34" s="19"/>
      <c r="AH34" s="19"/>
      <c r="AI34" s="19"/>
      <c r="AJ34" s="19"/>
      <c r="AK34" s="20"/>
    </row>
    <row r="35" spans="2:37" ht="13.5" customHeight="1" thickBot="1">
      <c r="B35" s="18"/>
      <c r="C35" s="34" t="s">
        <v>831</v>
      </c>
      <c r="D35" s="19"/>
      <c r="E35" s="19"/>
      <c r="F35" s="19"/>
      <c r="G35" s="19"/>
      <c r="H35" s="19"/>
      <c r="I35" s="19"/>
      <c r="J35" s="19"/>
      <c r="K35" s="448" t="str">
        <f>IF((Abilities!AR9+Custom!BJ41)&lt;=(Basics!U6*2),"Pass","Fail")</f>
        <v>Pass</v>
      </c>
      <c r="L35" s="449"/>
      <c r="M35" s="449"/>
      <c r="N35" s="449"/>
      <c r="O35" s="450"/>
      <c r="P35" s="19"/>
      <c r="Q35" s="19"/>
      <c r="R35" s="19"/>
      <c r="S35" s="19"/>
      <c r="T35" s="19" t="s">
        <v>838</v>
      </c>
      <c r="U35" s="19"/>
      <c r="V35" s="19"/>
      <c r="W35" s="19"/>
      <c r="X35" s="19"/>
      <c r="Y35" s="19"/>
      <c r="Z35" s="19"/>
      <c r="AA35" s="19"/>
      <c r="AB35" s="19"/>
      <c r="AC35" s="19"/>
      <c r="AD35" s="19"/>
      <c r="AE35" s="19"/>
      <c r="AF35" s="19"/>
      <c r="AG35" s="19"/>
      <c r="AH35" s="19"/>
      <c r="AI35" s="19"/>
      <c r="AJ35" s="19"/>
      <c r="AK35" s="20"/>
    </row>
    <row r="36" spans="2:37" ht="13.5" customHeight="1" thickBot="1">
      <c r="B36" s="18"/>
      <c r="C36" s="34" t="s">
        <v>832</v>
      </c>
      <c r="D36" s="19"/>
      <c r="E36" s="19"/>
      <c r="F36" s="19"/>
      <c r="G36" s="19"/>
      <c r="H36" s="19"/>
      <c r="I36" s="19"/>
      <c r="J36" s="19"/>
      <c r="K36" s="448" t="str">
        <f>IF((Abilities!AR8+Abilities!AR11)&lt;=(Basics!U6*2),"Pass","Fail")</f>
        <v>Pass</v>
      </c>
      <c r="L36" s="449"/>
      <c r="M36" s="449"/>
      <c r="N36" s="449"/>
      <c r="O36" s="450"/>
      <c r="P36" s="19"/>
      <c r="Q36" s="19"/>
      <c r="R36" s="19"/>
      <c r="S36" s="19"/>
      <c r="T36" s="19" t="s">
        <v>839</v>
      </c>
      <c r="U36" s="19"/>
      <c r="V36" s="19"/>
      <c r="W36" s="19"/>
      <c r="X36" s="19"/>
      <c r="Y36" s="19"/>
      <c r="Z36" s="19"/>
      <c r="AA36" s="19"/>
      <c r="AB36" s="19"/>
      <c r="AC36" s="19"/>
      <c r="AD36" s="19"/>
      <c r="AE36" s="19"/>
      <c r="AF36" s="19"/>
      <c r="AG36" s="19"/>
      <c r="AH36" s="19"/>
      <c r="AI36" s="19"/>
      <c r="AJ36" s="19"/>
      <c r="AK36" s="20"/>
    </row>
    <row r="37" spans="2:37" ht="13.5" customHeight="1" thickBot="1">
      <c r="B37" s="21"/>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3"/>
    </row>
  </sheetData>
  <mergeCells count="84">
    <mergeCell ref="C3:M4"/>
    <mergeCell ref="C8:M8"/>
    <mergeCell ref="N8:S8"/>
    <mergeCell ref="T8:W8"/>
    <mergeCell ref="N7:S7"/>
    <mergeCell ref="T7:W7"/>
    <mergeCell ref="C10:M10"/>
    <mergeCell ref="N10:S10"/>
    <mergeCell ref="T10:W10"/>
    <mergeCell ref="X10:AA10"/>
    <mergeCell ref="AM7:AP7"/>
    <mergeCell ref="AM8:AP8"/>
    <mergeCell ref="AB7:AE7"/>
    <mergeCell ref="AB8:AE8"/>
    <mergeCell ref="X7:AA7"/>
    <mergeCell ref="X8:AA8"/>
    <mergeCell ref="AF6:AL7"/>
    <mergeCell ref="AF8:AL8"/>
    <mergeCell ref="AY8:BP8"/>
    <mergeCell ref="C9:M9"/>
    <mergeCell ref="N9:S9"/>
    <mergeCell ref="T9:W9"/>
    <mergeCell ref="X9:AA9"/>
    <mergeCell ref="AF9:AL9"/>
    <mergeCell ref="AM9:AP9"/>
    <mergeCell ref="AY9:BP9"/>
    <mergeCell ref="AB9:AE9"/>
    <mergeCell ref="C11:M11"/>
    <mergeCell ref="N11:S11"/>
    <mergeCell ref="T11:W11"/>
    <mergeCell ref="X11:AA11"/>
    <mergeCell ref="CM11:CQ11"/>
    <mergeCell ref="AF11:AL11"/>
    <mergeCell ref="AM11:AP11"/>
    <mergeCell ref="AB11:AE11"/>
    <mergeCell ref="CM12:CQ12"/>
    <mergeCell ref="AM13:AP13"/>
    <mergeCell ref="AY13:BP13"/>
    <mergeCell ref="AB12:AE12"/>
    <mergeCell ref="AB13:AE13"/>
    <mergeCell ref="AQ13:AT13"/>
    <mergeCell ref="AF12:AL12"/>
    <mergeCell ref="AM12:AP12"/>
    <mergeCell ref="AQ12:AT12"/>
    <mergeCell ref="CM13:CQ13"/>
    <mergeCell ref="CM6:CQ6"/>
    <mergeCell ref="CM7:CQ7"/>
    <mergeCell ref="CM8:CQ8"/>
    <mergeCell ref="CM9:CQ9"/>
    <mergeCell ref="CM10:CQ10"/>
    <mergeCell ref="AU6:AX7"/>
    <mergeCell ref="BS15:CK21"/>
    <mergeCell ref="C29:M30"/>
    <mergeCell ref="K32:O32"/>
    <mergeCell ref="K33:O33"/>
    <mergeCell ref="AU8:AX8"/>
    <mergeCell ref="AU9:AX9"/>
    <mergeCell ref="AU10:AX10"/>
    <mergeCell ref="AU11:AX11"/>
    <mergeCell ref="AU12:AX12"/>
    <mergeCell ref="AY12:BP12"/>
    <mergeCell ref="AY10:BP10"/>
    <mergeCell ref="AY11:BP11"/>
    <mergeCell ref="C12:M12"/>
    <mergeCell ref="N12:S12"/>
    <mergeCell ref="T12:W12"/>
    <mergeCell ref="K34:O34"/>
    <mergeCell ref="K35:O35"/>
    <mergeCell ref="K36:O36"/>
    <mergeCell ref="AU13:AX13"/>
    <mergeCell ref="C13:M13"/>
    <mergeCell ref="N13:S13"/>
    <mergeCell ref="T13:W13"/>
    <mergeCell ref="X13:AA13"/>
    <mergeCell ref="AF13:AL13"/>
    <mergeCell ref="X12:AA12"/>
    <mergeCell ref="AQ6:AT7"/>
    <mergeCell ref="AQ8:AT8"/>
    <mergeCell ref="AQ9:AT9"/>
    <mergeCell ref="AQ10:AT10"/>
    <mergeCell ref="AQ11:AT11"/>
    <mergeCell ref="AF10:AL10"/>
    <mergeCell ref="AM10:AP10"/>
    <mergeCell ref="AB10:AE10"/>
  </mergeCells>
  <conditionalFormatting sqref="K32:O36">
    <cfRule type="expression" dxfId="0" priority="1" stopIfTrue="1">
      <formula>IF($K32="Pass",TRUE,FALSE)</formula>
    </cfRule>
  </conditionalFormatting>
  <dataValidations count="2">
    <dataValidation type="list" allowBlank="1" showInputMessage="1" showErrorMessage="1" sqref="N8:S13">
      <formula1>"Close,Ranged,Other"</formula1>
    </dataValidation>
    <dataValidation type="list" allowBlank="1" showInputMessage="1" showErrorMessage="1" sqref="AF8:AL13">
      <formula1>CombatSkillList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ClearCalculations">
                <anchor moveWithCells="1" sizeWithCells="1">
                  <from>
                    <xdr:col>1</xdr:col>
                    <xdr:colOff>175260</xdr:colOff>
                    <xdr:row>23</xdr:row>
                    <xdr:rowOff>121920</xdr:rowOff>
                  </from>
                  <to>
                    <xdr:col>7</xdr:col>
                    <xdr:colOff>144780</xdr:colOff>
                    <xdr:row>25</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pageSetUpPr fitToPage="1"/>
  </sheetPr>
  <dimension ref="A1:HZ267"/>
  <sheetViews>
    <sheetView showGridLines="0" zoomScale="40" zoomScaleNormal="40" workbookViewId="0">
      <selection activeCell="AP59" sqref="AP59:BQ62"/>
    </sheetView>
  </sheetViews>
  <sheetFormatPr defaultColWidth="1.6640625" defaultRowHeight="9" customHeight="1"/>
  <cols>
    <col min="1" max="164" width="1.6640625" style="45"/>
    <col min="165" max="165" width="30.44140625" style="45" customWidth="1"/>
    <col min="166" max="16384" width="1.6640625" style="45"/>
  </cols>
  <sheetData>
    <row r="1" spans="1:213" ht="9" customHeight="1" thickBot="1">
      <c r="A1" s="46"/>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8"/>
    </row>
    <row r="2" spans="1:213" ht="9" customHeight="1" thickTop="1">
      <c r="A2" s="49"/>
      <c r="B2" s="604" t="s">
        <v>559</v>
      </c>
      <c r="C2" s="604"/>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N2" s="72"/>
      <c r="AO2" s="583" t="s">
        <v>560</v>
      </c>
      <c r="AP2" s="583"/>
      <c r="AQ2" s="583"/>
      <c r="AR2" s="583"/>
      <c r="AS2" s="583"/>
      <c r="AT2" s="585" t="str">
        <f>IF(Basics!L19="","",Basics!L19)</f>
        <v>Beauty</v>
      </c>
      <c r="AU2" s="585"/>
      <c r="AV2" s="585"/>
      <c r="AW2" s="585"/>
      <c r="AX2" s="585"/>
      <c r="AY2" s="585"/>
      <c r="AZ2" s="585"/>
      <c r="BA2" s="585"/>
      <c r="BB2" s="585"/>
      <c r="BC2" s="585"/>
      <c r="BD2" s="585"/>
      <c r="BE2" s="585"/>
      <c r="BF2" s="585"/>
      <c r="BG2" s="585"/>
      <c r="BH2" s="585"/>
      <c r="BI2" s="585"/>
      <c r="BJ2" s="585"/>
      <c r="BK2" s="585"/>
      <c r="BL2" s="585"/>
      <c r="BM2" s="585"/>
      <c r="BN2" s="585"/>
      <c r="BO2" s="585"/>
      <c r="BP2" s="585"/>
      <c r="BQ2" s="585"/>
      <c r="BR2" s="585"/>
      <c r="BS2" s="585"/>
      <c r="BT2" s="585"/>
      <c r="BU2" s="585"/>
      <c r="BV2" s="585"/>
      <c r="BW2" s="585"/>
      <c r="BX2" s="585"/>
      <c r="BY2" s="585"/>
      <c r="BZ2" s="585"/>
      <c r="CA2" s="585"/>
      <c r="CB2" s="585"/>
      <c r="CC2" s="585"/>
      <c r="CD2" s="585"/>
      <c r="CE2" s="585"/>
      <c r="CF2" s="585"/>
      <c r="CG2" s="585"/>
      <c r="CH2" s="585"/>
      <c r="CI2" s="585"/>
      <c r="CJ2" s="585"/>
      <c r="CK2" s="585"/>
      <c r="CL2" s="585"/>
      <c r="CM2" s="585"/>
      <c r="CN2" s="585"/>
      <c r="CO2" s="585"/>
      <c r="CP2" s="585"/>
      <c r="CQ2" s="585"/>
      <c r="CR2" s="73"/>
      <c r="CS2"/>
      <c r="CT2"/>
      <c r="CU2" s="72"/>
      <c r="CV2" s="583" t="s">
        <v>561</v>
      </c>
      <c r="CW2" s="583"/>
      <c r="CX2" s="583"/>
      <c r="CY2" s="583"/>
      <c r="CZ2" s="583"/>
      <c r="DA2" s="583"/>
      <c r="DB2" s="583"/>
      <c r="DC2" s="583"/>
      <c r="DD2" s="585" t="str">
        <f>IF(Basics!L20="","",Basics!L20)</f>
        <v/>
      </c>
      <c r="DE2" s="585"/>
      <c r="DF2" s="585"/>
      <c r="DG2" s="585"/>
      <c r="DH2" s="585"/>
      <c r="DI2" s="585"/>
      <c r="DJ2" s="585"/>
      <c r="DK2" s="585"/>
      <c r="DL2" s="585"/>
      <c r="DM2" s="585"/>
      <c r="DN2" s="585"/>
      <c r="DO2" s="585"/>
      <c r="DP2" s="585"/>
      <c r="DQ2" s="585"/>
      <c r="DR2" s="585"/>
      <c r="DS2" s="585"/>
      <c r="DT2" s="585"/>
      <c r="DU2" s="585"/>
      <c r="DV2" s="585"/>
      <c r="DW2" s="585"/>
      <c r="DX2" s="585"/>
      <c r="DY2" s="585"/>
      <c r="DZ2" s="585"/>
      <c r="EA2" s="585"/>
      <c r="EB2" s="585"/>
      <c r="EC2" s="585"/>
      <c r="ED2" s="585"/>
      <c r="EE2" s="585"/>
      <c r="EF2" s="585"/>
      <c r="EG2" s="585"/>
      <c r="EH2" s="585"/>
      <c r="EI2" s="585"/>
      <c r="EJ2" s="585"/>
      <c r="EK2" s="585"/>
      <c r="EL2" s="585"/>
      <c r="EM2" s="585"/>
      <c r="EN2" s="585"/>
      <c r="EO2" s="585"/>
      <c r="EP2" s="585"/>
      <c r="EQ2" s="585"/>
      <c r="ER2" s="585"/>
      <c r="ES2" s="585"/>
      <c r="ET2" s="585"/>
      <c r="EU2" s="585"/>
      <c r="EV2" s="585"/>
      <c r="EW2" s="585"/>
      <c r="EX2" s="585"/>
      <c r="EY2" s="73"/>
      <c r="EZ2" s="50"/>
      <c r="FA2" s="50"/>
      <c r="FB2" s="51"/>
    </row>
    <row r="3" spans="1:213" ht="9" customHeight="1" thickBot="1">
      <c r="A3" s="49"/>
      <c r="B3" s="604"/>
      <c r="C3" s="604"/>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N3" s="66"/>
      <c r="AO3" s="584"/>
      <c r="AP3" s="584"/>
      <c r="AQ3" s="584"/>
      <c r="AR3" s="584"/>
      <c r="AS3" s="584"/>
      <c r="AT3" s="586"/>
      <c r="AU3" s="586"/>
      <c r="AV3" s="586"/>
      <c r="AW3" s="586"/>
      <c r="AX3" s="586"/>
      <c r="AY3" s="586"/>
      <c r="AZ3" s="586"/>
      <c r="BA3" s="586"/>
      <c r="BB3" s="586"/>
      <c r="BC3" s="586"/>
      <c r="BD3" s="586"/>
      <c r="BE3" s="586"/>
      <c r="BF3" s="586"/>
      <c r="BG3" s="586"/>
      <c r="BH3" s="586"/>
      <c r="BI3" s="586"/>
      <c r="BJ3" s="586"/>
      <c r="BK3" s="586"/>
      <c r="BL3" s="586"/>
      <c r="BM3" s="586"/>
      <c r="BN3" s="586"/>
      <c r="BO3" s="586"/>
      <c r="BP3" s="586"/>
      <c r="BQ3" s="586"/>
      <c r="BR3" s="586"/>
      <c r="BS3" s="586"/>
      <c r="BT3" s="586"/>
      <c r="BU3" s="586"/>
      <c r="BV3" s="586"/>
      <c r="BW3" s="586"/>
      <c r="BX3" s="586"/>
      <c r="BY3" s="586"/>
      <c r="BZ3" s="586"/>
      <c r="CA3" s="586"/>
      <c r="CB3" s="586"/>
      <c r="CC3" s="586"/>
      <c r="CD3" s="586"/>
      <c r="CE3" s="586"/>
      <c r="CF3" s="586"/>
      <c r="CG3" s="586"/>
      <c r="CH3" s="586"/>
      <c r="CI3" s="586"/>
      <c r="CJ3" s="586"/>
      <c r="CK3" s="586"/>
      <c r="CL3" s="586"/>
      <c r="CM3" s="586"/>
      <c r="CN3" s="586"/>
      <c r="CO3" s="586"/>
      <c r="CP3" s="586"/>
      <c r="CQ3" s="586"/>
      <c r="CR3" s="68"/>
      <c r="CS3" s="69"/>
      <c r="CT3" s="71"/>
      <c r="CU3" s="66"/>
      <c r="CV3" s="584"/>
      <c r="CW3" s="584"/>
      <c r="CX3" s="584"/>
      <c r="CY3" s="584"/>
      <c r="CZ3" s="584"/>
      <c r="DA3" s="584"/>
      <c r="DB3" s="584"/>
      <c r="DC3" s="584"/>
      <c r="DD3" s="613"/>
      <c r="DE3" s="613"/>
      <c r="DF3" s="613"/>
      <c r="DG3" s="613"/>
      <c r="DH3" s="613"/>
      <c r="DI3" s="613"/>
      <c r="DJ3" s="613"/>
      <c r="DK3" s="613"/>
      <c r="DL3" s="613"/>
      <c r="DM3" s="613"/>
      <c r="DN3" s="613"/>
      <c r="DO3" s="613"/>
      <c r="DP3" s="613"/>
      <c r="DQ3" s="613"/>
      <c r="DR3" s="613"/>
      <c r="DS3" s="613"/>
      <c r="DT3" s="613"/>
      <c r="DU3" s="613"/>
      <c r="DV3" s="613"/>
      <c r="DW3" s="613"/>
      <c r="DX3" s="613"/>
      <c r="DY3" s="613"/>
      <c r="DZ3" s="613"/>
      <c r="EA3" s="613"/>
      <c r="EB3" s="613"/>
      <c r="EC3" s="613"/>
      <c r="ED3" s="613"/>
      <c r="EE3" s="613"/>
      <c r="EF3" s="613"/>
      <c r="EG3" s="613"/>
      <c r="EH3" s="613"/>
      <c r="EI3" s="613"/>
      <c r="EJ3" s="613"/>
      <c r="EK3" s="613"/>
      <c r="EL3" s="613"/>
      <c r="EM3" s="613"/>
      <c r="EN3" s="613"/>
      <c r="EO3" s="613"/>
      <c r="EP3" s="613"/>
      <c r="EQ3" s="613"/>
      <c r="ER3" s="613"/>
      <c r="ES3" s="613"/>
      <c r="ET3" s="613"/>
      <c r="EU3" s="613"/>
      <c r="EV3" s="613"/>
      <c r="EW3" s="613"/>
      <c r="EX3" s="613"/>
      <c r="EY3" s="68"/>
      <c r="EZ3" s="50"/>
      <c r="FA3" s="50"/>
      <c r="FB3" s="51"/>
    </row>
    <row r="4" spans="1:213" ht="9" customHeight="1" thickTop="1">
      <c r="A4" s="49"/>
      <c r="B4" s="604"/>
      <c r="C4" s="604"/>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N4" s="66"/>
      <c r="AO4" s="67"/>
      <c r="AP4" s="67"/>
      <c r="AQ4" s="67"/>
      <c r="AR4" s="67"/>
      <c r="AS4" s="67"/>
      <c r="AT4" s="586"/>
      <c r="AU4" s="586"/>
      <c r="AV4" s="586"/>
      <c r="AW4" s="586"/>
      <c r="AX4" s="586"/>
      <c r="AY4" s="586"/>
      <c r="AZ4" s="586"/>
      <c r="BA4" s="586"/>
      <c r="BB4" s="586"/>
      <c r="BC4" s="586"/>
      <c r="BD4" s="586"/>
      <c r="BE4" s="586"/>
      <c r="BF4" s="586"/>
      <c r="BG4" s="586"/>
      <c r="BH4" s="586"/>
      <c r="BI4" s="586"/>
      <c r="BJ4" s="586"/>
      <c r="BK4" s="586"/>
      <c r="BL4" s="586"/>
      <c r="BM4" s="586"/>
      <c r="BN4" s="586"/>
      <c r="BO4" s="586"/>
      <c r="BP4" s="586"/>
      <c r="BQ4" s="586"/>
      <c r="BR4" s="586"/>
      <c r="BS4" s="586"/>
      <c r="BT4" s="586"/>
      <c r="BU4" s="586"/>
      <c r="BV4" s="586"/>
      <c r="BW4" s="586"/>
      <c r="BX4" s="586"/>
      <c r="BY4" s="586"/>
      <c r="BZ4" s="586"/>
      <c r="CA4" s="586"/>
      <c r="CB4" s="586"/>
      <c r="CC4" s="586"/>
      <c r="CD4" s="586"/>
      <c r="CE4" s="586"/>
      <c r="CF4" s="586"/>
      <c r="CG4" s="586"/>
      <c r="CH4" s="586"/>
      <c r="CI4" s="586"/>
      <c r="CJ4" s="586"/>
      <c r="CK4" s="586"/>
      <c r="CL4" s="586"/>
      <c r="CM4" s="586"/>
      <c r="CN4" s="586"/>
      <c r="CO4" s="586"/>
      <c r="CP4" s="586"/>
      <c r="CQ4" s="586"/>
      <c r="CR4" s="68"/>
      <c r="CS4"/>
      <c r="CT4"/>
      <c r="CU4" s="66"/>
      <c r="CV4" s="67"/>
      <c r="CW4" s="67"/>
      <c r="CX4" s="67"/>
      <c r="CY4" s="67"/>
      <c r="CZ4" s="67"/>
      <c r="DA4" s="67"/>
      <c r="DB4" s="67"/>
      <c r="DC4" s="67"/>
      <c r="DD4" s="613"/>
      <c r="DE4" s="613"/>
      <c r="DF4" s="613"/>
      <c r="DG4" s="613"/>
      <c r="DH4" s="613"/>
      <c r="DI4" s="613"/>
      <c r="DJ4" s="613"/>
      <c r="DK4" s="613"/>
      <c r="DL4" s="613"/>
      <c r="DM4" s="613"/>
      <c r="DN4" s="613"/>
      <c r="DO4" s="613"/>
      <c r="DP4" s="613"/>
      <c r="DQ4" s="613"/>
      <c r="DR4" s="613"/>
      <c r="DS4" s="613"/>
      <c r="DT4" s="613"/>
      <c r="DU4" s="613"/>
      <c r="DV4" s="613"/>
      <c r="DW4" s="613"/>
      <c r="DX4" s="613"/>
      <c r="DY4" s="613"/>
      <c r="DZ4" s="613"/>
      <c r="EA4" s="613"/>
      <c r="EB4" s="613"/>
      <c r="EC4" s="613"/>
      <c r="ED4" s="613"/>
      <c r="EE4" s="613"/>
      <c r="EF4" s="613"/>
      <c r="EG4" s="613"/>
      <c r="EH4" s="613"/>
      <c r="EI4" s="613"/>
      <c r="EJ4" s="613"/>
      <c r="EK4" s="613"/>
      <c r="EL4" s="613"/>
      <c r="EM4" s="613"/>
      <c r="EN4" s="613"/>
      <c r="EO4" s="613"/>
      <c r="EP4" s="613"/>
      <c r="EQ4" s="613"/>
      <c r="ER4" s="613"/>
      <c r="ES4" s="613"/>
      <c r="ET4" s="613"/>
      <c r="EU4" s="613"/>
      <c r="EV4" s="613"/>
      <c r="EW4" s="613"/>
      <c r="EX4" s="613"/>
      <c r="EY4" s="68"/>
      <c r="EZ4" s="50"/>
      <c r="FA4" s="50"/>
      <c r="FB4" s="51"/>
    </row>
    <row r="5" spans="1:213" ht="9" customHeight="1" thickBot="1">
      <c r="A5" s="49"/>
      <c r="B5" s="604"/>
      <c r="C5" s="604"/>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N5" s="73"/>
      <c r="AO5" s="70"/>
      <c r="AP5" s="70"/>
      <c r="AQ5" s="70"/>
      <c r="AR5" s="70"/>
      <c r="AS5" s="70"/>
      <c r="AT5" s="587"/>
      <c r="AU5" s="587"/>
      <c r="AV5" s="587"/>
      <c r="AW5" s="587"/>
      <c r="AX5" s="587"/>
      <c r="AY5" s="587"/>
      <c r="AZ5" s="587"/>
      <c r="BA5" s="587"/>
      <c r="BB5" s="587"/>
      <c r="BC5" s="587"/>
      <c r="BD5" s="587"/>
      <c r="BE5" s="587"/>
      <c r="BF5" s="587"/>
      <c r="BG5" s="587"/>
      <c r="BH5" s="587"/>
      <c r="BI5" s="587"/>
      <c r="BJ5" s="587"/>
      <c r="BK5" s="587"/>
      <c r="BL5" s="587"/>
      <c r="BM5" s="587"/>
      <c r="BN5" s="587"/>
      <c r="BO5" s="587"/>
      <c r="BP5" s="587"/>
      <c r="BQ5" s="587"/>
      <c r="BR5" s="587"/>
      <c r="BS5" s="587"/>
      <c r="BT5" s="587"/>
      <c r="BU5" s="587"/>
      <c r="BV5" s="587"/>
      <c r="BW5" s="587"/>
      <c r="BX5" s="587"/>
      <c r="BY5" s="587"/>
      <c r="BZ5" s="587"/>
      <c r="CA5" s="587"/>
      <c r="CB5" s="587"/>
      <c r="CC5" s="587"/>
      <c r="CD5" s="587"/>
      <c r="CE5" s="587"/>
      <c r="CF5" s="587"/>
      <c r="CG5" s="587"/>
      <c r="CH5" s="587"/>
      <c r="CI5" s="587"/>
      <c r="CJ5" s="587"/>
      <c r="CK5" s="587"/>
      <c r="CL5" s="587"/>
      <c r="CM5" s="587"/>
      <c r="CN5" s="587"/>
      <c r="CO5" s="587"/>
      <c r="CP5" s="587"/>
      <c r="CQ5" s="587"/>
      <c r="CR5" s="72"/>
      <c r="CS5"/>
      <c r="CT5"/>
      <c r="CU5" s="73"/>
      <c r="CV5" s="70"/>
      <c r="CW5" s="70"/>
      <c r="CX5" s="70"/>
      <c r="CY5" s="70"/>
      <c r="CZ5" s="70"/>
      <c r="DA5" s="70"/>
      <c r="DB5" s="70"/>
      <c r="DC5" s="70"/>
      <c r="DD5" s="587"/>
      <c r="DE5" s="587"/>
      <c r="DF5" s="587"/>
      <c r="DG5" s="587"/>
      <c r="DH5" s="587"/>
      <c r="DI5" s="587"/>
      <c r="DJ5" s="587"/>
      <c r="DK5" s="587"/>
      <c r="DL5" s="587"/>
      <c r="DM5" s="587"/>
      <c r="DN5" s="587"/>
      <c r="DO5" s="587"/>
      <c r="DP5" s="587"/>
      <c r="DQ5" s="587"/>
      <c r="DR5" s="587"/>
      <c r="DS5" s="587"/>
      <c r="DT5" s="587"/>
      <c r="DU5" s="587"/>
      <c r="DV5" s="587"/>
      <c r="DW5" s="587"/>
      <c r="DX5" s="587"/>
      <c r="DY5" s="587"/>
      <c r="DZ5" s="587"/>
      <c r="EA5" s="587"/>
      <c r="EB5" s="587"/>
      <c r="EC5" s="587"/>
      <c r="ED5" s="587"/>
      <c r="EE5" s="587"/>
      <c r="EF5" s="587"/>
      <c r="EG5" s="587"/>
      <c r="EH5" s="587"/>
      <c r="EI5" s="587"/>
      <c r="EJ5" s="587"/>
      <c r="EK5" s="587"/>
      <c r="EL5" s="587"/>
      <c r="EM5" s="587"/>
      <c r="EN5" s="587"/>
      <c r="EO5" s="587"/>
      <c r="EP5" s="587"/>
      <c r="EQ5" s="587"/>
      <c r="ER5" s="587"/>
      <c r="ES5" s="587"/>
      <c r="ET5" s="587"/>
      <c r="EU5" s="587"/>
      <c r="EV5" s="587"/>
      <c r="EW5" s="587"/>
      <c r="EX5" s="587"/>
      <c r="EY5" s="72"/>
      <c r="EZ5" s="50"/>
      <c r="FA5" s="50"/>
      <c r="FB5" s="51"/>
    </row>
    <row r="6" spans="1:213" ht="9" customHeight="1" thickTop="1" thickBot="1">
      <c r="A6" s="49"/>
      <c r="B6" s="604"/>
      <c r="C6" s="604"/>
      <c r="D6" s="604"/>
      <c r="E6" s="604"/>
      <c r="F6" s="604"/>
      <c r="G6" s="604"/>
      <c r="H6" s="604"/>
      <c r="I6" s="604"/>
      <c r="J6" s="604"/>
      <c r="K6" s="604"/>
      <c r="L6" s="604"/>
      <c r="M6" s="604"/>
      <c r="N6" s="604"/>
      <c r="O6" s="604"/>
      <c r="P6" s="604"/>
      <c r="Q6" s="604"/>
      <c r="R6" s="604"/>
      <c r="S6" s="604"/>
      <c r="T6" s="604"/>
      <c r="U6" s="604"/>
      <c r="V6" s="604"/>
      <c r="W6" s="604"/>
      <c r="X6" s="604"/>
      <c r="Y6" s="604"/>
      <c r="Z6" s="604"/>
      <c r="AA6" s="604"/>
      <c r="AB6" s="604"/>
      <c r="AC6" s="604"/>
      <c r="AD6" s="604"/>
      <c r="AE6" s="604"/>
      <c r="AF6" s="604"/>
      <c r="AG6" s="604"/>
      <c r="AH6" s="604"/>
      <c r="AI6" s="604"/>
      <c r="AN6"/>
      <c r="AO6"/>
      <c r="AP6" s="7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s="76"/>
      <c r="EW6"/>
      <c r="EX6"/>
      <c r="EY6"/>
      <c r="EZ6" s="50"/>
      <c r="FA6" s="50"/>
      <c r="FB6" s="51"/>
      <c r="FH6" s="471" t="s">
        <v>1291</v>
      </c>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3"/>
    </row>
    <row r="7" spans="1:213" ht="9" customHeight="1" thickTop="1">
      <c r="A7" s="49"/>
      <c r="B7" s="604"/>
      <c r="C7" s="604"/>
      <c r="D7" s="604"/>
      <c r="E7" s="604"/>
      <c r="F7" s="604"/>
      <c r="G7" s="604"/>
      <c r="H7" s="604"/>
      <c r="I7" s="604"/>
      <c r="J7" s="604"/>
      <c r="K7" s="604"/>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50"/>
      <c r="AK7" s="50"/>
      <c r="AL7" s="50"/>
      <c r="AM7" s="50"/>
      <c r="AN7" s="72"/>
      <c r="AO7" s="583" t="s">
        <v>562</v>
      </c>
      <c r="AP7" s="583"/>
      <c r="AQ7" s="583"/>
      <c r="AR7" s="583"/>
      <c r="AS7" s="583"/>
      <c r="AT7" s="583"/>
      <c r="AU7" s="583"/>
      <c r="AV7" s="583"/>
      <c r="AW7" s="585" t="str">
        <f>IF(Basics!L21="","",Basics!L21)</f>
        <v>???</v>
      </c>
      <c r="AX7" s="585"/>
      <c r="AY7" s="585"/>
      <c r="AZ7" s="585"/>
      <c r="BA7" s="585"/>
      <c r="BB7" s="585"/>
      <c r="BC7" s="585"/>
      <c r="BD7" s="585"/>
      <c r="BE7" s="585"/>
      <c r="BF7" s="585"/>
      <c r="BG7" s="585"/>
      <c r="BH7" s="585"/>
      <c r="BI7" s="585"/>
      <c r="BJ7" s="585"/>
      <c r="BK7" s="585"/>
      <c r="BL7" s="585"/>
      <c r="BM7" s="585"/>
      <c r="BN7" s="585"/>
      <c r="BO7" s="585"/>
      <c r="BP7" s="585"/>
      <c r="BQ7" s="585"/>
      <c r="BR7" s="585"/>
      <c r="BS7" s="585"/>
      <c r="BT7" s="585"/>
      <c r="BU7" s="585"/>
      <c r="BV7" s="585"/>
      <c r="BW7" s="585"/>
      <c r="BX7" s="585"/>
      <c r="BY7" s="585"/>
      <c r="BZ7" s="585"/>
      <c r="CA7" s="585"/>
      <c r="CB7" s="585"/>
      <c r="CC7" s="585"/>
      <c r="CD7" s="585"/>
      <c r="CE7" s="585"/>
      <c r="CF7" s="585"/>
      <c r="CG7" s="585"/>
      <c r="CH7" s="585"/>
      <c r="CI7" s="585"/>
      <c r="CJ7" s="585"/>
      <c r="CK7" s="585"/>
      <c r="CL7" s="585"/>
      <c r="CM7" s="585"/>
      <c r="CN7" s="585"/>
      <c r="CO7" s="585"/>
      <c r="CP7" s="585"/>
      <c r="CQ7" s="585"/>
      <c r="CR7" s="73"/>
      <c r="CS7"/>
      <c r="CT7"/>
      <c r="CU7" s="72"/>
      <c r="CV7" s="583" t="s">
        <v>563</v>
      </c>
      <c r="CW7" s="583"/>
      <c r="CX7" s="583"/>
      <c r="CY7" s="583"/>
      <c r="CZ7" s="583"/>
      <c r="DA7" s="583"/>
      <c r="DB7" s="583"/>
      <c r="DC7" s="583"/>
      <c r="DD7" s="583"/>
      <c r="DE7" s="583"/>
      <c r="DF7" s="583"/>
      <c r="DG7" s="583"/>
      <c r="DH7" s="583"/>
      <c r="DI7" s="583"/>
      <c r="DJ7" s="583"/>
      <c r="DK7" s="583"/>
      <c r="DL7" s="585" t="str">
        <f>IF(Basics!L22="","",Basics!L22)</f>
        <v>Secret</v>
      </c>
      <c r="DM7" s="585"/>
      <c r="DN7" s="585"/>
      <c r="DO7" s="585"/>
      <c r="DP7" s="585"/>
      <c r="DQ7" s="585"/>
      <c r="DR7" s="585"/>
      <c r="DS7" s="585"/>
      <c r="DT7" s="585"/>
      <c r="DU7" s="585"/>
      <c r="DV7" s="585"/>
      <c r="DW7" s="585"/>
      <c r="DX7" s="585"/>
      <c r="DY7" s="585"/>
      <c r="DZ7" s="585"/>
      <c r="EA7" s="585"/>
      <c r="EB7" s="585"/>
      <c r="EC7" s="585"/>
      <c r="ED7" s="585"/>
      <c r="EE7" s="585"/>
      <c r="EF7" s="585"/>
      <c r="EG7" s="585"/>
      <c r="EH7" s="585"/>
      <c r="EI7" s="585"/>
      <c r="EJ7" s="585"/>
      <c r="EK7" s="585"/>
      <c r="EL7" s="585"/>
      <c r="EM7" s="585"/>
      <c r="EN7" s="585"/>
      <c r="EO7" s="585"/>
      <c r="EP7" s="585"/>
      <c r="EQ7" s="585"/>
      <c r="ER7" s="585"/>
      <c r="ES7" s="585"/>
      <c r="ET7" s="585"/>
      <c r="EU7" s="585"/>
      <c r="EV7" s="585"/>
      <c r="EW7" s="585"/>
      <c r="EX7" s="585"/>
      <c r="EY7" s="73"/>
      <c r="EZ7" s="50"/>
      <c r="FA7" s="50"/>
      <c r="FB7" s="51"/>
      <c r="FH7" s="474"/>
      <c r="FI7" s="475"/>
      <c r="FJ7" s="475"/>
      <c r="FK7" s="475"/>
      <c r="FL7" s="475"/>
      <c r="FM7" s="475"/>
      <c r="FN7" s="475"/>
      <c r="FO7" s="475"/>
      <c r="FP7" s="475"/>
      <c r="FQ7" s="475"/>
      <c r="FR7" s="475"/>
      <c r="FS7" s="475"/>
      <c r="FT7" s="475"/>
      <c r="FU7" s="475"/>
      <c r="FV7" s="475"/>
      <c r="FW7" s="475"/>
      <c r="FX7" s="475"/>
      <c r="FY7" s="475"/>
      <c r="FZ7" s="475"/>
      <c r="GA7" s="475"/>
      <c r="GB7" s="475"/>
      <c r="GC7" s="475"/>
      <c r="GD7" s="475"/>
      <c r="GE7" s="475"/>
      <c r="GF7" s="475"/>
      <c r="GG7" s="475"/>
      <c r="GH7" s="475"/>
      <c r="GI7" s="475"/>
      <c r="GJ7" s="475"/>
      <c r="GK7" s="475"/>
      <c r="GL7" s="475"/>
      <c r="GM7" s="475"/>
      <c r="GN7" s="475"/>
      <c r="GO7" s="475"/>
      <c r="GP7" s="475"/>
      <c r="GQ7" s="475"/>
      <c r="GR7" s="475"/>
      <c r="GS7" s="475"/>
      <c r="GT7" s="475"/>
      <c r="GU7" s="475"/>
      <c r="GV7" s="475"/>
      <c r="GW7" s="475"/>
      <c r="GX7" s="475"/>
      <c r="GY7" s="475"/>
      <c r="GZ7" s="475"/>
      <c r="HA7" s="475"/>
      <c r="HB7" s="475"/>
      <c r="HC7" s="475"/>
      <c r="HD7" s="475"/>
      <c r="HE7" s="476"/>
    </row>
    <row r="8" spans="1:213" ht="9" customHeight="1" thickBot="1">
      <c r="A8" s="49"/>
      <c r="B8" s="604"/>
      <c r="C8" s="604"/>
      <c r="D8" s="604"/>
      <c r="E8" s="604"/>
      <c r="F8" s="604"/>
      <c r="G8" s="604"/>
      <c r="H8" s="604"/>
      <c r="I8" s="604"/>
      <c r="J8" s="604"/>
      <c r="K8" s="604"/>
      <c r="L8" s="604"/>
      <c r="M8" s="604"/>
      <c r="N8" s="604"/>
      <c r="O8" s="604"/>
      <c r="P8" s="604"/>
      <c r="Q8" s="604"/>
      <c r="R8" s="604"/>
      <c r="S8" s="604"/>
      <c r="T8" s="604"/>
      <c r="U8" s="604"/>
      <c r="V8" s="604"/>
      <c r="W8" s="604"/>
      <c r="X8" s="604"/>
      <c r="Y8" s="604"/>
      <c r="Z8" s="604"/>
      <c r="AA8" s="604"/>
      <c r="AB8" s="604"/>
      <c r="AC8" s="604"/>
      <c r="AD8" s="604"/>
      <c r="AE8" s="604"/>
      <c r="AF8" s="604"/>
      <c r="AG8" s="604"/>
      <c r="AH8" s="604"/>
      <c r="AI8" s="604"/>
      <c r="AN8" s="66"/>
      <c r="AO8" s="584"/>
      <c r="AP8" s="584"/>
      <c r="AQ8" s="584"/>
      <c r="AR8" s="584"/>
      <c r="AS8" s="584"/>
      <c r="AT8" s="584"/>
      <c r="AU8" s="584"/>
      <c r="AV8" s="584"/>
      <c r="AW8" s="586"/>
      <c r="AX8" s="586"/>
      <c r="AY8" s="586"/>
      <c r="AZ8" s="586"/>
      <c r="BA8" s="586"/>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68"/>
      <c r="CS8" s="69"/>
      <c r="CT8" s="71"/>
      <c r="CU8" s="66"/>
      <c r="CV8" s="584"/>
      <c r="CW8" s="584"/>
      <c r="CX8" s="584"/>
      <c r="CY8" s="584"/>
      <c r="CZ8" s="584"/>
      <c r="DA8" s="584"/>
      <c r="DB8" s="584"/>
      <c r="DC8" s="584"/>
      <c r="DD8" s="584"/>
      <c r="DE8" s="584"/>
      <c r="DF8" s="584"/>
      <c r="DG8" s="584"/>
      <c r="DH8" s="584"/>
      <c r="DI8" s="584"/>
      <c r="DJ8" s="584"/>
      <c r="DK8" s="584"/>
      <c r="DL8" s="586"/>
      <c r="DM8" s="586"/>
      <c r="DN8" s="586"/>
      <c r="DO8" s="586"/>
      <c r="DP8" s="586"/>
      <c r="DQ8" s="586"/>
      <c r="DR8" s="586"/>
      <c r="DS8" s="586"/>
      <c r="DT8" s="586"/>
      <c r="DU8" s="586"/>
      <c r="DV8" s="586"/>
      <c r="DW8" s="586"/>
      <c r="DX8" s="586"/>
      <c r="DY8" s="586"/>
      <c r="DZ8" s="586"/>
      <c r="EA8" s="586"/>
      <c r="EB8" s="586"/>
      <c r="EC8" s="586"/>
      <c r="ED8" s="586"/>
      <c r="EE8" s="586"/>
      <c r="EF8" s="586"/>
      <c r="EG8" s="586"/>
      <c r="EH8" s="586"/>
      <c r="EI8" s="586"/>
      <c r="EJ8" s="586"/>
      <c r="EK8" s="586"/>
      <c r="EL8" s="586"/>
      <c r="EM8" s="586"/>
      <c r="EN8" s="586"/>
      <c r="EO8" s="586"/>
      <c r="EP8" s="586"/>
      <c r="EQ8" s="586"/>
      <c r="ER8" s="586"/>
      <c r="ES8" s="586"/>
      <c r="ET8" s="586"/>
      <c r="EU8" s="586"/>
      <c r="EV8" s="586"/>
      <c r="EW8" s="586"/>
      <c r="EX8" s="586"/>
      <c r="EY8" s="68"/>
      <c r="EZ8" s="50"/>
      <c r="FA8" s="50"/>
      <c r="FB8" s="51"/>
      <c r="FH8" s="474"/>
      <c r="FI8" s="475"/>
      <c r="FJ8" s="475"/>
      <c r="FK8" s="475"/>
      <c r="FL8" s="475"/>
      <c r="FM8" s="475"/>
      <c r="FN8" s="475"/>
      <c r="FO8" s="475"/>
      <c r="FP8" s="475"/>
      <c r="FQ8" s="475"/>
      <c r="FR8" s="475"/>
      <c r="FS8" s="475"/>
      <c r="FT8" s="475"/>
      <c r="FU8" s="475"/>
      <c r="FV8" s="475"/>
      <c r="FW8" s="475"/>
      <c r="FX8" s="475"/>
      <c r="FY8" s="475"/>
      <c r="FZ8" s="475"/>
      <c r="GA8" s="475"/>
      <c r="GB8" s="475"/>
      <c r="GC8" s="475"/>
      <c r="GD8" s="475"/>
      <c r="GE8" s="475"/>
      <c r="GF8" s="475"/>
      <c r="GG8" s="475"/>
      <c r="GH8" s="475"/>
      <c r="GI8" s="475"/>
      <c r="GJ8" s="475"/>
      <c r="GK8" s="475"/>
      <c r="GL8" s="475"/>
      <c r="GM8" s="475"/>
      <c r="GN8" s="475"/>
      <c r="GO8" s="475"/>
      <c r="GP8" s="475"/>
      <c r="GQ8" s="475"/>
      <c r="GR8" s="475"/>
      <c r="GS8" s="475"/>
      <c r="GT8" s="475"/>
      <c r="GU8" s="475"/>
      <c r="GV8" s="475"/>
      <c r="GW8" s="475"/>
      <c r="GX8" s="475"/>
      <c r="GY8" s="475"/>
      <c r="GZ8" s="475"/>
      <c r="HA8" s="475"/>
      <c r="HB8" s="475"/>
      <c r="HC8" s="475"/>
      <c r="HD8" s="475"/>
      <c r="HE8" s="476"/>
    </row>
    <row r="9" spans="1:213" ht="9" customHeight="1" thickTop="1">
      <c r="A9" s="49"/>
      <c r="B9" s="604"/>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N9" s="66"/>
      <c r="AO9" s="67"/>
      <c r="AP9" s="67"/>
      <c r="AQ9" s="67"/>
      <c r="AR9" s="67"/>
      <c r="AS9" s="67"/>
      <c r="AT9" s="63"/>
      <c r="AU9" s="63"/>
      <c r="AV9" s="63"/>
      <c r="AW9" s="586"/>
      <c r="AX9" s="586"/>
      <c r="AY9" s="586"/>
      <c r="AZ9" s="586"/>
      <c r="BA9" s="586"/>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68"/>
      <c r="CS9"/>
      <c r="CT9"/>
      <c r="CU9" s="66"/>
      <c r="CV9" s="67"/>
      <c r="CW9" s="67"/>
      <c r="CX9" s="67"/>
      <c r="CY9" s="67"/>
      <c r="CZ9" s="67"/>
      <c r="DA9" s="67"/>
      <c r="DB9" s="67"/>
      <c r="DC9" s="67"/>
      <c r="DD9" s="74"/>
      <c r="DE9" s="74"/>
      <c r="DF9" s="74"/>
      <c r="DG9" s="74"/>
      <c r="DH9" s="74"/>
      <c r="DI9" s="74"/>
      <c r="DJ9" s="74"/>
      <c r="DK9" s="74"/>
      <c r="DL9" s="586"/>
      <c r="DM9" s="586"/>
      <c r="DN9" s="586"/>
      <c r="DO9" s="586"/>
      <c r="DP9" s="586"/>
      <c r="DQ9" s="586"/>
      <c r="DR9" s="586"/>
      <c r="DS9" s="586"/>
      <c r="DT9" s="586"/>
      <c r="DU9" s="586"/>
      <c r="DV9" s="586"/>
      <c r="DW9" s="586"/>
      <c r="DX9" s="586"/>
      <c r="DY9" s="586"/>
      <c r="DZ9" s="586"/>
      <c r="EA9" s="586"/>
      <c r="EB9" s="586"/>
      <c r="EC9" s="586"/>
      <c r="ED9" s="586"/>
      <c r="EE9" s="586"/>
      <c r="EF9" s="586"/>
      <c r="EG9" s="586"/>
      <c r="EH9" s="586"/>
      <c r="EI9" s="586"/>
      <c r="EJ9" s="586"/>
      <c r="EK9" s="586"/>
      <c r="EL9" s="586"/>
      <c r="EM9" s="586"/>
      <c r="EN9" s="586"/>
      <c r="EO9" s="586"/>
      <c r="EP9" s="586"/>
      <c r="EQ9" s="586"/>
      <c r="ER9" s="586"/>
      <c r="ES9" s="586"/>
      <c r="ET9" s="586"/>
      <c r="EU9" s="586"/>
      <c r="EV9" s="586"/>
      <c r="EW9" s="586"/>
      <c r="EX9" s="586"/>
      <c r="EY9" s="68"/>
      <c r="EZ9" s="50"/>
      <c r="FA9" s="50"/>
      <c r="FB9" s="51"/>
      <c r="FH9" s="477"/>
      <c r="FI9" s="478"/>
      <c r="FJ9" s="478"/>
      <c r="FK9" s="478"/>
      <c r="FL9" s="478"/>
      <c r="FM9" s="478"/>
      <c r="FN9" s="478"/>
      <c r="FO9" s="478"/>
      <c r="FP9" s="478"/>
      <c r="FQ9" s="478"/>
      <c r="FR9" s="478"/>
      <c r="FS9" s="478"/>
      <c r="FT9" s="478"/>
      <c r="FU9" s="478"/>
      <c r="FV9" s="478"/>
      <c r="FW9" s="478"/>
      <c r="FX9" s="478"/>
      <c r="FY9" s="478"/>
      <c r="FZ9" s="478"/>
      <c r="GA9" s="478"/>
      <c r="GB9" s="478"/>
      <c r="GC9" s="478"/>
      <c r="GD9" s="478"/>
      <c r="GE9" s="478"/>
      <c r="GF9" s="478"/>
      <c r="GG9" s="478"/>
      <c r="GH9" s="478"/>
      <c r="GI9" s="478"/>
      <c r="GJ9" s="478"/>
      <c r="GK9" s="478"/>
      <c r="GL9" s="478"/>
      <c r="GM9" s="478"/>
      <c r="GN9" s="478"/>
      <c r="GO9" s="478"/>
      <c r="GP9" s="478"/>
      <c r="GQ9" s="478"/>
      <c r="GR9" s="478"/>
      <c r="GS9" s="478"/>
      <c r="GT9" s="478"/>
      <c r="GU9" s="478"/>
      <c r="GV9" s="478"/>
      <c r="GW9" s="478"/>
      <c r="GX9" s="478"/>
      <c r="GY9" s="478"/>
      <c r="GZ9" s="478"/>
      <c r="HA9" s="478"/>
      <c r="HB9" s="478"/>
      <c r="HC9" s="478"/>
      <c r="HD9" s="478"/>
      <c r="HE9" s="479"/>
    </row>
    <row r="10" spans="1:213" ht="9" customHeight="1" thickBot="1">
      <c r="A10" s="49"/>
      <c r="B10" s="604"/>
      <c r="C10" s="604"/>
      <c r="D10" s="604"/>
      <c r="E10" s="604"/>
      <c r="F10" s="604"/>
      <c r="G10" s="604"/>
      <c r="H10" s="604"/>
      <c r="I10" s="604"/>
      <c r="J10" s="604"/>
      <c r="K10" s="604"/>
      <c r="L10" s="604"/>
      <c r="M10" s="604"/>
      <c r="N10" s="604"/>
      <c r="O10" s="604"/>
      <c r="P10" s="604"/>
      <c r="Q10" s="604"/>
      <c r="R10" s="604"/>
      <c r="S10" s="604"/>
      <c r="T10" s="604"/>
      <c r="U10" s="604"/>
      <c r="V10" s="604"/>
      <c r="W10" s="604"/>
      <c r="X10" s="604"/>
      <c r="Y10" s="604"/>
      <c r="Z10" s="604"/>
      <c r="AA10" s="604"/>
      <c r="AB10" s="604"/>
      <c r="AC10" s="604"/>
      <c r="AD10" s="604"/>
      <c r="AE10" s="604"/>
      <c r="AF10" s="604"/>
      <c r="AG10" s="604"/>
      <c r="AH10" s="604"/>
      <c r="AI10" s="604"/>
      <c r="AN10" s="73"/>
      <c r="AO10" s="70"/>
      <c r="AP10" s="70"/>
      <c r="AQ10" s="70"/>
      <c r="AR10" s="70"/>
      <c r="AS10" s="70"/>
      <c r="AT10" s="64"/>
      <c r="AU10" s="64"/>
      <c r="AV10" s="64"/>
      <c r="AW10" s="587"/>
      <c r="AX10" s="587"/>
      <c r="AY10" s="587"/>
      <c r="AZ10" s="587"/>
      <c r="BA10" s="587"/>
      <c r="BB10" s="587"/>
      <c r="BC10" s="587"/>
      <c r="BD10" s="587"/>
      <c r="BE10" s="587"/>
      <c r="BF10" s="587"/>
      <c r="BG10" s="587"/>
      <c r="BH10" s="587"/>
      <c r="BI10" s="587"/>
      <c r="BJ10" s="587"/>
      <c r="BK10" s="587"/>
      <c r="BL10" s="587"/>
      <c r="BM10" s="587"/>
      <c r="BN10" s="587"/>
      <c r="BO10" s="587"/>
      <c r="BP10" s="587"/>
      <c r="BQ10" s="587"/>
      <c r="BR10" s="587"/>
      <c r="BS10" s="587"/>
      <c r="BT10" s="587"/>
      <c r="BU10" s="587"/>
      <c r="BV10" s="587"/>
      <c r="BW10" s="587"/>
      <c r="BX10" s="587"/>
      <c r="BY10" s="587"/>
      <c r="BZ10" s="587"/>
      <c r="CA10" s="587"/>
      <c r="CB10" s="587"/>
      <c r="CC10" s="587"/>
      <c r="CD10" s="587"/>
      <c r="CE10" s="587"/>
      <c r="CF10" s="587"/>
      <c r="CG10" s="587"/>
      <c r="CH10" s="587"/>
      <c r="CI10" s="587"/>
      <c r="CJ10" s="587"/>
      <c r="CK10" s="587"/>
      <c r="CL10" s="587"/>
      <c r="CM10" s="587"/>
      <c r="CN10" s="587"/>
      <c r="CO10" s="587"/>
      <c r="CP10" s="587"/>
      <c r="CQ10" s="587"/>
      <c r="CR10" s="72"/>
      <c r="CS10"/>
      <c r="CT10"/>
      <c r="CU10" s="73"/>
      <c r="CV10" s="70"/>
      <c r="CW10" s="70"/>
      <c r="CX10" s="70"/>
      <c r="CY10" s="70"/>
      <c r="CZ10" s="70"/>
      <c r="DA10" s="70"/>
      <c r="DB10" s="70"/>
      <c r="DC10" s="70"/>
      <c r="DD10" s="64"/>
      <c r="DE10" s="64"/>
      <c r="DF10" s="64"/>
      <c r="DG10" s="64"/>
      <c r="DH10" s="64"/>
      <c r="DI10" s="64"/>
      <c r="DJ10" s="64"/>
      <c r="DK10" s="64"/>
      <c r="DL10" s="587"/>
      <c r="DM10" s="587"/>
      <c r="DN10" s="587"/>
      <c r="DO10" s="587"/>
      <c r="DP10" s="587"/>
      <c r="DQ10" s="587"/>
      <c r="DR10" s="587"/>
      <c r="DS10" s="587"/>
      <c r="DT10" s="587"/>
      <c r="DU10" s="587"/>
      <c r="DV10" s="587"/>
      <c r="DW10" s="587"/>
      <c r="DX10" s="587"/>
      <c r="DY10" s="587"/>
      <c r="DZ10" s="587"/>
      <c r="EA10" s="587"/>
      <c r="EB10" s="587"/>
      <c r="EC10" s="587"/>
      <c r="ED10" s="587"/>
      <c r="EE10" s="587"/>
      <c r="EF10" s="587"/>
      <c r="EG10" s="587"/>
      <c r="EH10" s="587"/>
      <c r="EI10" s="587"/>
      <c r="EJ10" s="587"/>
      <c r="EK10" s="587"/>
      <c r="EL10" s="587"/>
      <c r="EM10" s="587"/>
      <c r="EN10" s="587"/>
      <c r="EO10" s="587"/>
      <c r="EP10" s="587"/>
      <c r="EQ10" s="587"/>
      <c r="ER10" s="587"/>
      <c r="ES10" s="587"/>
      <c r="ET10" s="587"/>
      <c r="EU10" s="587"/>
      <c r="EV10" s="587"/>
      <c r="EW10" s="587"/>
      <c r="EX10" s="587"/>
      <c r="EY10" s="72"/>
      <c r="EZ10" s="50"/>
      <c r="FA10" s="50"/>
      <c r="FB10" s="51"/>
      <c r="FH10" s="480"/>
      <c r="FI10" s="481"/>
      <c r="FJ10" s="481"/>
      <c r="FK10" s="481"/>
      <c r="FL10" s="481"/>
      <c r="FM10" s="481"/>
      <c r="FN10" s="481"/>
      <c r="FO10" s="481"/>
      <c r="FP10" s="481"/>
      <c r="FQ10" s="481"/>
      <c r="FR10" s="481"/>
      <c r="FS10" s="481"/>
      <c r="FT10" s="481"/>
      <c r="FU10" s="481"/>
      <c r="FV10" s="481"/>
      <c r="FW10" s="481"/>
      <c r="FX10" s="481"/>
      <c r="FY10" s="481"/>
      <c r="FZ10" s="481"/>
      <c r="GA10" s="481"/>
      <c r="GB10" s="481"/>
      <c r="GC10" s="481"/>
      <c r="GD10" s="481"/>
      <c r="GE10" s="481"/>
      <c r="GF10" s="481"/>
      <c r="GG10" s="481"/>
      <c r="GH10" s="481"/>
      <c r="GI10" s="481"/>
      <c r="GJ10" s="481"/>
      <c r="GK10" s="481"/>
      <c r="GL10" s="481"/>
      <c r="GM10" s="481"/>
      <c r="GN10" s="481"/>
      <c r="GO10" s="481"/>
      <c r="GP10" s="481"/>
      <c r="GQ10" s="481"/>
      <c r="GR10" s="481"/>
      <c r="GS10" s="481"/>
      <c r="GT10" s="481"/>
      <c r="GU10" s="481"/>
      <c r="GV10" s="481"/>
      <c r="GW10" s="481"/>
      <c r="GX10" s="481"/>
      <c r="GY10" s="481"/>
      <c r="GZ10" s="481"/>
      <c r="HA10" s="481"/>
      <c r="HB10" s="481"/>
      <c r="HC10" s="481"/>
      <c r="HD10" s="481"/>
      <c r="HE10" s="484"/>
    </row>
    <row r="11" spans="1:213" ht="9" customHeight="1" thickTop="1" thickBot="1">
      <c r="A11" s="49"/>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N11"/>
      <c r="AO11"/>
      <c r="AP11" s="76"/>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s="76"/>
      <c r="EW11"/>
      <c r="EX11"/>
      <c r="EY11"/>
      <c r="EZ11" s="50"/>
      <c r="FA11" s="50"/>
      <c r="FB11" s="51"/>
      <c r="FH11" s="482"/>
      <c r="FI11" s="483"/>
      <c r="FJ11" s="483"/>
      <c r="FK11" s="483"/>
      <c r="FL11" s="483"/>
      <c r="FM11" s="483"/>
      <c r="FN11" s="483"/>
      <c r="FO11" s="483"/>
      <c r="FP11" s="483"/>
      <c r="FQ11" s="483"/>
      <c r="FR11" s="483"/>
      <c r="FS11" s="483"/>
      <c r="FT11" s="483"/>
      <c r="FU11" s="483"/>
      <c r="FV11" s="483"/>
      <c r="FW11" s="483"/>
      <c r="FX11" s="483"/>
      <c r="FY11" s="483"/>
      <c r="FZ11" s="483"/>
      <c r="GA11" s="483"/>
      <c r="GB11" s="483"/>
      <c r="GC11" s="483"/>
      <c r="GD11" s="483"/>
      <c r="GE11" s="483"/>
      <c r="GF11" s="483"/>
      <c r="GG11" s="483"/>
      <c r="GH11" s="483"/>
      <c r="GI11" s="483"/>
      <c r="GJ11" s="483"/>
      <c r="GK11" s="483"/>
      <c r="GL11" s="483"/>
      <c r="GM11" s="483"/>
      <c r="GN11" s="483"/>
      <c r="GO11" s="483"/>
      <c r="GP11" s="483"/>
      <c r="GQ11" s="483"/>
      <c r="GR11" s="483"/>
      <c r="GS11" s="483"/>
      <c r="GT11" s="483"/>
      <c r="GU11" s="483"/>
      <c r="GV11" s="483"/>
      <c r="GW11" s="483"/>
      <c r="GX11" s="483"/>
      <c r="GY11" s="483"/>
      <c r="GZ11" s="483"/>
      <c r="HA11" s="483"/>
      <c r="HB11" s="483"/>
      <c r="HC11" s="483"/>
      <c r="HD11" s="483"/>
      <c r="HE11" s="485"/>
    </row>
    <row r="12" spans="1:213" ht="9" customHeight="1" thickTop="1">
      <c r="A12" s="49"/>
      <c r="B12" s="72"/>
      <c r="C12" s="583" t="s">
        <v>564</v>
      </c>
      <c r="D12" s="583"/>
      <c r="E12" s="583"/>
      <c r="F12" s="583"/>
      <c r="G12" s="583"/>
      <c r="H12" s="583"/>
      <c r="I12" s="583"/>
      <c r="J12" s="583"/>
      <c r="K12" s="585" t="str">
        <f>IF(Basics!L23="","",Basics!L23)</f>
        <v>Female</v>
      </c>
      <c r="L12" s="585"/>
      <c r="M12" s="585"/>
      <c r="N12" s="585"/>
      <c r="O12" s="585"/>
      <c r="P12" s="585"/>
      <c r="Q12" s="585"/>
      <c r="R12" s="585"/>
      <c r="S12" s="585"/>
      <c r="T12" s="585"/>
      <c r="U12" s="73"/>
      <c r="V12" s="75"/>
      <c r="W12" s="75"/>
      <c r="X12" s="72"/>
      <c r="Y12" s="583" t="s">
        <v>565</v>
      </c>
      <c r="Z12" s="583"/>
      <c r="AA12" s="583"/>
      <c r="AB12" s="583"/>
      <c r="AC12" s="583"/>
      <c r="AD12" s="585" t="str">
        <f>IF(Basics!L24="","",Basics!L24)</f>
        <v>???</v>
      </c>
      <c r="AE12" s="585"/>
      <c r="AF12" s="585"/>
      <c r="AG12" s="585"/>
      <c r="AH12" s="585"/>
      <c r="AI12" s="585"/>
      <c r="AJ12" s="585"/>
      <c r="AK12" s="585"/>
      <c r="AL12" s="585"/>
      <c r="AM12" s="585"/>
      <c r="AN12" s="585"/>
      <c r="AO12" s="585"/>
      <c r="AP12" s="585"/>
      <c r="AQ12" s="73"/>
      <c r="AR12"/>
      <c r="AS12"/>
      <c r="AT12" s="72"/>
      <c r="AU12" s="583" t="s">
        <v>566</v>
      </c>
      <c r="AV12" s="583"/>
      <c r="AW12" s="583"/>
      <c r="AX12" s="583"/>
      <c r="AY12" s="583"/>
      <c r="AZ12" s="583"/>
      <c r="BA12" s="583"/>
      <c r="BB12" s="583"/>
      <c r="BC12" s="585" t="str">
        <f>IF(Basics!L25="","",Basics!L25)</f>
        <v>5'5"</v>
      </c>
      <c r="BD12" s="585"/>
      <c r="BE12" s="585"/>
      <c r="BF12" s="585"/>
      <c r="BG12" s="585"/>
      <c r="BH12" s="585"/>
      <c r="BI12" s="585"/>
      <c r="BJ12" s="585"/>
      <c r="BK12" s="585"/>
      <c r="BL12" s="585"/>
      <c r="BM12" s="585"/>
      <c r="BN12" s="73"/>
      <c r="BO12" s="75"/>
      <c r="BP12" s="75"/>
      <c r="BQ12" s="72"/>
      <c r="BR12" s="583" t="s">
        <v>567</v>
      </c>
      <c r="BS12" s="583"/>
      <c r="BT12" s="583"/>
      <c r="BU12" s="583"/>
      <c r="BV12" s="583"/>
      <c r="BW12" s="583"/>
      <c r="BX12" s="583"/>
      <c r="BY12" s="583"/>
      <c r="BZ12" s="585" t="str">
        <f>IF(Basics!L26="","",Basics!L26)</f>
        <v>130</v>
      </c>
      <c r="CA12" s="585"/>
      <c r="CB12" s="585"/>
      <c r="CC12" s="585"/>
      <c r="CD12" s="585"/>
      <c r="CE12" s="585"/>
      <c r="CF12" s="585"/>
      <c r="CG12" s="585"/>
      <c r="CH12" s="585"/>
      <c r="CI12" s="585"/>
      <c r="CJ12" s="585"/>
      <c r="CK12" s="585"/>
      <c r="CL12" s="585"/>
      <c r="CM12" s="585"/>
      <c r="CN12" s="585"/>
      <c r="CO12" s="73"/>
      <c r="CP12"/>
      <c r="CQ12"/>
      <c r="CR12" s="72"/>
      <c r="CS12" s="583" t="s">
        <v>568</v>
      </c>
      <c r="CT12" s="583"/>
      <c r="CU12" s="583"/>
      <c r="CV12" s="583"/>
      <c r="CW12" s="583"/>
      <c r="CX12" s="583"/>
      <c r="CY12" s="585" t="str">
        <f>IF(Basics!L27="","",Basics!L27)</f>
        <v>Brown</v>
      </c>
      <c r="CZ12" s="585"/>
      <c r="DA12" s="585"/>
      <c r="DB12" s="585"/>
      <c r="DC12" s="585"/>
      <c r="DD12" s="585"/>
      <c r="DE12" s="585"/>
      <c r="DF12" s="585"/>
      <c r="DG12" s="585"/>
      <c r="DH12" s="585"/>
      <c r="DI12" s="585"/>
      <c r="DJ12" s="585"/>
      <c r="DK12" s="585"/>
      <c r="DL12" s="585"/>
      <c r="DM12" s="585"/>
      <c r="DN12" s="585"/>
      <c r="DO12" s="585"/>
      <c r="DP12" s="585"/>
      <c r="DQ12" s="585"/>
      <c r="DR12" s="585"/>
      <c r="DS12" s="585"/>
      <c r="DT12" s="73"/>
      <c r="DU12"/>
      <c r="DV12"/>
      <c r="DW12" s="72"/>
      <c r="DX12" s="583" t="s">
        <v>569</v>
      </c>
      <c r="DY12" s="583"/>
      <c r="DZ12" s="583"/>
      <c r="EA12" s="583"/>
      <c r="EB12" s="583"/>
      <c r="EC12" s="583"/>
      <c r="ED12" s="585" t="str">
        <f>IF(Basics!L28="","",Basics!L28)</f>
        <v>Black</v>
      </c>
      <c r="EE12" s="585"/>
      <c r="EF12" s="585"/>
      <c r="EG12" s="585"/>
      <c r="EH12" s="585"/>
      <c r="EI12" s="585"/>
      <c r="EJ12" s="585"/>
      <c r="EK12" s="585"/>
      <c r="EL12" s="585"/>
      <c r="EM12" s="585"/>
      <c r="EN12" s="585"/>
      <c r="EO12" s="585"/>
      <c r="EP12" s="585"/>
      <c r="EQ12" s="585"/>
      <c r="ER12" s="585"/>
      <c r="ES12" s="585"/>
      <c r="ET12" s="585"/>
      <c r="EU12" s="585"/>
      <c r="EV12" s="585"/>
      <c r="EW12" s="585"/>
      <c r="EX12" s="585"/>
      <c r="EY12" s="73"/>
      <c r="EZ12"/>
      <c r="FA12" s="50"/>
      <c r="FB12" s="51"/>
      <c r="FH12" s="482"/>
      <c r="FI12" s="483"/>
      <c r="FJ12" s="483"/>
      <c r="FK12" s="483"/>
      <c r="FL12" s="483"/>
      <c r="FM12" s="483"/>
      <c r="FN12" s="483"/>
      <c r="FO12" s="483"/>
      <c r="FP12" s="483"/>
      <c r="FQ12" s="483"/>
      <c r="FR12" s="483"/>
      <c r="FS12" s="483"/>
      <c r="FT12" s="483"/>
      <c r="FU12" s="483"/>
      <c r="FV12" s="483"/>
      <c r="FW12" s="483"/>
      <c r="FX12" s="483"/>
      <c r="FY12" s="483"/>
      <c r="FZ12" s="483"/>
      <c r="GA12" s="483"/>
      <c r="GB12" s="483"/>
      <c r="GC12" s="483"/>
      <c r="GD12" s="483"/>
      <c r="GE12" s="483"/>
      <c r="GF12" s="483"/>
      <c r="GG12" s="483"/>
      <c r="GH12" s="483"/>
      <c r="GI12" s="483"/>
      <c r="GJ12" s="483"/>
      <c r="GK12" s="483"/>
      <c r="GL12" s="483"/>
      <c r="GM12" s="483"/>
      <c r="GN12" s="483"/>
      <c r="GO12" s="483"/>
      <c r="GP12" s="483"/>
      <c r="GQ12" s="483"/>
      <c r="GR12" s="483"/>
      <c r="GS12" s="483"/>
      <c r="GT12" s="483"/>
      <c r="GU12" s="483"/>
      <c r="GV12" s="483"/>
      <c r="GW12" s="483"/>
      <c r="GX12" s="483"/>
      <c r="GY12" s="483"/>
      <c r="GZ12" s="483"/>
      <c r="HA12" s="483"/>
      <c r="HB12" s="483"/>
      <c r="HC12" s="483"/>
      <c r="HD12" s="483"/>
      <c r="HE12" s="485"/>
    </row>
    <row r="13" spans="1:213" ht="9" customHeight="1" thickBot="1">
      <c r="A13" s="49"/>
      <c r="B13" s="66"/>
      <c r="C13" s="584"/>
      <c r="D13" s="584"/>
      <c r="E13" s="584"/>
      <c r="F13" s="584"/>
      <c r="G13" s="584"/>
      <c r="H13" s="584"/>
      <c r="I13" s="584"/>
      <c r="J13" s="584"/>
      <c r="K13" s="586"/>
      <c r="L13" s="586"/>
      <c r="M13" s="586"/>
      <c r="N13" s="586"/>
      <c r="O13" s="586"/>
      <c r="P13" s="586"/>
      <c r="Q13" s="586"/>
      <c r="R13" s="586"/>
      <c r="S13" s="586"/>
      <c r="T13" s="586"/>
      <c r="U13" s="68"/>
      <c r="V13" s="77"/>
      <c r="W13" s="62"/>
      <c r="X13" s="66"/>
      <c r="Y13" s="584"/>
      <c r="Z13" s="584"/>
      <c r="AA13" s="584"/>
      <c r="AB13" s="584"/>
      <c r="AC13" s="584"/>
      <c r="AD13" s="586"/>
      <c r="AE13" s="586"/>
      <c r="AF13" s="586"/>
      <c r="AG13" s="586"/>
      <c r="AH13" s="586"/>
      <c r="AI13" s="586"/>
      <c r="AJ13" s="586"/>
      <c r="AK13" s="586"/>
      <c r="AL13" s="586"/>
      <c r="AM13" s="586"/>
      <c r="AN13" s="586"/>
      <c r="AO13" s="586"/>
      <c r="AP13" s="586"/>
      <c r="AQ13" s="68"/>
      <c r="AR13" s="77"/>
      <c r="AS13" s="62"/>
      <c r="AT13" s="66"/>
      <c r="AU13" s="584"/>
      <c r="AV13" s="584"/>
      <c r="AW13" s="584"/>
      <c r="AX13" s="584"/>
      <c r="AY13" s="584"/>
      <c r="AZ13" s="584"/>
      <c r="BA13" s="584"/>
      <c r="BB13" s="584"/>
      <c r="BC13" s="586"/>
      <c r="BD13" s="586"/>
      <c r="BE13" s="586"/>
      <c r="BF13" s="586"/>
      <c r="BG13" s="586"/>
      <c r="BH13" s="586"/>
      <c r="BI13" s="586"/>
      <c r="BJ13" s="586"/>
      <c r="BK13" s="586"/>
      <c r="BL13" s="586"/>
      <c r="BM13" s="586"/>
      <c r="BN13" s="68"/>
      <c r="BO13" s="77"/>
      <c r="BP13" s="62"/>
      <c r="BQ13" s="66"/>
      <c r="BR13" s="584"/>
      <c r="BS13" s="584"/>
      <c r="BT13" s="584"/>
      <c r="BU13" s="584"/>
      <c r="BV13" s="584"/>
      <c r="BW13" s="584"/>
      <c r="BX13" s="584"/>
      <c r="BY13" s="584"/>
      <c r="BZ13" s="586"/>
      <c r="CA13" s="586"/>
      <c r="CB13" s="586"/>
      <c r="CC13" s="586"/>
      <c r="CD13" s="586"/>
      <c r="CE13" s="586"/>
      <c r="CF13" s="586"/>
      <c r="CG13" s="586"/>
      <c r="CH13" s="586"/>
      <c r="CI13" s="586"/>
      <c r="CJ13" s="586"/>
      <c r="CK13" s="586"/>
      <c r="CL13" s="586"/>
      <c r="CM13" s="586"/>
      <c r="CN13" s="586"/>
      <c r="CO13" s="68"/>
      <c r="CP13" s="77"/>
      <c r="CQ13" s="62"/>
      <c r="CR13" s="66"/>
      <c r="CS13" s="584"/>
      <c r="CT13" s="584"/>
      <c r="CU13" s="584"/>
      <c r="CV13" s="584"/>
      <c r="CW13" s="584"/>
      <c r="CX13" s="584"/>
      <c r="CY13" s="586"/>
      <c r="CZ13" s="586"/>
      <c r="DA13" s="586"/>
      <c r="DB13" s="586"/>
      <c r="DC13" s="586"/>
      <c r="DD13" s="586"/>
      <c r="DE13" s="586"/>
      <c r="DF13" s="586"/>
      <c r="DG13" s="586"/>
      <c r="DH13" s="586"/>
      <c r="DI13" s="586"/>
      <c r="DJ13" s="586"/>
      <c r="DK13" s="586"/>
      <c r="DL13" s="586"/>
      <c r="DM13" s="586"/>
      <c r="DN13" s="586"/>
      <c r="DO13" s="586"/>
      <c r="DP13" s="586"/>
      <c r="DQ13" s="586"/>
      <c r="DR13" s="586"/>
      <c r="DS13" s="586"/>
      <c r="DT13" s="68"/>
      <c r="DU13" s="77"/>
      <c r="DV13" s="62"/>
      <c r="DW13" s="66"/>
      <c r="DX13" s="584"/>
      <c r="DY13" s="584"/>
      <c r="DZ13" s="584"/>
      <c r="EA13" s="584"/>
      <c r="EB13" s="584"/>
      <c r="EC13" s="584"/>
      <c r="ED13" s="586"/>
      <c r="EE13" s="586"/>
      <c r="EF13" s="586"/>
      <c r="EG13" s="586"/>
      <c r="EH13" s="586"/>
      <c r="EI13" s="586"/>
      <c r="EJ13" s="586"/>
      <c r="EK13" s="586"/>
      <c r="EL13" s="586"/>
      <c r="EM13" s="586"/>
      <c r="EN13" s="586"/>
      <c r="EO13" s="586"/>
      <c r="EP13" s="586"/>
      <c r="EQ13" s="586"/>
      <c r="ER13" s="586"/>
      <c r="ES13" s="586"/>
      <c r="ET13" s="586"/>
      <c r="EU13" s="586"/>
      <c r="EV13" s="586"/>
      <c r="EW13" s="586"/>
      <c r="EX13" s="586"/>
      <c r="EY13" s="68"/>
      <c r="EZ13" s="50"/>
      <c r="FA13" s="50"/>
      <c r="FB13" s="51"/>
      <c r="FH13" s="482"/>
      <c r="FI13" s="483"/>
      <c r="FJ13" s="483"/>
      <c r="FK13" s="483"/>
      <c r="FL13" s="483"/>
      <c r="FM13" s="483"/>
      <c r="FN13" s="483"/>
      <c r="FO13" s="483"/>
      <c r="FP13" s="483"/>
      <c r="FQ13" s="483"/>
      <c r="FR13" s="483"/>
      <c r="FS13" s="483"/>
      <c r="FT13" s="483"/>
      <c r="FU13" s="483"/>
      <c r="FV13" s="483"/>
      <c r="FW13" s="483"/>
      <c r="FX13" s="483"/>
      <c r="FY13" s="483"/>
      <c r="FZ13" s="483"/>
      <c r="GA13" s="483"/>
      <c r="GB13" s="483"/>
      <c r="GC13" s="483"/>
      <c r="GD13" s="483"/>
      <c r="GE13" s="483"/>
      <c r="GF13" s="483"/>
      <c r="GG13" s="483"/>
      <c r="GH13" s="483"/>
      <c r="GI13" s="483"/>
      <c r="GJ13" s="483"/>
      <c r="GK13" s="483"/>
      <c r="GL13" s="483"/>
      <c r="GM13" s="483"/>
      <c r="GN13" s="483"/>
      <c r="GO13" s="483"/>
      <c r="GP13" s="483"/>
      <c r="GQ13" s="483"/>
      <c r="GR13" s="483"/>
      <c r="GS13" s="483"/>
      <c r="GT13" s="483"/>
      <c r="GU13" s="483"/>
      <c r="GV13" s="483"/>
      <c r="GW13" s="483"/>
      <c r="GX13" s="483"/>
      <c r="GY13" s="483"/>
      <c r="GZ13" s="483"/>
      <c r="HA13" s="483"/>
      <c r="HB13" s="483"/>
      <c r="HC13" s="483"/>
      <c r="HD13" s="483"/>
      <c r="HE13" s="485"/>
    </row>
    <row r="14" spans="1:213" ht="9" customHeight="1" thickTop="1">
      <c r="A14" s="49"/>
      <c r="B14" s="66"/>
      <c r="C14" s="67"/>
      <c r="D14" s="67"/>
      <c r="E14" s="67"/>
      <c r="F14" s="67"/>
      <c r="G14" s="67"/>
      <c r="H14" s="67"/>
      <c r="I14" s="67"/>
      <c r="J14" s="67"/>
      <c r="K14" s="586"/>
      <c r="L14" s="586"/>
      <c r="M14" s="586"/>
      <c r="N14" s="586"/>
      <c r="O14" s="586"/>
      <c r="P14" s="586"/>
      <c r="Q14" s="586"/>
      <c r="R14" s="586"/>
      <c r="S14" s="586"/>
      <c r="T14" s="586"/>
      <c r="U14" s="68"/>
      <c r="V14" s="50"/>
      <c r="W14" s="50"/>
      <c r="X14" s="66"/>
      <c r="Y14" s="67"/>
      <c r="Z14" s="67"/>
      <c r="AA14" s="67"/>
      <c r="AB14" s="67"/>
      <c r="AC14" s="67"/>
      <c r="AD14" s="586"/>
      <c r="AE14" s="586"/>
      <c r="AF14" s="586"/>
      <c r="AG14" s="586"/>
      <c r="AH14" s="586"/>
      <c r="AI14" s="586"/>
      <c r="AJ14" s="586"/>
      <c r="AK14" s="586"/>
      <c r="AL14" s="586"/>
      <c r="AM14" s="586"/>
      <c r="AN14" s="586"/>
      <c r="AO14" s="586"/>
      <c r="AP14" s="586"/>
      <c r="AQ14" s="68"/>
      <c r="AR14" s="50"/>
      <c r="AS14" s="50"/>
      <c r="AT14" s="66"/>
      <c r="AU14" s="67"/>
      <c r="AV14" s="67"/>
      <c r="AW14" s="67"/>
      <c r="AX14" s="67"/>
      <c r="AY14" s="67"/>
      <c r="AZ14" s="67"/>
      <c r="BA14" s="67"/>
      <c r="BB14" s="67"/>
      <c r="BC14" s="586"/>
      <c r="BD14" s="586"/>
      <c r="BE14" s="586"/>
      <c r="BF14" s="586"/>
      <c r="BG14" s="586"/>
      <c r="BH14" s="586"/>
      <c r="BI14" s="586"/>
      <c r="BJ14" s="586"/>
      <c r="BK14" s="586"/>
      <c r="BL14" s="586"/>
      <c r="BM14" s="586"/>
      <c r="BN14" s="68"/>
      <c r="BO14" s="50"/>
      <c r="BP14" s="50"/>
      <c r="BQ14" s="66"/>
      <c r="BR14" s="67"/>
      <c r="BS14" s="67"/>
      <c r="BT14" s="67"/>
      <c r="BU14" s="67"/>
      <c r="BV14" s="67"/>
      <c r="BW14" s="67"/>
      <c r="BX14" s="67"/>
      <c r="BY14" s="67"/>
      <c r="BZ14" s="586"/>
      <c r="CA14" s="586"/>
      <c r="CB14" s="586"/>
      <c r="CC14" s="586"/>
      <c r="CD14" s="586"/>
      <c r="CE14" s="586"/>
      <c r="CF14" s="586"/>
      <c r="CG14" s="586"/>
      <c r="CH14" s="586"/>
      <c r="CI14" s="586"/>
      <c r="CJ14" s="586"/>
      <c r="CK14" s="586"/>
      <c r="CL14" s="586"/>
      <c r="CM14" s="586"/>
      <c r="CN14" s="586"/>
      <c r="CO14" s="68"/>
      <c r="CP14" s="50"/>
      <c r="CQ14" s="50"/>
      <c r="CR14" s="66"/>
      <c r="CS14" s="67"/>
      <c r="CT14" s="67"/>
      <c r="CU14" s="67"/>
      <c r="CV14" s="67"/>
      <c r="CW14" s="67"/>
      <c r="CX14" s="67"/>
      <c r="CY14" s="586"/>
      <c r="CZ14" s="586"/>
      <c r="DA14" s="586"/>
      <c r="DB14" s="586"/>
      <c r="DC14" s="586"/>
      <c r="DD14" s="586"/>
      <c r="DE14" s="586"/>
      <c r="DF14" s="586"/>
      <c r="DG14" s="586"/>
      <c r="DH14" s="586"/>
      <c r="DI14" s="586"/>
      <c r="DJ14" s="586"/>
      <c r="DK14" s="586"/>
      <c r="DL14" s="586"/>
      <c r="DM14" s="586"/>
      <c r="DN14" s="586"/>
      <c r="DO14" s="586"/>
      <c r="DP14" s="586"/>
      <c r="DQ14" s="586"/>
      <c r="DR14" s="586"/>
      <c r="DS14" s="586"/>
      <c r="DT14" s="68"/>
      <c r="DU14" s="50"/>
      <c r="DV14" s="50"/>
      <c r="DW14" s="66"/>
      <c r="DX14" s="67"/>
      <c r="DY14" s="67"/>
      <c r="DZ14" s="67"/>
      <c r="EA14" s="67"/>
      <c r="EB14" s="67"/>
      <c r="EC14" s="67"/>
      <c r="ED14" s="586"/>
      <c r="EE14" s="586"/>
      <c r="EF14" s="586"/>
      <c r="EG14" s="586"/>
      <c r="EH14" s="586"/>
      <c r="EI14" s="586"/>
      <c r="EJ14" s="586"/>
      <c r="EK14" s="586"/>
      <c r="EL14" s="586"/>
      <c r="EM14" s="586"/>
      <c r="EN14" s="586"/>
      <c r="EO14" s="586"/>
      <c r="EP14" s="586"/>
      <c r="EQ14" s="586"/>
      <c r="ER14" s="586"/>
      <c r="ES14" s="586"/>
      <c r="ET14" s="586"/>
      <c r="EU14" s="586"/>
      <c r="EV14" s="586"/>
      <c r="EW14" s="586"/>
      <c r="EX14" s="586"/>
      <c r="EY14" s="68"/>
      <c r="EZ14" s="50"/>
      <c r="FA14" s="50"/>
      <c r="FB14" s="51"/>
      <c r="FH14" s="482"/>
      <c r="FI14" s="483"/>
      <c r="FJ14" s="483"/>
      <c r="FK14" s="483"/>
      <c r="FL14" s="483"/>
      <c r="FM14" s="483"/>
      <c r="FN14" s="483"/>
      <c r="FO14" s="483"/>
      <c r="FP14" s="483"/>
      <c r="FQ14" s="483"/>
      <c r="FR14" s="483"/>
      <c r="FS14" s="483"/>
      <c r="FT14" s="483"/>
      <c r="FU14" s="483"/>
      <c r="FV14" s="483"/>
      <c r="FW14" s="483"/>
      <c r="FX14" s="483"/>
      <c r="FY14" s="483"/>
      <c r="FZ14" s="483"/>
      <c r="GA14" s="483"/>
      <c r="GB14" s="483"/>
      <c r="GC14" s="483"/>
      <c r="GD14" s="483"/>
      <c r="GE14" s="483"/>
      <c r="GF14" s="483"/>
      <c r="GG14" s="483"/>
      <c r="GH14" s="483"/>
      <c r="GI14" s="483"/>
      <c r="GJ14" s="483"/>
      <c r="GK14" s="483"/>
      <c r="GL14" s="483"/>
      <c r="GM14" s="483"/>
      <c r="GN14" s="483"/>
      <c r="GO14" s="483"/>
      <c r="GP14" s="483"/>
      <c r="GQ14" s="483"/>
      <c r="GR14" s="483"/>
      <c r="GS14" s="483"/>
      <c r="GT14" s="483"/>
      <c r="GU14" s="483"/>
      <c r="GV14" s="483"/>
      <c r="GW14" s="483"/>
      <c r="GX14" s="483"/>
      <c r="GY14" s="483"/>
      <c r="GZ14" s="483"/>
      <c r="HA14" s="483"/>
      <c r="HB14" s="483"/>
      <c r="HC14" s="483"/>
      <c r="HD14" s="483"/>
      <c r="HE14" s="485"/>
    </row>
    <row r="15" spans="1:213" ht="9" customHeight="1" thickBot="1">
      <c r="A15" s="49"/>
      <c r="B15" s="73"/>
      <c r="C15" s="70"/>
      <c r="D15" s="70"/>
      <c r="E15" s="70"/>
      <c r="F15" s="70"/>
      <c r="G15" s="70"/>
      <c r="H15" s="70"/>
      <c r="I15" s="70"/>
      <c r="J15" s="70"/>
      <c r="K15" s="587"/>
      <c r="L15" s="587"/>
      <c r="M15" s="587"/>
      <c r="N15" s="587"/>
      <c r="O15" s="587"/>
      <c r="P15" s="587"/>
      <c r="Q15" s="587"/>
      <c r="R15" s="587"/>
      <c r="S15" s="587"/>
      <c r="T15" s="587"/>
      <c r="U15" s="72"/>
      <c r="V15" s="50"/>
      <c r="W15" s="50"/>
      <c r="X15" s="73"/>
      <c r="Y15" s="70"/>
      <c r="Z15" s="70"/>
      <c r="AA15" s="70"/>
      <c r="AB15" s="70"/>
      <c r="AC15" s="70"/>
      <c r="AD15" s="587"/>
      <c r="AE15" s="587"/>
      <c r="AF15" s="587"/>
      <c r="AG15" s="587"/>
      <c r="AH15" s="587"/>
      <c r="AI15" s="587"/>
      <c r="AJ15" s="587"/>
      <c r="AK15" s="587"/>
      <c r="AL15" s="587"/>
      <c r="AM15" s="587"/>
      <c r="AN15" s="587"/>
      <c r="AO15" s="587"/>
      <c r="AP15" s="587"/>
      <c r="AQ15" s="72"/>
      <c r="AR15" s="50"/>
      <c r="AS15" s="50"/>
      <c r="AT15" s="73"/>
      <c r="AU15" s="70"/>
      <c r="AV15" s="70"/>
      <c r="AW15" s="70"/>
      <c r="AX15" s="70"/>
      <c r="AY15" s="70"/>
      <c r="AZ15" s="70"/>
      <c r="BA15" s="70"/>
      <c r="BB15" s="70"/>
      <c r="BC15" s="587"/>
      <c r="BD15" s="587"/>
      <c r="BE15" s="587"/>
      <c r="BF15" s="587"/>
      <c r="BG15" s="587"/>
      <c r="BH15" s="587"/>
      <c r="BI15" s="587"/>
      <c r="BJ15" s="587"/>
      <c r="BK15" s="587"/>
      <c r="BL15" s="587"/>
      <c r="BM15" s="587"/>
      <c r="BN15" s="72"/>
      <c r="BO15" s="50"/>
      <c r="BP15" s="50"/>
      <c r="BQ15" s="73"/>
      <c r="BR15" s="70"/>
      <c r="BS15" s="70"/>
      <c r="BT15" s="70"/>
      <c r="BU15" s="70"/>
      <c r="BV15" s="70"/>
      <c r="BW15" s="70"/>
      <c r="BX15" s="70"/>
      <c r="BY15" s="70"/>
      <c r="BZ15" s="587"/>
      <c r="CA15" s="587"/>
      <c r="CB15" s="587"/>
      <c r="CC15" s="587"/>
      <c r="CD15" s="587"/>
      <c r="CE15" s="587"/>
      <c r="CF15" s="587"/>
      <c r="CG15" s="587"/>
      <c r="CH15" s="587"/>
      <c r="CI15" s="587"/>
      <c r="CJ15" s="587"/>
      <c r="CK15" s="587"/>
      <c r="CL15" s="587"/>
      <c r="CM15" s="587"/>
      <c r="CN15" s="587"/>
      <c r="CO15" s="72"/>
      <c r="CP15" s="50"/>
      <c r="CQ15" s="50"/>
      <c r="CR15" s="73"/>
      <c r="CS15" s="70"/>
      <c r="CT15" s="70"/>
      <c r="CU15" s="70"/>
      <c r="CV15" s="70"/>
      <c r="CW15" s="70"/>
      <c r="CX15" s="70"/>
      <c r="CY15" s="587"/>
      <c r="CZ15" s="587"/>
      <c r="DA15" s="587"/>
      <c r="DB15" s="587"/>
      <c r="DC15" s="587"/>
      <c r="DD15" s="587"/>
      <c r="DE15" s="587"/>
      <c r="DF15" s="587"/>
      <c r="DG15" s="587"/>
      <c r="DH15" s="587"/>
      <c r="DI15" s="587"/>
      <c r="DJ15" s="587"/>
      <c r="DK15" s="587"/>
      <c r="DL15" s="587"/>
      <c r="DM15" s="587"/>
      <c r="DN15" s="587"/>
      <c r="DO15" s="587"/>
      <c r="DP15" s="587"/>
      <c r="DQ15" s="587"/>
      <c r="DR15" s="587"/>
      <c r="DS15" s="587"/>
      <c r="DT15" s="72"/>
      <c r="DU15" s="50"/>
      <c r="DV15" s="50"/>
      <c r="DW15" s="73"/>
      <c r="DX15" s="70"/>
      <c r="DY15" s="70"/>
      <c r="DZ15" s="70"/>
      <c r="EA15" s="70"/>
      <c r="EB15" s="70"/>
      <c r="EC15" s="70"/>
      <c r="ED15" s="587"/>
      <c r="EE15" s="587"/>
      <c r="EF15" s="587"/>
      <c r="EG15" s="587"/>
      <c r="EH15" s="587"/>
      <c r="EI15" s="587"/>
      <c r="EJ15" s="587"/>
      <c r="EK15" s="587"/>
      <c r="EL15" s="587"/>
      <c r="EM15" s="587"/>
      <c r="EN15" s="587"/>
      <c r="EO15" s="587"/>
      <c r="EP15" s="587"/>
      <c r="EQ15" s="587"/>
      <c r="ER15" s="587"/>
      <c r="ES15" s="587"/>
      <c r="ET15" s="587"/>
      <c r="EU15" s="587"/>
      <c r="EV15" s="587"/>
      <c r="EW15" s="587"/>
      <c r="EX15" s="587"/>
      <c r="EY15" s="72"/>
      <c r="EZ15" s="50"/>
      <c r="FA15" s="50"/>
      <c r="FB15" s="51"/>
      <c r="FH15" s="482"/>
      <c r="FI15" s="483"/>
      <c r="FJ15" s="483"/>
      <c r="FK15" s="483"/>
      <c r="FL15" s="483"/>
      <c r="FM15" s="483"/>
      <c r="FN15" s="483"/>
      <c r="FO15" s="483"/>
      <c r="FP15" s="483"/>
      <c r="FQ15" s="483"/>
      <c r="FR15" s="483"/>
      <c r="FS15" s="483"/>
      <c r="FT15" s="483"/>
      <c r="FU15" s="483"/>
      <c r="FV15" s="483"/>
      <c r="FW15" s="483"/>
      <c r="FX15" s="483"/>
      <c r="FY15" s="483"/>
      <c r="FZ15" s="483"/>
      <c r="GA15" s="483"/>
      <c r="GB15" s="483"/>
      <c r="GC15" s="483"/>
      <c r="GD15" s="483"/>
      <c r="GE15" s="483"/>
      <c r="GF15" s="483"/>
      <c r="GG15" s="483"/>
      <c r="GH15" s="483"/>
      <c r="GI15" s="483"/>
      <c r="GJ15" s="483"/>
      <c r="GK15" s="483"/>
      <c r="GL15" s="483"/>
      <c r="GM15" s="483"/>
      <c r="GN15" s="483"/>
      <c r="GO15" s="483"/>
      <c r="GP15" s="483"/>
      <c r="GQ15" s="483"/>
      <c r="GR15" s="483"/>
      <c r="GS15" s="483"/>
      <c r="GT15" s="483"/>
      <c r="GU15" s="483"/>
      <c r="GV15" s="483"/>
      <c r="GW15" s="483"/>
      <c r="GX15" s="483"/>
      <c r="GY15" s="483"/>
      <c r="GZ15" s="483"/>
      <c r="HA15" s="483"/>
      <c r="HB15" s="483"/>
      <c r="HC15" s="483"/>
      <c r="HD15" s="483"/>
      <c r="HE15" s="485"/>
    </row>
    <row r="16" spans="1:213" ht="9" customHeight="1" thickTop="1" thickBot="1">
      <c r="A16" s="49"/>
      <c r="B16" s="50"/>
      <c r="C16" s="50"/>
      <c r="D16" s="78"/>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78"/>
      <c r="DK16" s="50"/>
      <c r="DL16" s="50"/>
      <c r="DM16" s="50"/>
      <c r="DN16" s="50"/>
      <c r="DO16" s="50"/>
      <c r="DP16" s="65"/>
      <c r="DQ16" s="65"/>
      <c r="DR16" s="65"/>
      <c r="DS16" s="65"/>
      <c r="DT16" s="67"/>
      <c r="DU16" s="50"/>
      <c r="DV16" s="50"/>
      <c r="DW16" s="67"/>
      <c r="DX16" s="67"/>
      <c r="DY16" s="67"/>
      <c r="DZ16" s="67"/>
      <c r="EA16" s="67"/>
      <c r="EB16" s="67"/>
      <c r="EC16" s="67"/>
      <c r="ED16" s="65"/>
      <c r="EE16" s="65"/>
      <c r="EF16" s="65"/>
      <c r="EG16" s="65"/>
      <c r="EH16" s="65"/>
      <c r="EI16" s="65"/>
      <c r="EJ16" s="65"/>
      <c r="EK16" s="65"/>
      <c r="EL16" s="65"/>
      <c r="EM16" s="65"/>
      <c r="EN16" s="65"/>
      <c r="EO16" s="65"/>
      <c r="EP16" s="65"/>
      <c r="EQ16" s="65"/>
      <c r="ER16" s="65"/>
      <c r="ES16" s="65"/>
      <c r="ET16" s="65"/>
      <c r="EU16" s="65"/>
      <c r="EV16" s="65"/>
      <c r="EW16" s="65"/>
      <c r="EX16" s="65"/>
      <c r="EY16" s="67"/>
      <c r="EZ16" s="50"/>
      <c r="FA16" s="50"/>
      <c r="FB16" s="51"/>
      <c r="FH16" s="482"/>
      <c r="FI16" s="483"/>
      <c r="FJ16" s="483"/>
      <c r="FK16" s="483"/>
      <c r="FL16" s="483"/>
      <c r="FM16" s="483"/>
      <c r="FN16" s="483"/>
      <c r="FO16" s="483"/>
      <c r="FP16" s="483"/>
      <c r="FQ16" s="483"/>
      <c r="FR16" s="483"/>
      <c r="FS16" s="483"/>
      <c r="FT16" s="483"/>
      <c r="FU16" s="483"/>
      <c r="FV16" s="483"/>
      <c r="FW16" s="483"/>
      <c r="FX16" s="483"/>
      <c r="FY16" s="483"/>
      <c r="FZ16" s="483"/>
      <c r="GA16" s="483"/>
      <c r="GB16" s="483"/>
      <c r="GC16" s="483"/>
      <c r="GD16" s="483"/>
      <c r="GE16" s="483"/>
      <c r="GF16" s="483"/>
      <c r="GG16" s="483"/>
      <c r="GH16" s="483"/>
      <c r="GI16" s="483"/>
      <c r="GJ16" s="483"/>
      <c r="GK16" s="483"/>
      <c r="GL16" s="483"/>
      <c r="GM16" s="483"/>
      <c r="GN16" s="483"/>
      <c r="GO16" s="483"/>
      <c r="GP16" s="483"/>
      <c r="GQ16" s="483"/>
      <c r="GR16" s="483"/>
      <c r="GS16" s="483"/>
      <c r="GT16" s="483"/>
      <c r="GU16" s="483"/>
      <c r="GV16" s="483"/>
      <c r="GW16" s="483"/>
      <c r="GX16" s="483"/>
      <c r="GY16" s="483"/>
      <c r="GZ16" s="483"/>
      <c r="HA16" s="483"/>
      <c r="HB16" s="483"/>
      <c r="HC16" s="483"/>
      <c r="HD16" s="483"/>
      <c r="HE16" s="485"/>
    </row>
    <row r="17" spans="1:213" ht="9" customHeight="1" thickTop="1" thickBot="1">
      <c r="A17" s="49"/>
      <c r="B17" s="72"/>
      <c r="C17" s="583" t="s">
        <v>570</v>
      </c>
      <c r="D17" s="583"/>
      <c r="E17" s="583"/>
      <c r="F17" s="583"/>
      <c r="G17" s="583"/>
      <c r="H17" s="583"/>
      <c r="I17" s="583"/>
      <c r="J17" s="583"/>
      <c r="K17" s="583"/>
      <c r="L17" s="583"/>
      <c r="M17" s="583"/>
      <c r="N17" s="583"/>
      <c r="O17" s="583"/>
      <c r="P17" s="583"/>
      <c r="Q17" s="583"/>
      <c r="R17" s="583"/>
      <c r="S17" s="585" t="str">
        <f>IF(Basics!L29="","",Basics!L29)</f>
        <v>Yakuza</v>
      </c>
      <c r="T17" s="585"/>
      <c r="U17" s="585"/>
      <c r="V17" s="585"/>
      <c r="W17" s="585"/>
      <c r="X17" s="585"/>
      <c r="Y17" s="585"/>
      <c r="Z17" s="585"/>
      <c r="AA17" s="585"/>
      <c r="AB17" s="585"/>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73"/>
      <c r="BG17" s="50"/>
      <c r="BH17" s="50"/>
      <c r="BI17" s="72"/>
      <c r="BJ17" s="583" t="s">
        <v>571</v>
      </c>
      <c r="BK17" s="583"/>
      <c r="BL17" s="583"/>
      <c r="BM17" s="583"/>
      <c r="BN17" s="583"/>
      <c r="BO17" s="583"/>
      <c r="BP17" s="583"/>
      <c r="BQ17" s="583"/>
      <c r="BR17" s="583"/>
      <c r="BS17" s="583"/>
      <c r="BT17" s="583"/>
      <c r="BU17" s="583"/>
      <c r="BV17" s="583"/>
      <c r="BW17" s="583"/>
      <c r="BX17" s="583"/>
      <c r="BY17" s="583"/>
      <c r="BZ17" s="583"/>
      <c r="CA17" s="583"/>
      <c r="CB17" s="585" t="str">
        <f>IF(Basics!L30="","",Basics!L30)</f>
        <v/>
      </c>
      <c r="CC17" s="585"/>
      <c r="CD17" s="585"/>
      <c r="CE17" s="585"/>
      <c r="CF17" s="585"/>
      <c r="CG17" s="585"/>
      <c r="CH17" s="585"/>
      <c r="CI17" s="585"/>
      <c r="CJ17" s="585"/>
      <c r="CK17" s="585"/>
      <c r="CL17" s="585"/>
      <c r="CM17" s="585"/>
      <c r="CN17" s="585"/>
      <c r="CO17" s="585"/>
      <c r="CP17" s="585"/>
      <c r="CQ17" s="585"/>
      <c r="CR17" s="585"/>
      <c r="CS17" s="585"/>
      <c r="CT17" s="585"/>
      <c r="CU17" s="585"/>
      <c r="CV17" s="585"/>
      <c r="CW17" s="585"/>
      <c r="CX17" s="585"/>
      <c r="CY17" s="585"/>
      <c r="CZ17" s="585"/>
      <c r="DA17" s="585"/>
      <c r="DB17" s="585"/>
      <c r="DC17" s="585"/>
      <c r="DD17" s="585"/>
      <c r="DE17" s="585"/>
      <c r="DF17" s="585"/>
      <c r="DG17" s="585"/>
      <c r="DH17" s="585"/>
      <c r="DI17" s="585"/>
      <c r="DJ17" s="585"/>
      <c r="DK17" s="585"/>
      <c r="DL17" s="585"/>
      <c r="DM17" s="73"/>
      <c r="DN17" s="50"/>
      <c r="DO17" s="82"/>
      <c r="DP17" s="58"/>
      <c r="DQ17" s="58"/>
      <c r="DR17" s="58"/>
      <c r="DS17" s="58"/>
      <c r="DT17" s="58"/>
      <c r="DU17" s="58"/>
      <c r="DV17" s="58"/>
      <c r="DW17" s="58"/>
      <c r="DX17" s="58"/>
      <c r="DY17" s="58"/>
      <c r="DZ17" s="58"/>
      <c r="EA17" s="58"/>
      <c r="EB17" s="58"/>
      <c r="EC17" s="83"/>
      <c r="ED17" s="58"/>
      <c r="EE17" s="58"/>
      <c r="EF17" s="58"/>
      <c r="EG17" s="58"/>
      <c r="EH17" s="58"/>
      <c r="EI17" s="58"/>
      <c r="EJ17" s="58"/>
      <c r="EK17" s="58"/>
      <c r="EL17" s="58"/>
      <c r="EM17" s="58"/>
      <c r="EN17" s="58"/>
      <c r="EO17" s="58"/>
      <c r="EP17" s="58"/>
      <c r="EQ17" s="58"/>
      <c r="ER17" s="58"/>
      <c r="ES17" s="58"/>
      <c r="ET17" s="58"/>
      <c r="EU17" s="58"/>
      <c r="EV17" s="58"/>
      <c r="EW17" s="58"/>
      <c r="EX17" s="58"/>
      <c r="EY17" s="58"/>
      <c r="EZ17" s="59"/>
      <c r="FA17" s="50"/>
      <c r="FB17" s="51"/>
      <c r="FH17" s="482"/>
      <c r="FI17" s="483"/>
      <c r="FJ17" s="483"/>
      <c r="FK17" s="483"/>
      <c r="FL17" s="483"/>
      <c r="FM17" s="483"/>
      <c r="FN17" s="483"/>
      <c r="FO17" s="483"/>
      <c r="FP17" s="483"/>
      <c r="FQ17" s="483"/>
      <c r="FR17" s="483"/>
      <c r="FS17" s="483"/>
      <c r="FT17" s="483"/>
      <c r="FU17" s="483"/>
      <c r="FV17" s="483"/>
      <c r="FW17" s="483"/>
      <c r="FX17" s="483"/>
      <c r="FY17" s="483"/>
      <c r="FZ17" s="483"/>
      <c r="GA17" s="483"/>
      <c r="GB17" s="483"/>
      <c r="GC17" s="483"/>
      <c r="GD17" s="483"/>
      <c r="GE17" s="483"/>
      <c r="GF17" s="483"/>
      <c r="GG17" s="483"/>
      <c r="GH17" s="483"/>
      <c r="GI17" s="483"/>
      <c r="GJ17" s="483"/>
      <c r="GK17" s="483"/>
      <c r="GL17" s="483"/>
      <c r="GM17" s="483"/>
      <c r="GN17" s="483"/>
      <c r="GO17" s="483"/>
      <c r="GP17" s="483"/>
      <c r="GQ17" s="483"/>
      <c r="GR17" s="483"/>
      <c r="GS17" s="483"/>
      <c r="GT17" s="483"/>
      <c r="GU17" s="483"/>
      <c r="GV17" s="483"/>
      <c r="GW17" s="483"/>
      <c r="GX17" s="483"/>
      <c r="GY17" s="483"/>
      <c r="GZ17" s="483"/>
      <c r="HA17" s="483"/>
      <c r="HB17" s="483"/>
      <c r="HC17" s="483"/>
      <c r="HD17" s="483"/>
      <c r="HE17" s="485"/>
    </row>
    <row r="18" spans="1:213" ht="9" customHeight="1" thickTop="1" thickBot="1">
      <c r="A18" s="49"/>
      <c r="B18" s="66"/>
      <c r="C18" s="584"/>
      <c r="D18" s="584"/>
      <c r="E18" s="584"/>
      <c r="F18" s="584"/>
      <c r="G18" s="584"/>
      <c r="H18" s="584"/>
      <c r="I18" s="584"/>
      <c r="J18" s="584"/>
      <c r="K18" s="584"/>
      <c r="L18" s="584"/>
      <c r="M18" s="584"/>
      <c r="N18" s="584"/>
      <c r="O18" s="584"/>
      <c r="P18" s="584"/>
      <c r="Q18" s="584"/>
      <c r="R18" s="584"/>
      <c r="S18" s="586"/>
      <c r="T18" s="586"/>
      <c r="U18" s="586"/>
      <c r="V18" s="586"/>
      <c r="W18" s="586"/>
      <c r="X18" s="586"/>
      <c r="Y18" s="586"/>
      <c r="Z18" s="586"/>
      <c r="AA18" s="586"/>
      <c r="AB18" s="586"/>
      <c r="AC18" s="586"/>
      <c r="AD18" s="586"/>
      <c r="AE18" s="586"/>
      <c r="AF18" s="586"/>
      <c r="AG18" s="586"/>
      <c r="AH18" s="586"/>
      <c r="AI18" s="586"/>
      <c r="AJ18" s="586"/>
      <c r="AK18" s="586"/>
      <c r="AL18" s="586"/>
      <c r="AM18" s="586"/>
      <c r="AN18" s="586"/>
      <c r="AO18" s="586"/>
      <c r="AP18" s="586"/>
      <c r="AQ18" s="586"/>
      <c r="AR18" s="586"/>
      <c r="AS18" s="586"/>
      <c r="AT18" s="586"/>
      <c r="AU18" s="586"/>
      <c r="AV18" s="586"/>
      <c r="AW18" s="586"/>
      <c r="AX18" s="586"/>
      <c r="AY18" s="586"/>
      <c r="AZ18" s="586"/>
      <c r="BA18" s="586"/>
      <c r="BB18" s="586"/>
      <c r="BC18" s="586"/>
      <c r="BD18" s="586"/>
      <c r="BE18" s="586"/>
      <c r="BF18" s="68"/>
      <c r="BG18" s="77"/>
      <c r="BH18" s="62"/>
      <c r="BI18" s="66"/>
      <c r="BJ18" s="584"/>
      <c r="BK18" s="584"/>
      <c r="BL18" s="584"/>
      <c r="BM18" s="584"/>
      <c r="BN18" s="584"/>
      <c r="BO18" s="584"/>
      <c r="BP18" s="584"/>
      <c r="BQ18" s="584"/>
      <c r="BR18" s="584"/>
      <c r="BS18" s="584"/>
      <c r="BT18" s="584"/>
      <c r="BU18" s="584"/>
      <c r="BV18" s="584"/>
      <c r="BW18" s="584"/>
      <c r="BX18" s="584"/>
      <c r="BY18" s="584"/>
      <c r="BZ18" s="584"/>
      <c r="CA18" s="584"/>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c r="DC18" s="586"/>
      <c r="DD18" s="586"/>
      <c r="DE18" s="586"/>
      <c r="DF18" s="586"/>
      <c r="DG18" s="586"/>
      <c r="DH18" s="586"/>
      <c r="DI18" s="586"/>
      <c r="DJ18" s="586"/>
      <c r="DK18" s="586"/>
      <c r="DL18" s="586"/>
      <c r="DM18" s="68"/>
      <c r="DN18" s="50"/>
      <c r="DO18" s="56"/>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c r="EN18" s="50"/>
      <c r="EO18" s="50"/>
      <c r="EP18" s="590">
        <f>IF(Basics!U6="","",Basics!U6)</f>
        <v>9</v>
      </c>
      <c r="EQ18" s="591"/>
      <c r="ER18" s="591"/>
      <c r="ES18" s="591"/>
      <c r="ET18" s="591"/>
      <c r="EU18" s="591"/>
      <c r="EV18" s="588"/>
      <c r="EW18" s="588"/>
      <c r="EX18" s="588"/>
      <c r="EY18" s="588"/>
      <c r="EZ18" s="60"/>
      <c r="FA18" s="50"/>
      <c r="FB18" s="51"/>
      <c r="FH18" s="482"/>
      <c r="FI18" s="483"/>
      <c r="FJ18" s="483"/>
      <c r="FK18" s="483"/>
      <c r="FL18" s="483"/>
      <c r="FM18" s="483"/>
      <c r="FN18" s="483"/>
      <c r="FO18" s="483"/>
      <c r="FP18" s="483"/>
      <c r="FQ18" s="483"/>
      <c r="FR18" s="483"/>
      <c r="FS18" s="483"/>
      <c r="FT18" s="483"/>
      <c r="FU18" s="483"/>
      <c r="FV18" s="483"/>
      <c r="FW18" s="483"/>
      <c r="FX18" s="483"/>
      <c r="FY18" s="483"/>
      <c r="FZ18" s="483"/>
      <c r="GA18" s="483"/>
      <c r="GB18" s="483"/>
      <c r="GC18" s="483"/>
      <c r="GD18" s="483"/>
      <c r="GE18" s="483"/>
      <c r="GF18" s="483"/>
      <c r="GG18" s="483"/>
      <c r="GH18" s="483"/>
      <c r="GI18" s="483"/>
      <c r="GJ18" s="483"/>
      <c r="GK18" s="483"/>
      <c r="GL18" s="483"/>
      <c r="GM18" s="483"/>
      <c r="GN18" s="483"/>
      <c r="GO18" s="483"/>
      <c r="GP18" s="483"/>
      <c r="GQ18" s="483"/>
      <c r="GR18" s="483"/>
      <c r="GS18" s="483"/>
      <c r="GT18" s="483"/>
      <c r="GU18" s="483"/>
      <c r="GV18" s="483"/>
      <c r="GW18" s="483"/>
      <c r="GX18" s="483"/>
      <c r="GY18" s="483"/>
      <c r="GZ18" s="483"/>
      <c r="HA18" s="483"/>
      <c r="HB18" s="483"/>
      <c r="HC18" s="483"/>
      <c r="HD18" s="483"/>
      <c r="HE18" s="485"/>
    </row>
    <row r="19" spans="1:213" ht="9" customHeight="1" thickTop="1">
      <c r="A19" s="49"/>
      <c r="B19" s="66"/>
      <c r="C19" s="67"/>
      <c r="D19" s="67"/>
      <c r="E19" s="67"/>
      <c r="F19" s="67"/>
      <c r="G19" s="67"/>
      <c r="H19" s="67"/>
      <c r="I19" s="67"/>
      <c r="J19" s="67"/>
      <c r="K19" s="74"/>
      <c r="L19" s="74"/>
      <c r="M19" s="74"/>
      <c r="N19" s="74"/>
      <c r="O19" s="74"/>
      <c r="P19" s="74"/>
      <c r="Q19" s="74"/>
      <c r="R19" s="74"/>
      <c r="S19" s="586"/>
      <c r="T19" s="586"/>
      <c r="U19" s="586"/>
      <c r="V19" s="586"/>
      <c r="W19" s="586"/>
      <c r="X19" s="586"/>
      <c r="Y19" s="586"/>
      <c r="Z19" s="586"/>
      <c r="AA19" s="586"/>
      <c r="AB19" s="586"/>
      <c r="AC19" s="586"/>
      <c r="AD19" s="586"/>
      <c r="AE19" s="586"/>
      <c r="AF19" s="586"/>
      <c r="AG19" s="586"/>
      <c r="AH19" s="586"/>
      <c r="AI19" s="586"/>
      <c r="AJ19" s="586"/>
      <c r="AK19" s="586"/>
      <c r="AL19" s="586"/>
      <c r="AM19" s="586"/>
      <c r="AN19" s="586"/>
      <c r="AO19" s="586"/>
      <c r="AP19" s="586"/>
      <c r="AQ19" s="586"/>
      <c r="AR19" s="586"/>
      <c r="AS19" s="586"/>
      <c r="AT19" s="586"/>
      <c r="AU19" s="586"/>
      <c r="AV19" s="586"/>
      <c r="AW19" s="586"/>
      <c r="AX19" s="586"/>
      <c r="AY19" s="586"/>
      <c r="AZ19" s="586"/>
      <c r="BA19" s="586"/>
      <c r="BB19" s="586"/>
      <c r="BC19" s="586"/>
      <c r="BD19" s="586"/>
      <c r="BE19" s="586"/>
      <c r="BF19" s="68"/>
      <c r="BG19" s="50"/>
      <c r="BH19" s="50"/>
      <c r="BI19" s="66"/>
      <c r="BJ19" s="67"/>
      <c r="BK19" s="67"/>
      <c r="BL19" s="67"/>
      <c r="BM19" s="67"/>
      <c r="BN19" s="67"/>
      <c r="BO19" s="67"/>
      <c r="BP19" s="67"/>
      <c r="BQ19" s="67"/>
      <c r="BR19" s="74"/>
      <c r="BS19" s="74"/>
      <c r="BT19" s="74"/>
      <c r="BU19" s="74"/>
      <c r="BV19" s="74"/>
      <c r="BW19" s="74"/>
      <c r="BX19" s="74"/>
      <c r="BY19" s="74"/>
      <c r="BZ19" s="63"/>
      <c r="CA19" s="63"/>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c r="DC19" s="586"/>
      <c r="DD19" s="586"/>
      <c r="DE19" s="586"/>
      <c r="DF19" s="586"/>
      <c r="DG19" s="586"/>
      <c r="DH19" s="586"/>
      <c r="DI19" s="586"/>
      <c r="DJ19" s="586"/>
      <c r="DK19" s="586"/>
      <c r="DL19" s="586"/>
      <c r="DM19" s="68"/>
      <c r="DN19" s="50"/>
      <c r="DO19" s="56"/>
      <c r="DP19" s="595" t="s">
        <v>572</v>
      </c>
      <c r="DQ19" s="596"/>
      <c r="DR19" s="596"/>
      <c r="DS19" s="596"/>
      <c r="DT19" s="596"/>
      <c r="DU19" s="596"/>
      <c r="DV19" s="596"/>
      <c r="DW19" s="596"/>
      <c r="DX19" s="596"/>
      <c r="DY19" s="596"/>
      <c r="DZ19" s="596"/>
      <c r="EA19" s="596"/>
      <c r="EB19" s="596"/>
      <c r="EC19" s="596"/>
      <c r="ED19" s="596"/>
      <c r="EE19" s="596"/>
      <c r="EF19" s="596"/>
      <c r="EG19" s="596"/>
      <c r="EH19" s="596"/>
      <c r="EI19" s="596"/>
      <c r="EJ19" s="596"/>
      <c r="EK19" s="596"/>
      <c r="EL19" s="596"/>
      <c r="EM19" s="596"/>
      <c r="EN19" s="596"/>
      <c r="EO19" s="597"/>
      <c r="EP19" s="592"/>
      <c r="EQ19" s="553"/>
      <c r="ER19" s="553"/>
      <c r="ES19" s="553"/>
      <c r="ET19" s="553"/>
      <c r="EU19" s="553"/>
      <c r="EV19" s="589"/>
      <c r="EW19" s="589"/>
      <c r="EX19" s="589"/>
      <c r="EY19" s="589"/>
      <c r="EZ19" s="60"/>
      <c r="FA19" s="50"/>
      <c r="FB19" s="51"/>
      <c r="FH19" s="482"/>
      <c r="FI19" s="483"/>
      <c r="FJ19" s="483"/>
      <c r="FK19" s="483"/>
      <c r="FL19" s="483"/>
      <c r="FM19" s="483"/>
      <c r="FN19" s="483"/>
      <c r="FO19" s="483"/>
      <c r="FP19" s="483"/>
      <c r="FQ19" s="483"/>
      <c r="FR19" s="483"/>
      <c r="FS19" s="483"/>
      <c r="FT19" s="483"/>
      <c r="FU19" s="483"/>
      <c r="FV19" s="483"/>
      <c r="FW19" s="483"/>
      <c r="FX19" s="483"/>
      <c r="FY19" s="483"/>
      <c r="FZ19" s="483"/>
      <c r="GA19" s="483"/>
      <c r="GB19" s="483"/>
      <c r="GC19" s="483"/>
      <c r="GD19" s="483"/>
      <c r="GE19" s="483"/>
      <c r="GF19" s="483"/>
      <c r="GG19" s="483"/>
      <c r="GH19" s="483"/>
      <c r="GI19" s="483"/>
      <c r="GJ19" s="483"/>
      <c r="GK19" s="483"/>
      <c r="GL19" s="483"/>
      <c r="GM19" s="483"/>
      <c r="GN19" s="483"/>
      <c r="GO19" s="483"/>
      <c r="GP19" s="483"/>
      <c r="GQ19" s="483"/>
      <c r="GR19" s="483"/>
      <c r="GS19" s="483"/>
      <c r="GT19" s="483"/>
      <c r="GU19" s="483"/>
      <c r="GV19" s="483"/>
      <c r="GW19" s="483"/>
      <c r="GX19" s="483"/>
      <c r="GY19" s="483"/>
      <c r="GZ19" s="483"/>
      <c r="HA19" s="483"/>
      <c r="HB19" s="483"/>
      <c r="HC19" s="483"/>
      <c r="HD19" s="483"/>
      <c r="HE19" s="485"/>
    </row>
    <row r="20" spans="1:213" ht="9" customHeight="1" thickBot="1">
      <c r="A20" s="49"/>
      <c r="B20" s="73"/>
      <c r="C20" s="70"/>
      <c r="D20" s="70"/>
      <c r="E20" s="70"/>
      <c r="F20" s="70"/>
      <c r="G20" s="70"/>
      <c r="H20" s="70"/>
      <c r="I20" s="70"/>
      <c r="J20" s="70"/>
      <c r="K20" s="64"/>
      <c r="L20" s="64"/>
      <c r="M20" s="64"/>
      <c r="N20" s="64"/>
      <c r="O20" s="64"/>
      <c r="P20" s="64"/>
      <c r="Q20" s="64"/>
      <c r="R20" s="64"/>
      <c r="S20" s="587"/>
      <c r="T20" s="587"/>
      <c r="U20" s="587"/>
      <c r="V20" s="587"/>
      <c r="W20" s="587"/>
      <c r="X20" s="587"/>
      <c r="Y20" s="587"/>
      <c r="Z20" s="587"/>
      <c r="AA20" s="587"/>
      <c r="AB20" s="587"/>
      <c r="AC20" s="587"/>
      <c r="AD20" s="587"/>
      <c r="AE20" s="587"/>
      <c r="AF20" s="587"/>
      <c r="AG20" s="587"/>
      <c r="AH20" s="587"/>
      <c r="AI20" s="587"/>
      <c r="AJ20" s="587"/>
      <c r="AK20" s="587"/>
      <c r="AL20" s="587"/>
      <c r="AM20" s="587"/>
      <c r="AN20" s="587"/>
      <c r="AO20" s="587"/>
      <c r="AP20" s="587"/>
      <c r="AQ20" s="587"/>
      <c r="AR20" s="587"/>
      <c r="AS20" s="587"/>
      <c r="AT20" s="587"/>
      <c r="AU20" s="587"/>
      <c r="AV20" s="587"/>
      <c r="AW20" s="587"/>
      <c r="AX20" s="587"/>
      <c r="AY20" s="587"/>
      <c r="AZ20" s="587"/>
      <c r="BA20" s="587"/>
      <c r="BB20" s="587"/>
      <c r="BC20" s="587"/>
      <c r="BD20" s="587"/>
      <c r="BE20" s="587"/>
      <c r="BF20" s="72"/>
      <c r="BI20" s="73"/>
      <c r="BJ20" s="70"/>
      <c r="BK20" s="70"/>
      <c r="BL20" s="70"/>
      <c r="BM20" s="70"/>
      <c r="BN20" s="70"/>
      <c r="BO20" s="70"/>
      <c r="BP20" s="70"/>
      <c r="BQ20" s="70"/>
      <c r="BR20" s="64"/>
      <c r="BS20" s="64"/>
      <c r="BT20" s="64"/>
      <c r="BU20" s="64"/>
      <c r="BV20" s="64"/>
      <c r="BW20" s="64"/>
      <c r="BX20" s="64"/>
      <c r="BY20" s="64"/>
      <c r="BZ20" s="64"/>
      <c r="CA20" s="64"/>
      <c r="CB20" s="587"/>
      <c r="CC20" s="587"/>
      <c r="CD20" s="587"/>
      <c r="CE20" s="587"/>
      <c r="CF20" s="587"/>
      <c r="CG20" s="587"/>
      <c r="CH20" s="587"/>
      <c r="CI20" s="587"/>
      <c r="CJ20" s="587"/>
      <c r="CK20" s="587"/>
      <c r="CL20" s="587"/>
      <c r="CM20" s="587"/>
      <c r="CN20" s="587"/>
      <c r="CO20" s="587"/>
      <c r="CP20" s="587"/>
      <c r="CQ20" s="587"/>
      <c r="CR20" s="587"/>
      <c r="CS20" s="587"/>
      <c r="CT20" s="587"/>
      <c r="CU20" s="587"/>
      <c r="CV20" s="587"/>
      <c r="CW20" s="587"/>
      <c r="CX20" s="587"/>
      <c r="CY20" s="587"/>
      <c r="CZ20" s="587"/>
      <c r="DA20" s="587"/>
      <c r="DB20" s="587"/>
      <c r="DC20" s="587"/>
      <c r="DD20" s="587"/>
      <c r="DE20" s="587"/>
      <c r="DF20" s="587"/>
      <c r="DG20" s="587"/>
      <c r="DH20" s="587"/>
      <c r="DI20" s="587"/>
      <c r="DJ20" s="587"/>
      <c r="DK20" s="587"/>
      <c r="DL20" s="587"/>
      <c r="DM20" s="72"/>
      <c r="DN20" s="50"/>
      <c r="DO20" s="56"/>
      <c r="DP20" s="598"/>
      <c r="DQ20" s="599"/>
      <c r="DR20" s="599"/>
      <c r="DS20" s="599"/>
      <c r="DT20" s="599"/>
      <c r="DU20" s="599"/>
      <c r="DV20" s="599"/>
      <c r="DW20" s="599"/>
      <c r="DX20" s="599"/>
      <c r="DY20" s="599"/>
      <c r="DZ20" s="599"/>
      <c r="EA20" s="599"/>
      <c r="EB20" s="599"/>
      <c r="EC20" s="599"/>
      <c r="ED20" s="599"/>
      <c r="EE20" s="599"/>
      <c r="EF20" s="599"/>
      <c r="EG20" s="599"/>
      <c r="EH20" s="599"/>
      <c r="EI20" s="599"/>
      <c r="EJ20" s="599"/>
      <c r="EK20" s="599"/>
      <c r="EL20" s="599"/>
      <c r="EM20" s="599"/>
      <c r="EN20" s="599"/>
      <c r="EO20" s="600"/>
      <c r="EP20" s="592"/>
      <c r="EQ20" s="553"/>
      <c r="ER20" s="553"/>
      <c r="ES20" s="553"/>
      <c r="ET20" s="553"/>
      <c r="EU20" s="553"/>
      <c r="EV20" s="589"/>
      <c r="EW20" s="589"/>
      <c r="EX20" s="589"/>
      <c r="EY20" s="589"/>
      <c r="EZ20" s="60"/>
      <c r="FA20" s="50"/>
      <c r="FB20" s="51"/>
      <c r="FH20" s="482"/>
      <c r="FI20" s="483"/>
      <c r="FJ20" s="483"/>
      <c r="FK20" s="483"/>
      <c r="FL20" s="483"/>
      <c r="FM20" s="483"/>
      <c r="FN20" s="483"/>
      <c r="FO20" s="483"/>
      <c r="FP20" s="483"/>
      <c r="FQ20" s="483"/>
      <c r="FR20" s="483"/>
      <c r="FS20" s="483"/>
      <c r="FT20" s="483"/>
      <c r="FU20" s="483"/>
      <c r="FV20" s="483"/>
      <c r="FW20" s="483"/>
      <c r="FX20" s="483"/>
      <c r="FY20" s="483"/>
      <c r="FZ20" s="483"/>
      <c r="GA20" s="483"/>
      <c r="GB20" s="483"/>
      <c r="GC20" s="483"/>
      <c r="GD20" s="483"/>
      <c r="GE20" s="483"/>
      <c r="GF20" s="483"/>
      <c r="GG20" s="483"/>
      <c r="GH20" s="483"/>
      <c r="GI20" s="483"/>
      <c r="GJ20" s="483"/>
      <c r="GK20" s="483"/>
      <c r="GL20" s="483"/>
      <c r="GM20" s="483"/>
      <c r="GN20" s="483"/>
      <c r="GO20" s="483"/>
      <c r="GP20" s="483"/>
      <c r="GQ20" s="483"/>
      <c r="GR20" s="483"/>
      <c r="GS20" s="483"/>
      <c r="GT20" s="483"/>
      <c r="GU20" s="483"/>
      <c r="GV20" s="483"/>
      <c r="GW20" s="483"/>
      <c r="GX20" s="483"/>
      <c r="GY20" s="483"/>
      <c r="GZ20" s="483"/>
      <c r="HA20" s="483"/>
      <c r="HB20" s="483"/>
      <c r="HC20" s="483"/>
      <c r="HD20" s="483"/>
      <c r="HE20" s="485"/>
    </row>
    <row r="21" spans="1:213" ht="9" customHeight="1" thickTop="1">
      <c r="A21" s="49"/>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6"/>
      <c r="DP21" s="598"/>
      <c r="DQ21" s="599"/>
      <c r="DR21" s="599"/>
      <c r="DS21" s="599"/>
      <c r="DT21" s="599"/>
      <c r="DU21" s="599"/>
      <c r="DV21" s="599"/>
      <c r="DW21" s="599"/>
      <c r="DX21" s="599"/>
      <c r="DY21" s="599"/>
      <c r="DZ21" s="599"/>
      <c r="EA21" s="599"/>
      <c r="EB21" s="599"/>
      <c r="EC21" s="599"/>
      <c r="ED21" s="599"/>
      <c r="EE21" s="599"/>
      <c r="EF21" s="599"/>
      <c r="EG21" s="599"/>
      <c r="EH21" s="599"/>
      <c r="EI21" s="599"/>
      <c r="EJ21" s="599"/>
      <c r="EK21" s="599"/>
      <c r="EL21" s="599"/>
      <c r="EM21" s="599"/>
      <c r="EN21" s="599"/>
      <c r="EO21" s="600"/>
      <c r="EP21" s="592"/>
      <c r="EQ21" s="553"/>
      <c r="ER21" s="553"/>
      <c r="ES21" s="553"/>
      <c r="ET21" s="553"/>
      <c r="EU21" s="553"/>
      <c r="EV21" s="589"/>
      <c r="EW21" s="589"/>
      <c r="EX21" s="589"/>
      <c r="EY21" s="589"/>
      <c r="EZ21" s="60"/>
      <c r="FA21" s="50"/>
      <c r="FB21" s="51"/>
      <c r="FH21" s="482"/>
      <c r="FI21" s="483"/>
      <c r="FJ21" s="483"/>
      <c r="FK21" s="483"/>
      <c r="FL21" s="483"/>
      <c r="FM21" s="483"/>
      <c r="FN21" s="483"/>
      <c r="FO21" s="483"/>
      <c r="FP21" s="483"/>
      <c r="FQ21" s="483"/>
      <c r="FR21" s="483"/>
      <c r="FS21" s="483"/>
      <c r="FT21" s="483"/>
      <c r="FU21" s="483"/>
      <c r="FV21" s="483"/>
      <c r="FW21" s="483"/>
      <c r="FX21" s="483"/>
      <c r="FY21" s="483"/>
      <c r="FZ21" s="483"/>
      <c r="GA21" s="483"/>
      <c r="GB21" s="483"/>
      <c r="GC21" s="483"/>
      <c r="GD21" s="483"/>
      <c r="GE21" s="483"/>
      <c r="GF21" s="483"/>
      <c r="GG21" s="483"/>
      <c r="GH21" s="483"/>
      <c r="GI21" s="483"/>
      <c r="GJ21" s="483"/>
      <c r="GK21" s="483"/>
      <c r="GL21" s="483"/>
      <c r="GM21" s="483"/>
      <c r="GN21" s="483"/>
      <c r="GO21" s="483"/>
      <c r="GP21" s="483"/>
      <c r="GQ21" s="483"/>
      <c r="GR21" s="483"/>
      <c r="GS21" s="483"/>
      <c r="GT21" s="483"/>
      <c r="GU21" s="483"/>
      <c r="GV21" s="483"/>
      <c r="GW21" s="483"/>
      <c r="GX21" s="483"/>
      <c r="GY21" s="483"/>
      <c r="GZ21" s="483"/>
      <c r="HA21" s="483"/>
      <c r="HB21" s="483"/>
      <c r="HC21" s="483"/>
      <c r="HD21" s="483"/>
      <c r="HE21" s="485"/>
    </row>
    <row r="22" spans="1:213" ht="9" customHeight="1" thickBot="1">
      <c r="A22" s="49"/>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5"/>
      <c r="AC22" s="85"/>
      <c r="AD22" s="85"/>
      <c r="AE22" s="85"/>
      <c r="AF22" s="85"/>
      <c r="AG22" s="85"/>
      <c r="AH22" s="85"/>
      <c r="AI22" s="85"/>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5"/>
      <c r="CG22" s="105"/>
      <c r="CH22" s="105"/>
      <c r="CI22" s="105"/>
      <c r="CJ22" s="105"/>
      <c r="CK22" s="105"/>
      <c r="CL22" s="105"/>
      <c r="CM22" s="105"/>
      <c r="CN22" s="105"/>
      <c r="CO22" s="105"/>
      <c r="CP22" s="105"/>
      <c r="CQ22" s="105"/>
      <c r="CR22" s="105"/>
      <c r="CS22" s="105"/>
      <c r="CT22" s="109"/>
      <c r="CU22" s="109"/>
      <c r="CV22" s="109"/>
      <c r="CW22" s="109"/>
      <c r="CX22" s="50"/>
      <c r="CY22" s="50"/>
      <c r="CZ22" s="50"/>
      <c r="DA22" s="50"/>
      <c r="DB22" s="50"/>
      <c r="DC22" s="50"/>
      <c r="DD22" s="50"/>
      <c r="DE22" s="50"/>
      <c r="DF22" s="50"/>
      <c r="DG22" s="50"/>
      <c r="DH22" s="50"/>
      <c r="DI22" s="50"/>
      <c r="DJ22" s="50"/>
      <c r="DK22" s="50"/>
      <c r="DL22" s="50"/>
      <c r="DM22" s="50"/>
      <c r="DN22" s="50"/>
      <c r="DO22" s="56"/>
      <c r="DP22" s="601"/>
      <c r="DQ22" s="602"/>
      <c r="DR22" s="602"/>
      <c r="DS22" s="602"/>
      <c r="DT22" s="602"/>
      <c r="DU22" s="602"/>
      <c r="DV22" s="602"/>
      <c r="DW22" s="602"/>
      <c r="DX22" s="602"/>
      <c r="DY22" s="602"/>
      <c r="DZ22" s="602"/>
      <c r="EA22" s="602"/>
      <c r="EB22" s="602"/>
      <c r="EC22" s="602"/>
      <c r="ED22" s="602"/>
      <c r="EE22" s="602"/>
      <c r="EF22" s="602"/>
      <c r="EG22" s="602"/>
      <c r="EH22" s="602"/>
      <c r="EI22" s="602"/>
      <c r="EJ22" s="602"/>
      <c r="EK22" s="602"/>
      <c r="EL22" s="602"/>
      <c r="EM22" s="602"/>
      <c r="EN22" s="602"/>
      <c r="EO22" s="603"/>
      <c r="EP22" s="592"/>
      <c r="EQ22" s="553"/>
      <c r="ER22" s="553"/>
      <c r="ES22" s="553"/>
      <c r="ET22" s="553"/>
      <c r="EU22" s="553"/>
      <c r="EV22" s="589"/>
      <c r="EW22" s="589"/>
      <c r="EX22" s="589"/>
      <c r="EY22" s="589"/>
      <c r="EZ22" s="60"/>
      <c r="FA22" s="50"/>
      <c r="FB22" s="51"/>
      <c r="FH22" s="482"/>
      <c r="FI22" s="483"/>
      <c r="FJ22" s="483"/>
      <c r="FK22" s="483"/>
      <c r="FL22" s="483"/>
      <c r="FM22" s="483"/>
      <c r="FN22" s="483"/>
      <c r="FO22" s="483"/>
      <c r="FP22" s="483"/>
      <c r="FQ22" s="483"/>
      <c r="FR22" s="483"/>
      <c r="FS22" s="483"/>
      <c r="FT22" s="483"/>
      <c r="FU22" s="483"/>
      <c r="FV22" s="483"/>
      <c r="FW22" s="483"/>
      <c r="FX22" s="483"/>
      <c r="FY22" s="483"/>
      <c r="FZ22" s="483"/>
      <c r="GA22" s="483"/>
      <c r="GB22" s="483"/>
      <c r="GC22" s="483"/>
      <c r="GD22" s="483"/>
      <c r="GE22" s="483"/>
      <c r="GF22" s="483"/>
      <c r="GG22" s="483"/>
      <c r="GH22" s="483"/>
      <c r="GI22" s="483"/>
      <c r="GJ22" s="483"/>
      <c r="GK22" s="483"/>
      <c r="GL22" s="483"/>
      <c r="GM22" s="483"/>
      <c r="GN22" s="483"/>
      <c r="GO22" s="483"/>
      <c r="GP22" s="483"/>
      <c r="GQ22" s="483"/>
      <c r="GR22" s="483"/>
      <c r="GS22" s="483"/>
      <c r="GT22" s="483"/>
      <c r="GU22" s="483"/>
      <c r="GV22" s="483"/>
      <c r="GW22" s="483"/>
      <c r="GX22" s="483"/>
      <c r="GY22" s="483"/>
      <c r="GZ22" s="483"/>
      <c r="HA22" s="483"/>
      <c r="HB22" s="483"/>
      <c r="HC22" s="483"/>
      <c r="HD22" s="483"/>
      <c r="HE22" s="485"/>
    </row>
    <row r="23" spans="1:213" ht="9" customHeight="1" thickTop="1" thickBot="1">
      <c r="A23" s="49"/>
      <c r="B23" s="84"/>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I23" s="85"/>
      <c r="AL23" s="104"/>
      <c r="CF23" s="50"/>
      <c r="CG23" s="50"/>
      <c r="CH23" s="50"/>
      <c r="CI23" s="50"/>
      <c r="CJ23" s="50"/>
      <c r="CK23" s="50"/>
      <c r="CL23" s="50"/>
      <c r="CM23" s="50"/>
      <c r="CN23" s="50"/>
      <c r="CO23" s="50"/>
      <c r="CP23" s="50"/>
      <c r="CQ23" s="50"/>
      <c r="CR23" s="50"/>
      <c r="CS23" s="50"/>
      <c r="CT23"/>
      <c r="CU23"/>
      <c r="CV23"/>
      <c r="CW23" s="109"/>
      <c r="CX23" s="50"/>
      <c r="CY23" s="50"/>
      <c r="CZ23" s="50"/>
      <c r="DA23" s="50"/>
      <c r="DB23" s="50"/>
      <c r="DC23" s="50"/>
      <c r="DD23" s="50"/>
      <c r="DE23" s="50"/>
      <c r="DF23" s="50"/>
      <c r="DG23" s="50"/>
      <c r="DH23" s="50"/>
      <c r="DI23" s="50"/>
      <c r="DJ23" s="50"/>
      <c r="DK23" s="50"/>
      <c r="DL23" s="50"/>
      <c r="DM23" s="50"/>
      <c r="DN23" s="50"/>
      <c r="DO23" s="56"/>
      <c r="DP23" s="50"/>
      <c r="DQ23" s="89"/>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93"/>
      <c r="EQ23" s="594"/>
      <c r="ER23" s="594"/>
      <c r="ES23" s="594"/>
      <c r="ET23" s="594"/>
      <c r="EU23" s="594"/>
      <c r="EV23" s="589"/>
      <c r="EW23" s="589"/>
      <c r="EX23" s="589"/>
      <c r="EY23" s="589"/>
      <c r="EZ23" s="60"/>
      <c r="FA23" s="50"/>
      <c r="FB23" s="51"/>
      <c r="FH23" s="482"/>
      <c r="FI23" s="483"/>
      <c r="FJ23" s="483"/>
      <c r="FK23" s="483"/>
      <c r="FL23" s="483"/>
      <c r="FM23" s="483"/>
      <c r="FN23" s="483"/>
      <c r="FO23" s="483"/>
      <c r="FP23" s="483"/>
      <c r="FQ23" s="483"/>
      <c r="FR23" s="483"/>
      <c r="FS23" s="483"/>
      <c r="FT23" s="483"/>
      <c r="FU23" s="483"/>
      <c r="FV23" s="483"/>
      <c r="FW23" s="483"/>
      <c r="FX23" s="483"/>
      <c r="FY23" s="483"/>
      <c r="FZ23" s="483"/>
      <c r="GA23" s="483"/>
      <c r="GB23" s="483"/>
      <c r="GC23" s="483"/>
      <c r="GD23" s="483"/>
      <c r="GE23" s="483"/>
      <c r="GF23" s="483"/>
      <c r="GG23" s="483"/>
      <c r="GH23" s="483"/>
      <c r="GI23" s="483"/>
      <c r="GJ23" s="483"/>
      <c r="GK23" s="483"/>
      <c r="GL23" s="483"/>
      <c r="GM23" s="483"/>
      <c r="GN23" s="483"/>
      <c r="GO23" s="483"/>
      <c r="GP23" s="483"/>
      <c r="GQ23" s="483"/>
      <c r="GR23" s="483"/>
      <c r="GS23" s="483"/>
      <c r="GT23" s="483"/>
      <c r="GU23" s="483"/>
      <c r="GV23" s="483"/>
      <c r="GW23" s="483"/>
      <c r="GX23" s="483"/>
      <c r="GY23" s="483"/>
      <c r="GZ23" s="483"/>
      <c r="HA23" s="483"/>
      <c r="HB23" s="483"/>
      <c r="HC23" s="483"/>
      <c r="HD23" s="483"/>
      <c r="HE23" s="485"/>
    </row>
    <row r="24" spans="1:213" ht="9" customHeight="1" thickTop="1" thickBot="1">
      <c r="A24" s="49"/>
      <c r="B24" s="84"/>
      <c r="C24" s="50"/>
      <c r="D24" s="80"/>
      <c r="E24" s="80"/>
      <c r="F24" s="80"/>
      <c r="G24" s="80"/>
      <c r="H24" s="50"/>
      <c r="I24" s="81"/>
      <c r="J24" s="81"/>
      <c r="K24" s="50"/>
      <c r="L24" s="50"/>
      <c r="M24" s="50"/>
      <c r="N24" s="50"/>
      <c r="O24" s="50"/>
      <c r="P24" s="50"/>
      <c r="Q24" s="50"/>
      <c r="R24" s="50"/>
      <c r="S24" s="50"/>
      <c r="T24" s="50"/>
      <c r="U24" s="50"/>
      <c r="V24" s="50"/>
      <c r="W24" s="50"/>
      <c r="X24" s="50"/>
      <c r="Y24" s="50"/>
      <c r="Z24" s="50"/>
      <c r="AA24" s="50"/>
      <c r="AI24" s="85"/>
      <c r="AL24" s="104"/>
      <c r="CF24" s="50"/>
      <c r="CG24" s="50"/>
      <c r="CH24" s="50"/>
      <c r="CI24" s="50"/>
      <c r="CJ24" s="50"/>
      <c r="CK24" s="50"/>
      <c r="CL24" s="50"/>
      <c r="CM24" s="50"/>
      <c r="CN24" s="50"/>
      <c r="CO24" s="50"/>
      <c r="CP24" s="50"/>
      <c r="CQ24" s="50"/>
      <c r="CR24" s="50"/>
      <c r="CS24" s="50"/>
      <c r="CT24"/>
      <c r="CU24"/>
      <c r="CV24"/>
      <c r="CW24" s="109"/>
      <c r="CX24" s="50"/>
      <c r="CY24" s="99"/>
      <c r="CZ24" s="90"/>
      <c r="DA24" s="90"/>
      <c r="DB24" s="90"/>
      <c r="DC24" s="90"/>
      <c r="DD24" s="90"/>
      <c r="DE24" s="90"/>
      <c r="DF24" s="90"/>
      <c r="DG24" s="90"/>
      <c r="DH24" s="90"/>
      <c r="DI24" s="90"/>
      <c r="DJ24" s="90"/>
      <c r="DK24" s="90"/>
      <c r="DL24" s="90"/>
      <c r="DM24" s="98"/>
      <c r="DN24" s="50"/>
      <c r="DO24" s="56"/>
      <c r="DP24" s="50"/>
      <c r="DQ24" s="89"/>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60"/>
      <c r="FA24" s="50"/>
      <c r="FB24" s="51"/>
      <c r="FH24" s="482"/>
      <c r="FI24" s="483"/>
      <c r="FJ24" s="483"/>
      <c r="FK24" s="483"/>
      <c r="FL24" s="483"/>
      <c r="FM24" s="483"/>
      <c r="FN24" s="483"/>
      <c r="FO24" s="483"/>
      <c r="FP24" s="483"/>
      <c r="FQ24" s="483"/>
      <c r="FR24" s="483"/>
      <c r="FS24" s="483"/>
      <c r="FT24" s="483"/>
      <c r="FU24" s="483"/>
      <c r="FV24" s="483"/>
      <c r="FW24" s="483"/>
      <c r="FX24" s="483"/>
      <c r="FY24" s="483"/>
      <c r="FZ24" s="483"/>
      <c r="GA24" s="483"/>
      <c r="GB24" s="483"/>
      <c r="GC24" s="483"/>
      <c r="GD24" s="483"/>
      <c r="GE24" s="483"/>
      <c r="GF24" s="483"/>
      <c r="GG24" s="483"/>
      <c r="GH24" s="483"/>
      <c r="GI24" s="483"/>
      <c r="GJ24" s="483"/>
      <c r="GK24" s="483"/>
      <c r="GL24" s="483"/>
      <c r="GM24" s="483"/>
      <c r="GN24" s="483"/>
      <c r="GO24" s="483"/>
      <c r="GP24" s="483"/>
      <c r="GQ24" s="483"/>
      <c r="GR24" s="483"/>
      <c r="GS24" s="483"/>
      <c r="GT24" s="483"/>
      <c r="GU24" s="483"/>
      <c r="GV24" s="483"/>
      <c r="GW24" s="483"/>
      <c r="GX24" s="483"/>
      <c r="GY24" s="483"/>
      <c r="GZ24" s="483"/>
      <c r="HA24" s="483"/>
      <c r="HB24" s="483"/>
      <c r="HC24" s="483"/>
      <c r="HD24" s="483"/>
      <c r="HE24" s="485"/>
    </row>
    <row r="25" spans="1:213" ht="9" customHeight="1" thickTop="1" thickBot="1">
      <c r="A25" s="49"/>
      <c r="B25" s="84"/>
      <c r="C25" s="50"/>
      <c r="D25" s="80"/>
      <c r="E25" s="80"/>
      <c r="F25" s="80"/>
      <c r="G25" s="80"/>
      <c r="H25" s="50"/>
      <c r="I25" s="81"/>
      <c r="J25" s="81"/>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84"/>
      <c r="AJ25" s="50"/>
      <c r="AK25" s="50"/>
      <c r="AL25" s="105"/>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79"/>
      <c r="CV25" s="50"/>
      <c r="CW25" s="105"/>
      <c r="CX25" s="50"/>
      <c r="CY25" s="110"/>
      <c r="CZ25" s="580" t="s">
        <v>594</v>
      </c>
      <c r="DA25" s="580"/>
      <c r="DB25" s="580"/>
      <c r="DC25" s="580"/>
      <c r="DD25" s="580"/>
      <c r="DE25" s="580"/>
      <c r="DF25" s="580"/>
      <c r="DG25" s="580"/>
      <c r="DH25" s="580"/>
      <c r="DI25" s="580"/>
      <c r="DJ25" s="580"/>
      <c r="DK25" s="580"/>
      <c r="DL25" s="580"/>
      <c r="DM25" s="97"/>
      <c r="DN25" s="50"/>
      <c r="DO25" s="56"/>
      <c r="DP25" s="50"/>
      <c r="DQ25" s="89"/>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90">
        <f>IF(Abilities!BF6="","",Abilities!BF6)</f>
        <v>36</v>
      </c>
      <c r="EQ25" s="591"/>
      <c r="ER25" s="591"/>
      <c r="ES25" s="591"/>
      <c r="ET25" s="591"/>
      <c r="EU25" s="591"/>
      <c r="EV25" s="588"/>
      <c r="EW25" s="588"/>
      <c r="EX25" s="588"/>
      <c r="EY25" s="588"/>
      <c r="EZ25" s="60"/>
      <c r="FA25" s="50"/>
      <c r="FB25" s="51"/>
      <c r="FH25" s="482"/>
      <c r="FI25" s="483"/>
      <c r="FJ25" s="483"/>
      <c r="FK25" s="483"/>
      <c r="FL25" s="483"/>
      <c r="FM25" s="483"/>
      <c r="FN25" s="483"/>
      <c r="FO25" s="483"/>
      <c r="FP25" s="483"/>
      <c r="FQ25" s="483"/>
      <c r="FR25" s="483"/>
      <c r="FS25" s="483"/>
      <c r="FT25" s="483"/>
      <c r="FU25" s="483"/>
      <c r="FV25" s="483"/>
      <c r="FW25" s="483"/>
      <c r="FX25" s="483"/>
      <c r="FY25" s="483"/>
      <c r="FZ25" s="483"/>
      <c r="GA25" s="483"/>
      <c r="GB25" s="483"/>
      <c r="GC25" s="483"/>
      <c r="GD25" s="483"/>
      <c r="GE25" s="483"/>
      <c r="GF25" s="483"/>
      <c r="GG25" s="483"/>
      <c r="GH25" s="483"/>
      <c r="GI25" s="483"/>
      <c r="GJ25" s="483"/>
      <c r="GK25" s="483"/>
      <c r="GL25" s="483"/>
      <c r="GM25" s="483"/>
      <c r="GN25" s="483"/>
      <c r="GO25" s="483"/>
      <c r="GP25" s="483"/>
      <c r="GQ25" s="483"/>
      <c r="GR25" s="483"/>
      <c r="GS25" s="483"/>
      <c r="GT25" s="483"/>
      <c r="GU25" s="483"/>
      <c r="GV25" s="483"/>
      <c r="GW25" s="483"/>
      <c r="GX25" s="483"/>
      <c r="GY25" s="483"/>
      <c r="GZ25" s="483"/>
      <c r="HA25" s="483"/>
      <c r="HB25" s="483"/>
      <c r="HC25" s="483"/>
      <c r="HD25" s="483"/>
      <c r="HE25" s="485"/>
    </row>
    <row r="26" spans="1:213" ht="9" customHeight="1" thickTop="1">
      <c r="A26" s="49"/>
      <c r="B26" s="84"/>
      <c r="C26" s="50"/>
      <c r="D26" s="80"/>
      <c r="E26" s="80"/>
      <c r="F26" s="95"/>
      <c r="G26" s="93"/>
      <c r="H26" s="93"/>
      <c r="I26" s="93"/>
      <c r="J26" s="93"/>
      <c r="K26" s="93"/>
      <c r="L26" s="93"/>
      <c r="M26" s="93"/>
      <c r="N26" s="93"/>
      <c r="O26" s="93"/>
      <c r="P26" s="93"/>
      <c r="Q26" s="93"/>
      <c r="R26" s="93"/>
      <c r="S26" s="93"/>
      <c r="T26" s="93"/>
      <c r="U26" s="93"/>
      <c r="V26" s="93"/>
      <c r="W26" s="93"/>
      <c r="X26" s="93"/>
      <c r="Y26" s="90"/>
      <c r="Z26" s="100"/>
      <c r="AA26" s="90"/>
      <c r="AB26" s="90"/>
      <c r="AC26" s="90"/>
      <c r="AD26" s="90"/>
      <c r="AE26" s="90"/>
      <c r="AF26" s="98"/>
      <c r="AG26" s="50"/>
      <c r="AH26" s="50"/>
      <c r="AI26" s="84"/>
      <c r="AJ26" s="50"/>
      <c r="AK26" s="50"/>
      <c r="AL26" s="105"/>
      <c r="AM26" s="50"/>
      <c r="AN26" s="50"/>
      <c r="AO26" s="95"/>
      <c r="AP26" s="93"/>
      <c r="AQ26" s="93"/>
      <c r="AR26" s="93"/>
      <c r="AS26" s="93"/>
      <c r="AT26" s="93"/>
      <c r="AU26" s="93"/>
      <c r="AV26" s="93"/>
      <c r="AW26" s="93"/>
      <c r="AX26" s="93"/>
      <c r="AY26" s="93"/>
      <c r="AZ26" s="93"/>
      <c r="BA26" s="93"/>
      <c r="BB26" s="93"/>
      <c r="BC26" s="93"/>
      <c r="BD26" s="93"/>
      <c r="BE26" s="93"/>
      <c r="BF26" s="93"/>
      <c r="BG26" s="93"/>
      <c r="BH26" s="90"/>
      <c r="BI26" s="100"/>
      <c r="BJ26" s="90"/>
      <c r="BK26" s="90"/>
      <c r="BL26" s="90"/>
      <c r="BM26" s="90"/>
      <c r="BN26" s="90"/>
      <c r="BO26" s="98"/>
      <c r="BP26" s="50"/>
      <c r="BQ26" s="50"/>
      <c r="BT26" s="95"/>
      <c r="BU26" s="93"/>
      <c r="BV26" s="93"/>
      <c r="BW26" s="93"/>
      <c r="BX26" s="93"/>
      <c r="BY26" s="93"/>
      <c r="BZ26" s="93"/>
      <c r="CA26" s="93"/>
      <c r="CB26" s="93"/>
      <c r="CC26" s="93"/>
      <c r="CD26" s="93"/>
      <c r="CE26" s="93"/>
      <c r="CF26" s="93"/>
      <c r="CG26" s="93"/>
      <c r="CH26" s="93"/>
      <c r="CI26" s="93"/>
      <c r="CJ26" s="93"/>
      <c r="CK26" s="93"/>
      <c r="CL26" s="93"/>
      <c r="CM26" s="90"/>
      <c r="CN26" s="100"/>
      <c r="CO26" s="90"/>
      <c r="CP26" s="90"/>
      <c r="CQ26" s="90"/>
      <c r="CR26" s="90"/>
      <c r="CS26" s="90"/>
      <c r="CT26" s="98"/>
      <c r="CU26" s="79"/>
      <c r="CV26" s="50"/>
      <c r="CW26" s="105"/>
      <c r="CX26" s="50"/>
      <c r="CY26" s="110"/>
      <c r="CZ26" s="580"/>
      <c r="DA26" s="580"/>
      <c r="DB26" s="580"/>
      <c r="DC26" s="580"/>
      <c r="DD26" s="580"/>
      <c r="DE26" s="580"/>
      <c r="DF26" s="580"/>
      <c r="DG26" s="580"/>
      <c r="DH26" s="580"/>
      <c r="DI26" s="580"/>
      <c r="DJ26" s="580"/>
      <c r="DK26" s="580"/>
      <c r="DL26" s="580"/>
      <c r="DM26" s="97"/>
      <c r="DN26" s="50"/>
      <c r="DO26" s="56"/>
      <c r="DP26" s="562" t="s">
        <v>573</v>
      </c>
      <c r="DQ26" s="563"/>
      <c r="DR26" s="563"/>
      <c r="DS26" s="563"/>
      <c r="DT26" s="563"/>
      <c r="DU26" s="563"/>
      <c r="DV26" s="563"/>
      <c r="DW26" s="563"/>
      <c r="DX26" s="563"/>
      <c r="DY26" s="563"/>
      <c r="DZ26" s="563"/>
      <c r="EA26" s="563"/>
      <c r="EB26" s="563"/>
      <c r="EC26" s="563"/>
      <c r="ED26" s="563"/>
      <c r="EE26" s="563"/>
      <c r="EF26" s="563"/>
      <c r="EG26" s="563"/>
      <c r="EH26" s="563"/>
      <c r="EI26" s="563"/>
      <c r="EJ26" s="563"/>
      <c r="EK26" s="563"/>
      <c r="EL26" s="563"/>
      <c r="EM26" s="563"/>
      <c r="EN26" s="563"/>
      <c r="EO26" s="564"/>
      <c r="EP26" s="592"/>
      <c r="EQ26" s="553"/>
      <c r="ER26" s="553"/>
      <c r="ES26" s="553"/>
      <c r="ET26" s="553"/>
      <c r="EU26" s="553"/>
      <c r="EV26" s="589"/>
      <c r="EW26" s="589"/>
      <c r="EX26" s="589"/>
      <c r="EY26" s="589"/>
      <c r="EZ26" s="60"/>
      <c r="FA26" s="50"/>
      <c r="FB26" s="51"/>
      <c r="FH26" s="482"/>
      <c r="FI26" s="483"/>
      <c r="FJ26" s="483"/>
      <c r="FK26" s="483"/>
      <c r="FL26" s="483"/>
      <c r="FM26" s="483"/>
      <c r="FN26" s="483"/>
      <c r="FO26" s="483"/>
      <c r="FP26" s="483"/>
      <c r="FQ26" s="483"/>
      <c r="FR26" s="483"/>
      <c r="FS26" s="483"/>
      <c r="FT26" s="483"/>
      <c r="FU26" s="483"/>
      <c r="FV26" s="483"/>
      <c r="FW26" s="483"/>
      <c r="FX26" s="483"/>
      <c r="FY26" s="483"/>
      <c r="FZ26" s="483"/>
      <c r="GA26" s="483"/>
      <c r="GB26" s="483"/>
      <c r="GC26" s="483"/>
      <c r="GD26" s="483"/>
      <c r="GE26" s="483"/>
      <c r="GF26" s="483"/>
      <c r="GG26" s="483"/>
      <c r="GH26" s="483"/>
      <c r="GI26" s="483"/>
      <c r="GJ26" s="483"/>
      <c r="GK26" s="483"/>
      <c r="GL26" s="483"/>
      <c r="GM26" s="483"/>
      <c r="GN26" s="483"/>
      <c r="GO26" s="483"/>
      <c r="GP26" s="483"/>
      <c r="GQ26" s="483"/>
      <c r="GR26" s="483"/>
      <c r="GS26" s="483"/>
      <c r="GT26" s="483"/>
      <c r="GU26" s="483"/>
      <c r="GV26" s="483"/>
      <c r="GW26" s="483"/>
      <c r="GX26" s="483"/>
      <c r="GY26" s="483"/>
      <c r="GZ26" s="483"/>
      <c r="HA26" s="483"/>
      <c r="HB26" s="483"/>
      <c r="HC26" s="483"/>
      <c r="HD26" s="483"/>
      <c r="HE26" s="485"/>
    </row>
    <row r="27" spans="1:213" ht="9" customHeight="1">
      <c r="A27" s="49"/>
      <c r="B27" s="84"/>
      <c r="C27" s="50"/>
      <c r="D27" s="80"/>
      <c r="E27" s="80"/>
      <c r="F27" s="92"/>
      <c r="G27" s="551" t="s">
        <v>578</v>
      </c>
      <c r="H27" s="551"/>
      <c r="I27" s="551"/>
      <c r="J27" s="551"/>
      <c r="K27" s="551"/>
      <c r="L27" s="551"/>
      <c r="M27" s="551"/>
      <c r="N27" s="551"/>
      <c r="O27" s="551"/>
      <c r="P27" s="551"/>
      <c r="Q27" s="551"/>
      <c r="R27" s="551"/>
      <c r="S27" s="551"/>
      <c r="T27" s="551"/>
      <c r="U27" s="551"/>
      <c r="V27" s="551"/>
      <c r="W27" s="551"/>
      <c r="X27" s="551"/>
      <c r="Y27" s="551"/>
      <c r="Z27" s="56"/>
      <c r="AA27" s="551">
        <f>IF(Abilities!S7="","",Abilities!S7)</f>
        <v>0</v>
      </c>
      <c r="AB27" s="551"/>
      <c r="AC27" s="551"/>
      <c r="AD27" s="551"/>
      <c r="AE27" s="551"/>
      <c r="AF27" s="97"/>
      <c r="AG27" s="50"/>
      <c r="AH27" s="50"/>
      <c r="AI27" s="84"/>
      <c r="AJ27" s="50"/>
      <c r="AK27" s="50"/>
      <c r="AL27" s="105"/>
      <c r="AM27" s="50"/>
      <c r="AN27" s="50"/>
      <c r="AO27" s="92"/>
      <c r="AP27" s="551" t="s">
        <v>586</v>
      </c>
      <c r="AQ27" s="551"/>
      <c r="AR27" s="551"/>
      <c r="AS27" s="551"/>
      <c r="AT27" s="551"/>
      <c r="AU27" s="551"/>
      <c r="AV27" s="551"/>
      <c r="AW27" s="551"/>
      <c r="AX27" s="551"/>
      <c r="AY27" s="551"/>
      <c r="AZ27" s="551"/>
      <c r="BA27" s="551"/>
      <c r="BB27" s="551"/>
      <c r="BC27" s="551"/>
      <c r="BD27" s="551"/>
      <c r="BE27" s="551"/>
      <c r="BF27" s="551"/>
      <c r="BG27" s="551"/>
      <c r="BH27" s="551"/>
      <c r="BI27" s="56"/>
      <c r="BJ27" s="551">
        <f>IF(Abilities!AR7="","",Abilities!AR7)</f>
        <v>10</v>
      </c>
      <c r="BK27" s="551"/>
      <c r="BL27" s="551"/>
      <c r="BM27" s="551"/>
      <c r="BN27" s="551"/>
      <c r="BO27" s="97"/>
      <c r="BP27" s="50"/>
      <c r="BQ27" s="50"/>
      <c r="BT27" s="92"/>
      <c r="BU27" s="551" t="s">
        <v>587</v>
      </c>
      <c r="BV27" s="551"/>
      <c r="BW27" s="551"/>
      <c r="BX27" s="551"/>
      <c r="BY27" s="551"/>
      <c r="BZ27" s="551"/>
      <c r="CA27" s="551"/>
      <c r="CB27" s="551"/>
      <c r="CC27" s="551"/>
      <c r="CD27" s="551"/>
      <c r="CE27" s="551"/>
      <c r="CF27" s="551"/>
      <c r="CG27" s="551"/>
      <c r="CH27" s="551"/>
      <c r="CI27" s="551"/>
      <c r="CJ27" s="551"/>
      <c r="CK27" s="551"/>
      <c r="CL27" s="551"/>
      <c r="CM27" s="551"/>
      <c r="CN27" s="56"/>
      <c r="CO27" s="551">
        <f>IF(Abilities!AR9="","",Abilities!AR9)</f>
        <v>10</v>
      </c>
      <c r="CP27" s="551"/>
      <c r="CQ27" s="551"/>
      <c r="CR27" s="551"/>
      <c r="CS27" s="551"/>
      <c r="CT27" s="97"/>
      <c r="CU27" s="79"/>
      <c r="CV27" s="50"/>
      <c r="CW27" s="105"/>
      <c r="CX27" s="50"/>
      <c r="CY27" s="110"/>
      <c r="CZ27" s="580"/>
      <c r="DA27" s="580"/>
      <c r="DB27" s="580"/>
      <c r="DC27" s="580"/>
      <c r="DD27" s="580"/>
      <c r="DE27" s="580"/>
      <c r="DF27" s="580"/>
      <c r="DG27" s="580"/>
      <c r="DH27" s="580"/>
      <c r="DI27" s="580"/>
      <c r="DJ27" s="580"/>
      <c r="DK27" s="580"/>
      <c r="DL27" s="580"/>
      <c r="DM27" s="97"/>
      <c r="DN27" s="50"/>
      <c r="DO27" s="56"/>
      <c r="DP27" s="565"/>
      <c r="DQ27" s="566"/>
      <c r="DR27" s="566"/>
      <c r="DS27" s="566"/>
      <c r="DT27" s="566"/>
      <c r="DU27" s="566"/>
      <c r="DV27" s="566"/>
      <c r="DW27" s="566"/>
      <c r="DX27" s="566"/>
      <c r="DY27" s="566"/>
      <c r="DZ27" s="566"/>
      <c r="EA27" s="566"/>
      <c r="EB27" s="566"/>
      <c r="EC27" s="566"/>
      <c r="ED27" s="566"/>
      <c r="EE27" s="566"/>
      <c r="EF27" s="566"/>
      <c r="EG27" s="566"/>
      <c r="EH27" s="566"/>
      <c r="EI27" s="566"/>
      <c r="EJ27" s="566"/>
      <c r="EK27" s="566"/>
      <c r="EL27" s="566"/>
      <c r="EM27" s="566"/>
      <c r="EN27" s="566"/>
      <c r="EO27" s="567"/>
      <c r="EP27" s="592"/>
      <c r="EQ27" s="553"/>
      <c r="ER27" s="553"/>
      <c r="ES27" s="553"/>
      <c r="ET27" s="553"/>
      <c r="EU27" s="553"/>
      <c r="EV27" s="589"/>
      <c r="EW27" s="589"/>
      <c r="EX27" s="589"/>
      <c r="EY27" s="589"/>
      <c r="EZ27" s="60"/>
      <c r="FA27" s="50"/>
      <c r="FB27" s="51"/>
      <c r="FH27" s="482"/>
      <c r="FI27" s="483"/>
      <c r="FJ27" s="483"/>
      <c r="FK27" s="483"/>
      <c r="FL27" s="483"/>
      <c r="FM27" s="483"/>
      <c r="FN27" s="483"/>
      <c r="FO27" s="483"/>
      <c r="FP27" s="483"/>
      <c r="FQ27" s="483"/>
      <c r="FR27" s="483"/>
      <c r="FS27" s="483"/>
      <c r="FT27" s="483"/>
      <c r="FU27" s="483"/>
      <c r="FV27" s="483"/>
      <c r="FW27" s="483"/>
      <c r="FX27" s="483"/>
      <c r="FY27" s="483"/>
      <c r="FZ27" s="483"/>
      <c r="GA27" s="483"/>
      <c r="GB27" s="483"/>
      <c r="GC27" s="483"/>
      <c r="GD27" s="483"/>
      <c r="GE27" s="483"/>
      <c r="GF27" s="483"/>
      <c r="GG27" s="483"/>
      <c r="GH27" s="483"/>
      <c r="GI27" s="483"/>
      <c r="GJ27" s="483"/>
      <c r="GK27" s="483"/>
      <c r="GL27" s="483"/>
      <c r="GM27" s="483"/>
      <c r="GN27" s="483"/>
      <c r="GO27" s="483"/>
      <c r="GP27" s="483"/>
      <c r="GQ27" s="483"/>
      <c r="GR27" s="483"/>
      <c r="GS27" s="483"/>
      <c r="GT27" s="483"/>
      <c r="GU27" s="483"/>
      <c r="GV27" s="483"/>
      <c r="GW27" s="483"/>
      <c r="GX27" s="483"/>
      <c r="GY27" s="483"/>
      <c r="GZ27" s="483"/>
      <c r="HA27" s="483"/>
      <c r="HB27" s="483"/>
      <c r="HC27" s="483"/>
      <c r="HD27" s="483"/>
      <c r="HE27" s="485"/>
    </row>
    <row r="28" spans="1:213" ht="9" customHeight="1">
      <c r="A28" s="49"/>
      <c r="B28" s="84"/>
      <c r="C28" s="50"/>
      <c r="D28" s="80"/>
      <c r="E28" s="80"/>
      <c r="F28" s="92"/>
      <c r="G28" s="551"/>
      <c r="H28" s="551"/>
      <c r="I28" s="551"/>
      <c r="J28" s="551"/>
      <c r="K28" s="551"/>
      <c r="L28" s="551"/>
      <c r="M28" s="551"/>
      <c r="N28" s="551"/>
      <c r="O28" s="551"/>
      <c r="P28" s="551"/>
      <c r="Q28" s="551"/>
      <c r="R28" s="551"/>
      <c r="S28" s="551"/>
      <c r="T28" s="551"/>
      <c r="U28" s="551"/>
      <c r="V28" s="551"/>
      <c r="W28" s="551"/>
      <c r="X28" s="551"/>
      <c r="Y28" s="551"/>
      <c r="Z28" s="56"/>
      <c r="AA28" s="551"/>
      <c r="AB28" s="551"/>
      <c r="AC28" s="551"/>
      <c r="AD28" s="551"/>
      <c r="AE28" s="551"/>
      <c r="AF28" s="97"/>
      <c r="AG28" s="50"/>
      <c r="AH28" s="50"/>
      <c r="AI28" s="84"/>
      <c r="AJ28" s="50"/>
      <c r="AK28" s="50"/>
      <c r="AL28" s="105"/>
      <c r="AM28" s="50"/>
      <c r="AN28" s="50"/>
      <c r="AO28" s="92"/>
      <c r="AP28" s="551"/>
      <c r="AQ28" s="551"/>
      <c r="AR28" s="551"/>
      <c r="AS28" s="551"/>
      <c r="AT28" s="551"/>
      <c r="AU28" s="551"/>
      <c r="AV28" s="551"/>
      <c r="AW28" s="551"/>
      <c r="AX28" s="551"/>
      <c r="AY28" s="551"/>
      <c r="AZ28" s="551"/>
      <c r="BA28" s="551"/>
      <c r="BB28" s="551"/>
      <c r="BC28" s="551"/>
      <c r="BD28" s="551"/>
      <c r="BE28" s="551"/>
      <c r="BF28" s="551"/>
      <c r="BG28" s="551"/>
      <c r="BH28" s="551"/>
      <c r="BI28" s="56"/>
      <c r="BJ28" s="551"/>
      <c r="BK28" s="551"/>
      <c r="BL28" s="551"/>
      <c r="BM28" s="551"/>
      <c r="BN28" s="551"/>
      <c r="BO28" s="97"/>
      <c r="BP28" s="50"/>
      <c r="BQ28" s="50"/>
      <c r="BT28" s="92"/>
      <c r="BU28" s="551"/>
      <c r="BV28" s="551"/>
      <c r="BW28" s="551"/>
      <c r="BX28" s="551"/>
      <c r="BY28" s="551"/>
      <c r="BZ28" s="551"/>
      <c r="CA28" s="551"/>
      <c r="CB28" s="551"/>
      <c r="CC28" s="551"/>
      <c r="CD28" s="551"/>
      <c r="CE28" s="551"/>
      <c r="CF28" s="551"/>
      <c r="CG28" s="551"/>
      <c r="CH28" s="551"/>
      <c r="CI28" s="551"/>
      <c r="CJ28" s="551"/>
      <c r="CK28" s="551"/>
      <c r="CL28" s="551"/>
      <c r="CM28" s="551"/>
      <c r="CN28" s="56"/>
      <c r="CO28" s="551"/>
      <c r="CP28" s="551"/>
      <c r="CQ28" s="551"/>
      <c r="CR28" s="551"/>
      <c r="CS28" s="551"/>
      <c r="CT28" s="97"/>
      <c r="CU28" s="79"/>
      <c r="CV28" s="50"/>
      <c r="CW28" s="105"/>
      <c r="CX28" s="50"/>
      <c r="CY28" s="110"/>
      <c r="CZ28" s="580"/>
      <c r="DA28" s="580"/>
      <c r="DB28" s="580"/>
      <c r="DC28" s="580"/>
      <c r="DD28" s="580"/>
      <c r="DE28" s="580"/>
      <c r="DF28" s="580"/>
      <c r="DG28" s="580"/>
      <c r="DH28" s="580"/>
      <c r="DI28" s="580"/>
      <c r="DJ28" s="580"/>
      <c r="DK28" s="580"/>
      <c r="DL28" s="580"/>
      <c r="DM28" s="97"/>
      <c r="DN28" s="50"/>
      <c r="DO28" s="56"/>
      <c r="DP28" s="565"/>
      <c r="DQ28" s="566"/>
      <c r="DR28" s="566"/>
      <c r="DS28" s="566"/>
      <c r="DT28" s="566"/>
      <c r="DU28" s="566"/>
      <c r="DV28" s="566"/>
      <c r="DW28" s="566"/>
      <c r="DX28" s="566"/>
      <c r="DY28" s="566"/>
      <c r="DZ28" s="566"/>
      <c r="EA28" s="566"/>
      <c r="EB28" s="566"/>
      <c r="EC28" s="566"/>
      <c r="ED28" s="566"/>
      <c r="EE28" s="566"/>
      <c r="EF28" s="566"/>
      <c r="EG28" s="566"/>
      <c r="EH28" s="566"/>
      <c r="EI28" s="566"/>
      <c r="EJ28" s="566"/>
      <c r="EK28" s="566"/>
      <c r="EL28" s="566"/>
      <c r="EM28" s="566"/>
      <c r="EN28" s="566"/>
      <c r="EO28" s="567"/>
      <c r="EP28" s="592"/>
      <c r="EQ28" s="553"/>
      <c r="ER28" s="553"/>
      <c r="ES28" s="553"/>
      <c r="ET28" s="553"/>
      <c r="EU28" s="553"/>
      <c r="EV28" s="589"/>
      <c r="EW28" s="589"/>
      <c r="EX28" s="589"/>
      <c r="EY28" s="589"/>
      <c r="EZ28" s="60"/>
      <c r="FA28" s="50"/>
      <c r="FB28" s="51"/>
      <c r="FH28" s="482"/>
      <c r="FI28" s="483"/>
      <c r="FJ28" s="483"/>
      <c r="FK28" s="483"/>
      <c r="FL28" s="483"/>
      <c r="FM28" s="483"/>
      <c r="FN28" s="483"/>
      <c r="FO28" s="483"/>
      <c r="FP28" s="483"/>
      <c r="FQ28" s="483"/>
      <c r="FR28" s="483"/>
      <c r="FS28" s="483"/>
      <c r="FT28" s="483"/>
      <c r="FU28" s="483"/>
      <c r="FV28" s="483"/>
      <c r="FW28" s="483"/>
      <c r="FX28" s="483"/>
      <c r="FY28" s="483"/>
      <c r="FZ28" s="483"/>
      <c r="GA28" s="483"/>
      <c r="GB28" s="483"/>
      <c r="GC28" s="483"/>
      <c r="GD28" s="483"/>
      <c r="GE28" s="483"/>
      <c r="GF28" s="483"/>
      <c r="GG28" s="483"/>
      <c r="GH28" s="483"/>
      <c r="GI28" s="483"/>
      <c r="GJ28" s="483"/>
      <c r="GK28" s="483"/>
      <c r="GL28" s="483"/>
      <c r="GM28" s="483"/>
      <c r="GN28" s="483"/>
      <c r="GO28" s="483"/>
      <c r="GP28" s="483"/>
      <c r="GQ28" s="483"/>
      <c r="GR28" s="483"/>
      <c r="GS28" s="483"/>
      <c r="GT28" s="483"/>
      <c r="GU28" s="483"/>
      <c r="GV28" s="483"/>
      <c r="GW28" s="483"/>
      <c r="GX28" s="483"/>
      <c r="GY28" s="483"/>
      <c r="GZ28" s="483"/>
      <c r="HA28" s="483"/>
      <c r="HB28" s="483"/>
      <c r="HC28" s="483"/>
      <c r="HD28" s="483"/>
      <c r="HE28" s="485"/>
    </row>
    <row r="29" spans="1:213" ht="9" customHeight="1" thickBot="1">
      <c r="A29" s="49"/>
      <c r="B29" s="84"/>
      <c r="C29" s="50"/>
      <c r="D29" s="80"/>
      <c r="E29" s="80"/>
      <c r="F29" s="92"/>
      <c r="G29" s="551"/>
      <c r="H29" s="551"/>
      <c r="I29" s="551"/>
      <c r="J29" s="551"/>
      <c r="K29" s="551"/>
      <c r="L29" s="551"/>
      <c r="M29" s="551"/>
      <c r="N29" s="551"/>
      <c r="O29" s="551"/>
      <c r="P29" s="551"/>
      <c r="Q29" s="551"/>
      <c r="R29" s="551"/>
      <c r="S29" s="551"/>
      <c r="T29" s="551"/>
      <c r="U29" s="551"/>
      <c r="V29" s="551"/>
      <c r="W29" s="551"/>
      <c r="X29" s="551"/>
      <c r="Y29" s="551"/>
      <c r="Z29" s="56"/>
      <c r="AA29" s="551"/>
      <c r="AB29" s="551"/>
      <c r="AC29" s="551"/>
      <c r="AD29" s="551"/>
      <c r="AE29" s="551"/>
      <c r="AF29" s="97"/>
      <c r="AG29" s="50"/>
      <c r="AH29" s="50"/>
      <c r="AI29" s="84"/>
      <c r="AJ29" s="50"/>
      <c r="AK29" s="50"/>
      <c r="AL29" s="105"/>
      <c r="AM29" s="50"/>
      <c r="AN29" s="50"/>
      <c r="AO29" s="92"/>
      <c r="AP29" s="551"/>
      <c r="AQ29" s="551"/>
      <c r="AR29" s="551"/>
      <c r="AS29" s="551"/>
      <c r="AT29" s="551"/>
      <c r="AU29" s="551"/>
      <c r="AV29" s="551"/>
      <c r="AW29" s="551"/>
      <c r="AX29" s="551"/>
      <c r="AY29" s="551"/>
      <c r="AZ29" s="551"/>
      <c r="BA29" s="551"/>
      <c r="BB29" s="551"/>
      <c r="BC29" s="551"/>
      <c r="BD29" s="551"/>
      <c r="BE29" s="551"/>
      <c r="BF29" s="551"/>
      <c r="BG29" s="551"/>
      <c r="BH29" s="551"/>
      <c r="BI29" s="56"/>
      <c r="BJ29" s="551"/>
      <c r="BK29" s="551"/>
      <c r="BL29" s="551"/>
      <c r="BM29" s="551"/>
      <c r="BN29" s="551"/>
      <c r="BO29" s="97"/>
      <c r="BP29" s="50"/>
      <c r="BQ29" s="50"/>
      <c r="BT29" s="92"/>
      <c r="BU29" s="551"/>
      <c r="BV29" s="551"/>
      <c r="BW29" s="551"/>
      <c r="BX29" s="551"/>
      <c r="BY29" s="551"/>
      <c r="BZ29" s="551"/>
      <c r="CA29" s="551"/>
      <c r="CB29" s="551"/>
      <c r="CC29" s="551"/>
      <c r="CD29" s="551"/>
      <c r="CE29" s="551"/>
      <c r="CF29" s="551"/>
      <c r="CG29" s="551"/>
      <c r="CH29" s="551"/>
      <c r="CI29" s="551"/>
      <c r="CJ29" s="551"/>
      <c r="CK29" s="551"/>
      <c r="CL29" s="551"/>
      <c r="CM29" s="551"/>
      <c r="CN29" s="56"/>
      <c r="CO29" s="551"/>
      <c r="CP29" s="551"/>
      <c r="CQ29" s="551"/>
      <c r="CR29" s="551"/>
      <c r="CS29" s="551"/>
      <c r="CT29" s="97"/>
      <c r="CU29" s="79"/>
      <c r="CV29" s="50"/>
      <c r="CW29" s="105"/>
      <c r="CX29" s="50"/>
      <c r="CY29" s="110"/>
      <c r="CZ29" s="543">
        <f>IF(Abilities!AR14="","",Abilities!AR14)</f>
        <v>1</v>
      </c>
      <c r="DA29" s="543"/>
      <c r="DB29" s="543"/>
      <c r="DC29" s="543"/>
      <c r="DD29" s="543"/>
      <c r="DE29" s="543"/>
      <c r="DF29" s="543"/>
      <c r="DG29" s="543"/>
      <c r="DH29" s="543"/>
      <c r="DI29" s="543"/>
      <c r="DJ29" s="543"/>
      <c r="DK29" s="543"/>
      <c r="DL29" s="543"/>
      <c r="DM29" s="97"/>
      <c r="DN29" s="50"/>
      <c r="DO29" s="56"/>
      <c r="DP29" s="568"/>
      <c r="DQ29" s="569"/>
      <c r="DR29" s="569"/>
      <c r="DS29" s="569"/>
      <c r="DT29" s="569"/>
      <c r="DU29" s="569"/>
      <c r="DV29" s="569"/>
      <c r="DW29" s="569"/>
      <c r="DX29" s="569"/>
      <c r="DY29" s="569"/>
      <c r="DZ29" s="569"/>
      <c r="EA29" s="569"/>
      <c r="EB29" s="569"/>
      <c r="EC29" s="569"/>
      <c r="ED29" s="569"/>
      <c r="EE29" s="569"/>
      <c r="EF29" s="569"/>
      <c r="EG29" s="569"/>
      <c r="EH29" s="569"/>
      <c r="EI29" s="569"/>
      <c r="EJ29" s="569"/>
      <c r="EK29" s="569"/>
      <c r="EL29" s="569"/>
      <c r="EM29" s="569"/>
      <c r="EN29" s="569"/>
      <c r="EO29" s="570"/>
      <c r="EP29" s="592"/>
      <c r="EQ29" s="553"/>
      <c r="ER29" s="553"/>
      <c r="ES29" s="553"/>
      <c r="ET29" s="553"/>
      <c r="EU29" s="553"/>
      <c r="EV29" s="589"/>
      <c r="EW29" s="589"/>
      <c r="EX29" s="589"/>
      <c r="EY29" s="589"/>
      <c r="EZ29" s="60"/>
      <c r="FA29" s="50"/>
      <c r="FB29" s="51"/>
      <c r="FH29" s="482"/>
      <c r="FI29" s="483"/>
      <c r="FJ29" s="483"/>
      <c r="FK29" s="483"/>
      <c r="FL29" s="483"/>
      <c r="FM29" s="483"/>
      <c r="FN29" s="483"/>
      <c r="FO29" s="483"/>
      <c r="FP29" s="483"/>
      <c r="FQ29" s="483"/>
      <c r="FR29" s="483"/>
      <c r="FS29" s="483"/>
      <c r="FT29" s="483"/>
      <c r="FU29" s="483"/>
      <c r="FV29" s="483"/>
      <c r="FW29" s="483"/>
      <c r="FX29" s="483"/>
      <c r="FY29" s="483"/>
      <c r="FZ29" s="483"/>
      <c r="GA29" s="483"/>
      <c r="GB29" s="483"/>
      <c r="GC29" s="483"/>
      <c r="GD29" s="483"/>
      <c r="GE29" s="483"/>
      <c r="GF29" s="483"/>
      <c r="GG29" s="483"/>
      <c r="GH29" s="483"/>
      <c r="GI29" s="483"/>
      <c r="GJ29" s="483"/>
      <c r="GK29" s="483"/>
      <c r="GL29" s="483"/>
      <c r="GM29" s="483"/>
      <c r="GN29" s="483"/>
      <c r="GO29" s="483"/>
      <c r="GP29" s="483"/>
      <c r="GQ29" s="483"/>
      <c r="GR29" s="483"/>
      <c r="GS29" s="483"/>
      <c r="GT29" s="483"/>
      <c r="GU29" s="483"/>
      <c r="GV29" s="483"/>
      <c r="GW29" s="483"/>
      <c r="GX29" s="483"/>
      <c r="GY29" s="483"/>
      <c r="GZ29" s="483"/>
      <c r="HA29" s="483"/>
      <c r="HB29" s="483"/>
      <c r="HC29" s="483"/>
      <c r="HD29" s="483"/>
      <c r="HE29" s="485"/>
    </row>
    <row r="30" spans="1:213" ht="9" customHeight="1" thickTop="1" thickBot="1">
      <c r="A30" s="49"/>
      <c r="B30" s="84"/>
      <c r="C30" s="50"/>
      <c r="D30" s="80"/>
      <c r="E30" s="80"/>
      <c r="F30" s="96"/>
      <c r="G30" s="94"/>
      <c r="H30" s="94"/>
      <c r="I30" s="94"/>
      <c r="J30" s="94"/>
      <c r="K30" s="94"/>
      <c r="L30" s="94"/>
      <c r="M30" s="94"/>
      <c r="N30" s="94"/>
      <c r="O30" s="94"/>
      <c r="P30" s="94"/>
      <c r="Q30" s="94"/>
      <c r="R30" s="94"/>
      <c r="S30" s="94"/>
      <c r="T30" s="94"/>
      <c r="U30" s="94"/>
      <c r="V30" s="94"/>
      <c r="W30" s="94"/>
      <c r="X30" s="94"/>
      <c r="Y30" s="91"/>
      <c r="Z30" s="101"/>
      <c r="AA30" s="91"/>
      <c r="AB30" s="91"/>
      <c r="AC30" s="91"/>
      <c r="AD30" s="91"/>
      <c r="AE30" s="91"/>
      <c r="AF30" s="99"/>
      <c r="AG30" s="50"/>
      <c r="AH30" s="50"/>
      <c r="AI30" s="84"/>
      <c r="AJ30" s="50"/>
      <c r="AK30" s="50"/>
      <c r="AL30" s="105"/>
      <c r="AM30" s="50"/>
      <c r="AN30" s="50"/>
      <c r="AO30" s="96"/>
      <c r="AP30" s="94"/>
      <c r="AQ30" s="94"/>
      <c r="AR30" s="94"/>
      <c r="AS30" s="94"/>
      <c r="AT30" s="94"/>
      <c r="AU30" s="94"/>
      <c r="AV30" s="94"/>
      <c r="AW30" s="94"/>
      <c r="AX30" s="94"/>
      <c r="AY30" s="94"/>
      <c r="AZ30" s="94"/>
      <c r="BA30" s="94"/>
      <c r="BB30" s="94"/>
      <c r="BC30" s="94"/>
      <c r="BD30" s="94"/>
      <c r="BE30" s="94"/>
      <c r="BF30" s="94"/>
      <c r="BG30" s="94"/>
      <c r="BH30" s="91"/>
      <c r="BI30" s="101"/>
      <c r="BJ30" s="91"/>
      <c r="BK30" s="91"/>
      <c r="BL30" s="91"/>
      <c r="BM30" s="91"/>
      <c r="BN30" s="91"/>
      <c r="BO30" s="99"/>
      <c r="BP30" s="50"/>
      <c r="BQ30" s="50"/>
      <c r="BT30" s="96"/>
      <c r="BU30" s="94"/>
      <c r="BV30" s="94"/>
      <c r="BW30" s="94"/>
      <c r="BX30" s="94"/>
      <c r="BY30" s="94"/>
      <c r="BZ30" s="94"/>
      <c r="CA30" s="94"/>
      <c r="CB30" s="94"/>
      <c r="CC30" s="94"/>
      <c r="CD30" s="94"/>
      <c r="CE30" s="94"/>
      <c r="CF30" s="94"/>
      <c r="CG30" s="94"/>
      <c r="CH30" s="94"/>
      <c r="CI30" s="94"/>
      <c r="CJ30" s="94"/>
      <c r="CK30" s="94"/>
      <c r="CL30" s="94"/>
      <c r="CM30" s="91"/>
      <c r="CN30" s="101"/>
      <c r="CO30" s="91"/>
      <c r="CP30" s="91"/>
      <c r="CQ30" s="91"/>
      <c r="CR30" s="91"/>
      <c r="CS30" s="91"/>
      <c r="CT30" s="99"/>
      <c r="CU30" s="79"/>
      <c r="CV30" s="50"/>
      <c r="CW30" s="105"/>
      <c r="CX30" s="50"/>
      <c r="CY30" s="110"/>
      <c r="CZ30" s="543"/>
      <c r="DA30" s="543"/>
      <c r="DB30" s="543"/>
      <c r="DC30" s="543"/>
      <c r="DD30" s="543"/>
      <c r="DE30" s="543"/>
      <c r="DF30" s="543"/>
      <c r="DG30" s="543"/>
      <c r="DH30" s="543"/>
      <c r="DI30" s="543"/>
      <c r="DJ30" s="543"/>
      <c r="DK30" s="543"/>
      <c r="DL30" s="543"/>
      <c r="DM30" s="97"/>
      <c r="DN30" s="50"/>
      <c r="DO30" s="56"/>
      <c r="DP30" s="50"/>
      <c r="DQ30" s="89"/>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593"/>
      <c r="EQ30" s="594"/>
      <c r="ER30" s="594"/>
      <c r="ES30" s="594"/>
      <c r="ET30" s="594"/>
      <c r="EU30" s="594"/>
      <c r="EV30" s="589"/>
      <c r="EW30" s="589"/>
      <c r="EX30" s="589"/>
      <c r="EY30" s="589"/>
      <c r="EZ30" s="60"/>
      <c r="FA30" s="50"/>
      <c r="FB30" s="51"/>
      <c r="FH30" s="482"/>
      <c r="FI30" s="483"/>
      <c r="FJ30" s="483"/>
      <c r="FK30" s="483"/>
      <c r="FL30" s="483"/>
      <c r="FM30" s="483"/>
      <c r="FN30" s="483"/>
      <c r="FO30" s="483"/>
      <c r="FP30" s="483"/>
      <c r="FQ30" s="483"/>
      <c r="FR30" s="483"/>
      <c r="FS30" s="483"/>
      <c r="FT30" s="483"/>
      <c r="FU30" s="483"/>
      <c r="FV30" s="483"/>
      <c r="FW30" s="483"/>
      <c r="FX30" s="483"/>
      <c r="FY30" s="483"/>
      <c r="FZ30" s="483"/>
      <c r="GA30" s="483"/>
      <c r="GB30" s="483"/>
      <c r="GC30" s="483"/>
      <c r="GD30" s="483"/>
      <c r="GE30" s="483"/>
      <c r="GF30" s="483"/>
      <c r="GG30" s="483"/>
      <c r="GH30" s="483"/>
      <c r="GI30" s="483"/>
      <c r="GJ30" s="483"/>
      <c r="GK30" s="483"/>
      <c r="GL30" s="483"/>
      <c r="GM30" s="483"/>
      <c r="GN30" s="483"/>
      <c r="GO30" s="483"/>
      <c r="GP30" s="483"/>
      <c r="GQ30" s="483"/>
      <c r="GR30" s="483"/>
      <c r="GS30" s="483"/>
      <c r="GT30" s="483"/>
      <c r="GU30" s="483"/>
      <c r="GV30" s="483"/>
      <c r="GW30" s="483"/>
      <c r="GX30" s="483"/>
      <c r="GY30" s="483"/>
      <c r="GZ30" s="483"/>
      <c r="HA30" s="483"/>
      <c r="HB30" s="483"/>
      <c r="HC30" s="483"/>
      <c r="HD30" s="483"/>
      <c r="HE30" s="485"/>
    </row>
    <row r="31" spans="1:213" ht="9" customHeight="1" thickTop="1" thickBot="1">
      <c r="A31" s="49"/>
      <c r="B31" s="84"/>
      <c r="C31" s="50"/>
      <c r="D31" s="80"/>
      <c r="E31" s="80"/>
      <c r="F31" s="80"/>
      <c r="G31" s="80"/>
      <c r="H31" s="50"/>
      <c r="I31" s="81"/>
      <c r="J31" s="81"/>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84"/>
      <c r="AJ31" s="50"/>
      <c r="AK31" s="50"/>
      <c r="AL31" s="105"/>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79"/>
      <c r="CV31" s="50"/>
      <c r="CW31" s="105"/>
      <c r="CX31" s="50"/>
      <c r="CY31" s="110"/>
      <c r="CZ31" s="543"/>
      <c r="DA31" s="543"/>
      <c r="DB31" s="543"/>
      <c r="DC31" s="543"/>
      <c r="DD31" s="543"/>
      <c r="DE31" s="543"/>
      <c r="DF31" s="543"/>
      <c r="DG31" s="543"/>
      <c r="DH31" s="543"/>
      <c r="DI31" s="543"/>
      <c r="DJ31" s="543"/>
      <c r="DK31" s="543"/>
      <c r="DL31" s="543"/>
      <c r="DM31" s="97"/>
      <c r="DN31" s="50"/>
      <c r="DO31" s="56"/>
      <c r="DP31" s="50"/>
      <c r="DQ31" s="89"/>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60"/>
      <c r="FA31" s="50"/>
      <c r="FB31" s="51"/>
      <c r="FH31" s="482"/>
      <c r="FI31" s="483"/>
      <c r="FJ31" s="483"/>
      <c r="FK31" s="483"/>
      <c r="FL31" s="483"/>
      <c r="FM31" s="483"/>
      <c r="FN31" s="483"/>
      <c r="FO31" s="483"/>
      <c r="FP31" s="483"/>
      <c r="FQ31" s="483"/>
      <c r="FR31" s="483"/>
      <c r="FS31" s="483"/>
      <c r="FT31" s="483"/>
      <c r="FU31" s="483"/>
      <c r="FV31" s="483"/>
      <c r="FW31" s="483"/>
      <c r="FX31" s="483"/>
      <c r="FY31" s="483"/>
      <c r="FZ31" s="483"/>
      <c r="GA31" s="483"/>
      <c r="GB31" s="483"/>
      <c r="GC31" s="483"/>
      <c r="GD31" s="483"/>
      <c r="GE31" s="483"/>
      <c r="GF31" s="483"/>
      <c r="GG31" s="483"/>
      <c r="GH31" s="483"/>
      <c r="GI31" s="483"/>
      <c r="GJ31" s="483"/>
      <c r="GK31" s="483"/>
      <c r="GL31" s="483"/>
      <c r="GM31" s="483"/>
      <c r="GN31" s="483"/>
      <c r="GO31" s="483"/>
      <c r="GP31" s="483"/>
      <c r="GQ31" s="483"/>
      <c r="GR31" s="483"/>
      <c r="GS31" s="483"/>
      <c r="GT31" s="483"/>
      <c r="GU31" s="483"/>
      <c r="GV31" s="483"/>
      <c r="GW31" s="483"/>
      <c r="GX31" s="483"/>
      <c r="GY31" s="483"/>
      <c r="GZ31" s="483"/>
      <c r="HA31" s="483"/>
      <c r="HB31" s="483"/>
      <c r="HC31" s="483"/>
      <c r="HD31" s="483"/>
      <c r="HE31" s="485"/>
    </row>
    <row r="32" spans="1:213" ht="9" customHeight="1" thickTop="1" thickBot="1">
      <c r="A32" s="49"/>
      <c r="B32" s="84"/>
      <c r="C32" s="50"/>
      <c r="D32" s="80"/>
      <c r="E32" s="80"/>
      <c r="F32" s="80"/>
      <c r="G32" s="80"/>
      <c r="H32" s="50"/>
      <c r="I32" s="81"/>
      <c r="J32" s="81"/>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84"/>
      <c r="AJ32" s="50"/>
      <c r="AK32" s="50"/>
      <c r="AL32" s="105"/>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79"/>
      <c r="CV32" s="50"/>
      <c r="CW32" s="105"/>
      <c r="CX32" s="50"/>
      <c r="CY32" s="110"/>
      <c r="CZ32" s="543"/>
      <c r="DA32" s="543"/>
      <c r="DB32" s="543"/>
      <c r="DC32" s="543"/>
      <c r="DD32" s="543"/>
      <c r="DE32" s="543"/>
      <c r="DF32" s="543"/>
      <c r="DG32" s="543"/>
      <c r="DH32" s="543"/>
      <c r="DI32" s="543"/>
      <c r="DJ32" s="543"/>
      <c r="DK32" s="543"/>
      <c r="DL32" s="543"/>
      <c r="DM32" s="97"/>
      <c r="DN32" s="50"/>
      <c r="DO32" s="56"/>
      <c r="DP32" s="50"/>
      <c r="DQ32" s="89"/>
      <c r="DR32" s="50"/>
      <c r="DS32" s="50"/>
      <c r="DT32" s="50"/>
      <c r="DU32" s="50"/>
      <c r="DV32" s="50"/>
      <c r="DW32" s="50"/>
      <c r="DX32" s="50"/>
      <c r="DY32" s="50"/>
      <c r="DZ32" s="50"/>
      <c r="EA32" s="50"/>
      <c r="EB32" s="50"/>
      <c r="EC32" s="50"/>
      <c r="ED32" s="50"/>
      <c r="EE32" s="50"/>
      <c r="EF32" s="50"/>
      <c r="EG32" s="50"/>
      <c r="EH32" s="50"/>
      <c r="EI32" s="50"/>
      <c r="EJ32" s="50"/>
      <c r="EK32" s="50"/>
      <c r="EL32" s="50"/>
      <c r="EM32" s="50"/>
      <c r="EN32" s="50"/>
      <c r="EO32" s="50"/>
      <c r="EP32" s="590">
        <f>IF(Powers!AT10="","",Powers!AT10)</f>
        <v>0</v>
      </c>
      <c r="EQ32" s="591"/>
      <c r="ER32" s="591"/>
      <c r="ES32" s="591"/>
      <c r="ET32" s="591"/>
      <c r="EU32" s="591"/>
      <c r="EV32" s="588"/>
      <c r="EW32" s="588"/>
      <c r="EX32" s="588"/>
      <c r="EY32" s="588"/>
      <c r="EZ32" s="60"/>
      <c r="FA32" s="50"/>
      <c r="FB32" s="51"/>
      <c r="FH32" s="482"/>
      <c r="FI32" s="483"/>
      <c r="FJ32" s="483"/>
      <c r="FK32" s="483"/>
      <c r="FL32" s="483"/>
      <c r="FM32" s="483"/>
      <c r="FN32" s="483"/>
      <c r="FO32" s="483"/>
      <c r="FP32" s="483"/>
      <c r="FQ32" s="483"/>
      <c r="FR32" s="483"/>
      <c r="FS32" s="483"/>
      <c r="FT32" s="483"/>
      <c r="FU32" s="483"/>
      <c r="FV32" s="483"/>
      <c r="FW32" s="483"/>
      <c r="FX32" s="483"/>
      <c r="FY32" s="483"/>
      <c r="FZ32" s="483"/>
      <c r="GA32" s="483"/>
      <c r="GB32" s="483"/>
      <c r="GC32" s="483"/>
      <c r="GD32" s="483"/>
      <c r="GE32" s="483"/>
      <c r="GF32" s="483"/>
      <c r="GG32" s="483"/>
      <c r="GH32" s="483"/>
      <c r="GI32" s="483"/>
      <c r="GJ32" s="483"/>
      <c r="GK32" s="483"/>
      <c r="GL32" s="483"/>
      <c r="GM32" s="483"/>
      <c r="GN32" s="483"/>
      <c r="GO32" s="483"/>
      <c r="GP32" s="483"/>
      <c r="GQ32" s="483"/>
      <c r="GR32" s="483"/>
      <c r="GS32" s="483"/>
      <c r="GT32" s="483"/>
      <c r="GU32" s="483"/>
      <c r="GV32" s="483"/>
      <c r="GW32" s="483"/>
      <c r="GX32" s="483"/>
      <c r="GY32" s="483"/>
      <c r="GZ32" s="483"/>
      <c r="HA32" s="483"/>
      <c r="HB32" s="483"/>
      <c r="HC32" s="483"/>
      <c r="HD32" s="483"/>
      <c r="HE32" s="485"/>
    </row>
    <row r="33" spans="1:213" ht="9" customHeight="1" thickTop="1" thickBot="1">
      <c r="A33" s="49"/>
      <c r="B33" s="84"/>
      <c r="C33" s="50"/>
      <c r="D33" s="80"/>
      <c r="E33" s="80"/>
      <c r="F33" s="95"/>
      <c r="G33" s="93"/>
      <c r="H33" s="93"/>
      <c r="I33" s="93"/>
      <c r="J33" s="93"/>
      <c r="K33" s="93"/>
      <c r="L33" s="93"/>
      <c r="M33" s="93"/>
      <c r="N33" s="93"/>
      <c r="O33" s="93"/>
      <c r="P33" s="93"/>
      <c r="Q33" s="93"/>
      <c r="R33" s="93"/>
      <c r="S33" s="93"/>
      <c r="T33" s="93"/>
      <c r="U33" s="93"/>
      <c r="V33" s="93"/>
      <c r="W33" s="93"/>
      <c r="X33" s="93"/>
      <c r="Y33" s="90"/>
      <c r="Z33" s="100"/>
      <c r="AA33" s="90"/>
      <c r="AB33" s="90"/>
      <c r="AC33" s="90"/>
      <c r="AD33" s="90"/>
      <c r="AE33" s="90"/>
      <c r="AF33" s="98"/>
      <c r="AG33" s="50"/>
      <c r="AH33" s="50"/>
      <c r="AI33" s="84"/>
      <c r="AJ33" s="50"/>
      <c r="AK33" s="50"/>
      <c r="AL33" s="105"/>
      <c r="AM33" s="50"/>
      <c r="AN33" s="50"/>
      <c r="AO33" s="95"/>
      <c r="AP33" s="93"/>
      <c r="AQ33" s="93"/>
      <c r="AR33" s="93"/>
      <c r="AS33" s="93"/>
      <c r="AT33" s="93"/>
      <c r="AU33" s="93"/>
      <c r="AV33" s="93"/>
      <c r="AW33" s="93"/>
      <c r="AX33" s="93"/>
      <c r="AY33" s="93"/>
      <c r="AZ33" s="93"/>
      <c r="BA33" s="93"/>
      <c r="BB33" s="93"/>
      <c r="BC33" s="93"/>
      <c r="BD33" s="93"/>
      <c r="BE33" s="93"/>
      <c r="BF33" s="93"/>
      <c r="BG33" s="93"/>
      <c r="BH33" s="90"/>
      <c r="BI33" s="100"/>
      <c r="BJ33" s="90"/>
      <c r="BK33" s="90"/>
      <c r="BL33" s="90"/>
      <c r="BM33" s="90"/>
      <c r="BN33" s="90"/>
      <c r="BO33" s="98"/>
      <c r="BP33" s="50"/>
      <c r="BQ33" s="50"/>
      <c r="BT33" s="95"/>
      <c r="BU33" s="93"/>
      <c r="BV33" s="93"/>
      <c r="BW33" s="93"/>
      <c r="BX33" s="93"/>
      <c r="BY33" s="93"/>
      <c r="BZ33" s="93"/>
      <c r="CA33" s="93"/>
      <c r="CB33" s="93"/>
      <c r="CC33" s="93"/>
      <c r="CD33" s="93"/>
      <c r="CE33" s="93"/>
      <c r="CF33" s="93"/>
      <c r="CG33" s="93"/>
      <c r="CH33" s="93"/>
      <c r="CI33" s="93"/>
      <c r="CJ33" s="93"/>
      <c r="CK33" s="93"/>
      <c r="CL33" s="93"/>
      <c r="CM33" s="90"/>
      <c r="CN33" s="100"/>
      <c r="CO33" s="90"/>
      <c r="CP33" s="90"/>
      <c r="CQ33" s="90"/>
      <c r="CR33" s="90"/>
      <c r="CS33" s="90"/>
      <c r="CT33" s="98"/>
      <c r="CU33" s="79"/>
      <c r="CV33" s="50"/>
      <c r="CW33" s="105"/>
      <c r="CX33" s="50"/>
      <c r="CY33" s="98"/>
      <c r="CZ33" s="91"/>
      <c r="DA33" s="91"/>
      <c r="DB33" s="91"/>
      <c r="DC33" s="91"/>
      <c r="DD33" s="91"/>
      <c r="DE33" s="91"/>
      <c r="DF33" s="91"/>
      <c r="DG33" s="91"/>
      <c r="DH33" s="91"/>
      <c r="DI33" s="91"/>
      <c r="DJ33" s="91"/>
      <c r="DK33" s="91"/>
      <c r="DL33" s="91"/>
      <c r="DM33" s="99"/>
      <c r="DN33" s="50"/>
      <c r="DO33" s="56"/>
      <c r="DP33" s="614" t="s">
        <v>574</v>
      </c>
      <c r="DQ33" s="615"/>
      <c r="DR33" s="615"/>
      <c r="DS33" s="615"/>
      <c r="DT33" s="615"/>
      <c r="DU33" s="615"/>
      <c r="DV33" s="615"/>
      <c r="DW33" s="615"/>
      <c r="DX33" s="615"/>
      <c r="DY33" s="615"/>
      <c r="DZ33" s="615"/>
      <c r="EA33" s="615"/>
      <c r="EB33" s="615"/>
      <c r="EC33" s="615"/>
      <c r="ED33" s="615"/>
      <c r="EE33" s="615"/>
      <c r="EF33" s="615"/>
      <c r="EG33" s="615"/>
      <c r="EH33" s="615"/>
      <c r="EI33" s="615"/>
      <c r="EJ33" s="615"/>
      <c r="EK33" s="615"/>
      <c r="EL33" s="615"/>
      <c r="EM33" s="615"/>
      <c r="EN33" s="615"/>
      <c r="EO33" s="616"/>
      <c r="EP33" s="592"/>
      <c r="EQ33" s="553"/>
      <c r="ER33" s="553"/>
      <c r="ES33" s="553"/>
      <c r="ET33" s="553"/>
      <c r="EU33" s="553"/>
      <c r="EV33" s="589"/>
      <c r="EW33" s="589"/>
      <c r="EX33" s="589"/>
      <c r="EY33" s="589"/>
      <c r="EZ33" s="60"/>
      <c r="FA33" s="50"/>
      <c r="FB33" s="51"/>
      <c r="FH33" s="482"/>
      <c r="FI33" s="483"/>
      <c r="FJ33" s="483"/>
      <c r="FK33" s="483"/>
      <c r="FL33" s="483"/>
      <c r="FM33" s="483"/>
      <c r="FN33" s="483"/>
      <c r="FO33" s="483"/>
      <c r="FP33" s="483"/>
      <c r="FQ33" s="483"/>
      <c r="FR33" s="483"/>
      <c r="FS33" s="483"/>
      <c r="FT33" s="483"/>
      <c r="FU33" s="483"/>
      <c r="FV33" s="483"/>
      <c r="FW33" s="483"/>
      <c r="FX33" s="483"/>
      <c r="FY33" s="483"/>
      <c r="FZ33" s="483"/>
      <c r="GA33" s="483"/>
      <c r="GB33" s="483"/>
      <c r="GC33" s="483"/>
      <c r="GD33" s="483"/>
      <c r="GE33" s="483"/>
      <c r="GF33" s="483"/>
      <c r="GG33" s="483"/>
      <c r="GH33" s="483"/>
      <c r="GI33" s="483"/>
      <c r="GJ33" s="483"/>
      <c r="GK33" s="483"/>
      <c r="GL33" s="483"/>
      <c r="GM33" s="483"/>
      <c r="GN33" s="483"/>
      <c r="GO33" s="483"/>
      <c r="GP33" s="483"/>
      <c r="GQ33" s="483"/>
      <c r="GR33" s="483"/>
      <c r="GS33" s="483"/>
      <c r="GT33" s="483"/>
      <c r="GU33" s="483"/>
      <c r="GV33" s="483"/>
      <c r="GW33" s="483"/>
      <c r="GX33" s="483"/>
      <c r="GY33" s="483"/>
      <c r="GZ33" s="483"/>
      <c r="HA33" s="483"/>
      <c r="HB33" s="483"/>
      <c r="HC33" s="483"/>
      <c r="HD33" s="483"/>
      <c r="HE33" s="485"/>
    </row>
    <row r="34" spans="1:213" ht="9" customHeight="1" thickTop="1" thickBot="1">
      <c r="A34" s="49"/>
      <c r="B34" s="84"/>
      <c r="C34" s="50"/>
      <c r="D34" s="80"/>
      <c r="E34" s="80"/>
      <c r="F34" s="92"/>
      <c r="G34" s="551" t="s">
        <v>580</v>
      </c>
      <c r="H34" s="551"/>
      <c r="I34" s="551"/>
      <c r="J34" s="551"/>
      <c r="K34" s="551"/>
      <c r="L34" s="551"/>
      <c r="M34" s="551"/>
      <c r="N34" s="551"/>
      <c r="O34" s="551"/>
      <c r="P34" s="551"/>
      <c r="Q34" s="551"/>
      <c r="R34" s="551"/>
      <c r="S34" s="551"/>
      <c r="T34" s="551"/>
      <c r="U34" s="551"/>
      <c r="V34" s="551"/>
      <c r="W34" s="551"/>
      <c r="X34" s="551"/>
      <c r="Y34" s="551"/>
      <c r="Z34" s="56"/>
      <c r="AA34" s="551">
        <f>IF(Abilities!S8="","",Abilities!S8)</f>
        <v>2</v>
      </c>
      <c r="AB34" s="551"/>
      <c r="AC34" s="551"/>
      <c r="AD34" s="551"/>
      <c r="AE34" s="551"/>
      <c r="AF34" s="97"/>
      <c r="AG34" s="50"/>
      <c r="AH34" s="50"/>
      <c r="AI34" s="84"/>
      <c r="AJ34" s="50"/>
      <c r="AK34" s="50"/>
      <c r="AL34" s="105"/>
      <c r="AM34" s="50"/>
      <c r="AN34" s="50"/>
      <c r="AO34" s="92"/>
      <c r="AP34" s="551" t="s">
        <v>588</v>
      </c>
      <c r="AQ34" s="551"/>
      <c r="AR34" s="551"/>
      <c r="AS34" s="551"/>
      <c r="AT34" s="551"/>
      <c r="AU34" s="551"/>
      <c r="AV34" s="551"/>
      <c r="AW34" s="551"/>
      <c r="AX34" s="551"/>
      <c r="AY34" s="551"/>
      <c r="AZ34" s="551"/>
      <c r="BA34" s="551"/>
      <c r="BB34" s="551"/>
      <c r="BC34" s="551"/>
      <c r="BD34" s="551"/>
      <c r="BE34" s="551"/>
      <c r="BF34" s="551"/>
      <c r="BG34" s="551"/>
      <c r="BH34" s="551"/>
      <c r="BI34" s="56"/>
      <c r="BJ34" s="551">
        <f>IF(Abilities!AR8="","",Abilities!AR8)</f>
        <v>8</v>
      </c>
      <c r="BK34" s="551"/>
      <c r="BL34" s="551"/>
      <c r="BM34" s="551"/>
      <c r="BN34" s="551"/>
      <c r="BO34" s="97"/>
      <c r="BP34" s="50"/>
      <c r="BQ34" s="50"/>
      <c r="BT34" s="92"/>
      <c r="BU34" s="551" t="s">
        <v>589</v>
      </c>
      <c r="BV34" s="551"/>
      <c r="BW34" s="551"/>
      <c r="BX34" s="551"/>
      <c r="BY34" s="551"/>
      <c r="BZ34" s="551"/>
      <c r="CA34" s="551"/>
      <c r="CB34" s="551"/>
      <c r="CC34" s="551"/>
      <c r="CD34" s="551"/>
      <c r="CE34" s="551"/>
      <c r="CF34" s="551"/>
      <c r="CG34" s="551"/>
      <c r="CH34" s="551"/>
      <c r="CI34" s="551"/>
      <c r="CJ34" s="551"/>
      <c r="CK34" s="551"/>
      <c r="CL34" s="551"/>
      <c r="CM34" s="551"/>
      <c r="CN34" s="56"/>
      <c r="CO34" s="551">
        <f>IF(Abilities!AR11="","",Abilities!AR11)</f>
        <v>10</v>
      </c>
      <c r="CP34" s="551"/>
      <c r="CQ34" s="551"/>
      <c r="CR34" s="551"/>
      <c r="CS34" s="551"/>
      <c r="CT34" s="97"/>
      <c r="CU34" s="79"/>
      <c r="CV34" s="50"/>
      <c r="CW34" s="105"/>
      <c r="CX34" s="50"/>
      <c r="CY34" s="50"/>
      <c r="CZ34" s="50"/>
      <c r="DA34" s="50"/>
      <c r="DB34" s="50"/>
      <c r="DC34" s="50"/>
      <c r="DD34" s="50"/>
      <c r="DE34" s="50"/>
      <c r="DF34" s="50"/>
      <c r="DG34" s="50"/>
      <c r="DH34" s="50"/>
      <c r="DI34" s="50"/>
      <c r="DJ34" s="50"/>
      <c r="DK34" s="50"/>
      <c r="DL34" s="50"/>
      <c r="DM34" s="50"/>
      <c r="DN34" s="50"/>
      <c r="DO34" s="56"/>
      <c r="DP34" s="617"/>
      <c r="DQ34" s="618"/>
      <c r="DR34" s="618"/>
      <c r="DS34" s="618"/>
      <c r="DT34" s="618"/>
      <c r="DU34" s="618"/>
      <c r="DV34" s="618"/>
      <c r="DW34" s="618"/>
      <c r="DX34" s="618"/>
      <c r="DY34" s="618"/>
      <c r="DZ34" s="618"/>
      <c r="EA34" s="618"/>
      <c r="EB34" s="618"/>
      <c r="EC34" s="618"/>
      <c r="ED34" s="618"/>
      <c r="EE34" s="618"/>
      <c r="EF34" s="618"/>
      <c r="EG34" s="618"/>
      <c r="EH34" s="618"/>
      <c r="EI34" s="618"/>
      <c r="EJ34" s="618"/>
      <c r="EK34" s="618"/>
      <c r="EL34" s="618"/>
      <c r="EM34" s="618"/>
      <c r="EN34" s="618"/>
      <c r="EO34" s="619"/>
      <c r="EP34" s="592"/>
      <c r="EQ34" s="553"/>
      <c r="ER34" s="553"/>
      <c r="ES34" s="553"/>
      <c r="ET34" s="553"/>
      <c r="EU34" s="553"/>
      <c r="EV34" s="589"/>
      <c r="EW34" s="589"/>
      <c r="EX34" s="589"/>
      <c r="EY34" s="589"/>
      <c r="EZ34" s="60"/>
      <c r="FA34" s="50"/>
      <c r="FB34" s="51"/>
      <c r="FH34" s="482"/>
      <c r="FI34" s="483"/>
      <c r="FJ34" s="483"/>
      <c r="FK34" s="483"/>
      <c r="FL34" s="483"/>
      <c r="FM34" s="483"/>
      <c r="FN34" s="483"/>
      <c r="FO34" s="483"/>
      <c r="FP34" s="483"/>
      <c r="FQ34" s="483"/>
      <c r="FR34" s="483"/>
      <c r="FS34" s="483"/>
      <c r="FT34" s="483"/>
      <c r="FU34" s="483"/>
      <c r="FV34" s="483"/>
      <c r="FW34" s="483"/>
      <c r="FX34" s="483"/>
      <c r="FY34" s="483"/>
      <c r="FZ34" s="483"/>
      <c r="GA34" s="483"/>
      <c r="GB34" s="483"/>
      <c r="GC34" s="483"/>
      <c r="GD34" s="483"/>
      <c r="GE34" s="483"/>
      <c r="GF34" s="483"/>
      <c r="GG34" s="483"/>
      <c r="GH34" s="483"/>
      <c r="GI34" s="483"/>
      <c r="GJ34" s="483"/>
      <c r="GK34" s="483"/>
      <c r="GL34" s="483"/>
      <c r="GM34" s="483"/>
      <c r="GN34" s="483"/>
      <c r="GO34" s="483"/>
      <c r="GP34" s="483"/>
      <c r="GQ34" s="483"/>
      <c r="GR34" s="483"/>
      <c r="GS34" s="483"/>
      <c r="GT34" s="483"/>
      <c r="GU34" s="483"/>
      <c r="GV34" s="483"/>
      <c r="GW34" s="483"/>
      <c r="GX34" s="483"/>
      <c r="GY34" s="483"/>
      <c r="GZ34" s="483"/>
      <c r="HA34" s="483"/>
      <c r="HB34" s="483"/>
      <c r="HC34" s="483"/>
      <c r="HD34" s="483"/>
      <c r="HE34" s="485"/>
    </row>
    <row r="35" spans="1:213" ht="9" customHeight="1" thickTop="1">
      <c r="A35" s="49"/>
      <c r="B35" s="84"/>
      <c r="C35" s="50"/>
      <c r="D35" s="80"/>
      <c r="E35" s="80"/>
      <c r="F35" s="92"/>
      <c r="G35" s="551"/>
      <c r="H35" s="551"/>
      <c r="I35" s="551"/>
      <c r="J35" s="551"/>
      <c r="K35" s="551"/>
      <c r="L35" s="551"/>
      <c r="M35" s="551"/>
      <c r="N35" s="551"/>
      <c r="O35" s="551"/>
      <c r="P35" s="551"/>
      <c r="Q35" s="551"/>
      <c r="R35" s="551"/>
      <c r="S35" s="551"/>
      <c r="T35" s="551"/>
      <c r="U35" s="551"/>
      <c r="V35" s="551"/>
      <c r="W35" s="551"/>
      <c r="X35" s="551"/>
      <c r="Y35" s="551"/>
      <c r="Z35" s="56"/>
      <c r="AA35" s="551"/>
      <c r="AB35" s="551"/>
      <c r="AC35" s="551"/>
      <c r="AD35" s="551"/>
      <c r="AE35" s="551"/>
      <c r="AF35" s="97"/>
      <c r="AG35" s="50"/>
      <c r="AH35" s="50"/>
      <c r="AI35" s="84"/>
      <c r="AJ35" s="50"/>
      <c r="AK35" s="50"/>
      <c r="AL35" s="105"/>
      <c r="AM35" s="50"/>
      <c r="AN35" s="50"/>
      <c r="AO35" s="92"/>
      <c r="AP35" s="551"/>
      <c r="AQ35" s="551"/>
      <c r="AR35" s="551"/>
      <c r="AS35" s="551"/>
      <c r="AT35" s="551"/>
      <c r="AU35" s="551"/>
      <c r="AV35" s="551"/>
      <c r="AW35" s="551"/>
      <c r="AX35" s="551"/>
      <c r="AY35" s="551"/>
      <c r="AZ35" s="551"/>
      <c r="BA35" s="551"/>
      <c r="BB35" s="551"/>
      <c r="BC35" s="551"/>
      <c r="BD35" s="551"/>
      <c r="BE35" s="551"/>
      <c r="BF35" s="551"/>
      <c r="BG35" s="551"/>
      <c r="BH35" s="551"/>
      <c r="BI35" s="56"/>
      <c r="BJ35" s="551"/>
      <c r="BK35" s="551"/>
      <c r="BL35" s="551"/>
      <c r="BM35" s="551"/>
      <c r="BN35" s="551"/>
      <c r="BO35" s="97"/>
      <c r="BP35" s="50"/>
      <c r="BQ35" s="50"/>
      <c r="BT35" s="92"/>
      <c r="BU35" s="551"/>
      <c r="BV35" s="551"/>
      <c r="BW35" s="551"/>
      <c r="BX35" s="551"/>
      <c r="BY35" s="551"/>
      <c r="BZ35" s="551"/>
      <c r="CA35" s="551"/>
      <c r="CB35" s="551"/>
      <c r="CC35" s="551"/>
      <c r="CD35" s="551"/>
      <c r="CE35" s="551"/>
      <c r="CF35" s="551"/>
      <c r="CG35" s="551"/>
      <c r="CH35" s="551"/>
      <c r="CI35" s="551"/>
      <c r="CJ35" s="551"/>
      <c r="CK35" s="551"/>
      <c r="CL35" s="551"/>
      <c r="CM35" s="551"/>
      <c r="CN35" s="56"/>
      <c r="CO35" s="551"/>
      <c r="CP35" s="551"/>
      <c r="CQ35" s="551"/>
      <c r="CR35" s="551"/>
      <c r="CS35" s="551"/>
      <c r="CT35" s="97"/>
      <c r="CU35" s="79"/>
      <c r="CV35" s="50"/>
      <c r="CW35" s="105"/>
      <c r="CX35" s="50"/>
      <c r="CY35" s="82"/>
      <c r="CZ35" s="58"/>
      <c r="DA35" s="58"/>
      <c r="DB35" s="58"/>
      <c r="DC35" s="59"/>
      <c r="DD35" s="50"/>
      <c r="DE35" s="105"/>
      <c r="DF35" s="105"/>
      <c r="DG35" s="105"/>
      <c r="DH35" s="105"/>
      <c r="DI35" s="105"/>
      <c r="DJ35" s="105"/>
      <c r="DK35" s="105"/>
      <c r="DL35" s="105"/>
      <c r="DM35" s="105"/>
      <c r="DN35" s="50"/>
      <c r="DO35" s="56"/>
      <c r="DP35" s="617"/>
      <c r="DQ35" s="618"/>
      <c r="DR35" s="618"/>
      <c r="DS35" s="618"/>
      <c r="DT35" s="618"/>
      <c r="DU35" s="618"/>
      <c r="DV35" s="618"/>
      <c r="DW35" s="618"/>
      <c r="DX35" s="618"/>
      <c r="DY35" s="618"/>
      <c r="DZ35" s="618"/>
      <c r="EA35" s="618"/>
      <c r="EB35" s="618"/>
      <c r="EC35" s="618"/>
      <c r="ED35" s="618"/>
      <c r="EE35" s="618"/>
      <c r="EF35" s="618"/>
      <c r="EG35" s="618"/>
      <c r="EH35" s="618"/>
      <c r="EI35" s="618"/>
      <c r="EJ35" s="618"/>
      <c r="EK35" s="618"/>
      <c r="EL35" s="618"/>
      <c r="EM35" s="618"/>
      <c r="EN35" s="618"/>
      <c r="EO35" s="619"/>
      <c r="EP35" s="592"/>
      <c r="EQ35" s="553"/>
      <c r="ER35" s="553"/>
      <c r="ES35" s="553"/>
      <c r="ET35" s="553"/>
      <c r="EU35" s="553"/>
      <c r="EV35" s="589"/>
      <c r="EW35" s="589"/>
      <c r="EX35" s="589"/>
      <c r="EY35" s="589"/>
      <c r="EZ35" s="60"/>
      <c r="FA35" s="50"/>
      <c r="FB35" s="51"/>
      <c r="FH35" s="482"/>
      <c r="FI35" s="483"/>
      <c r="FJ35" s="483"/>
      <c r="FK35" s="483"/>
      <c r="FL35" s="483"/>
      <c r="FM35" s="483"/>
      <c r="FN35" s="483"/>
      <c r="FO35" s="483"/>
      <c r="FP35" s="483"/>
      <c r="FQ35" s="483"/>
      <c r="FR35" s="483"/>
      <c r="FS35" s="483"/>
      <c r="FT35" s="483"/>
      <c r="FU35" s="483"/>
      <c r="FV35" s="483"/>
      <c r="FW35" s="483"/>
      <c r="FX35" s="483"/>
      <c r="FY35" s="483"/>
      <c r="FZ35" s="483"/>
      <c r="GA35" s="483"/>
      <c r="GB35" s="483"/>
      <c r="GC35" s="483"/>
      <c r="GD35" s="483"/>
      <c r="GE35" s="483"/>
      <c r="GF35" s="483"/>
      <c r="GG35" s="483"/>
      <c r="GH35" s="483"/>
      <c r="GI35" s="483"/>
      <c r="GJ35" s="483"/>
      <c r="GK35" s="483"/>
      <c r="GL35" s="483"/>
      <c r="GM35" s="483"/>
      <c r="GN35" s="483"/>
      <c r="GO35" s="483"/>
      <c r="GP35" s="483"/>
      <c r="GQ35" s="483"/>
      <c r="GR35" s="483"/>
      <c r="GS35" s="483"/>
      <c r="GT35" s="483"/>
      <c r="GU35" s="483"/>
      <c r="GV35" s="483"/>
      <c r="GW35" s="483"/>
      <c r="GX35" s="483"/>
      <c r="GY35" s="483"/>
      <c r="GZ35" s="483"/>
      <c r="HA35" s="483"/>
      <c r="HB35" s="483"/>
      <c r="HC35" s="483"/>
      <c r="HD35" s="483"/>
      <c r="HE35" s="485"/>
    </row>
    <row r="36" spans="1:213" ht="9" customHeight="1" thickBot="1">
      <c r="A36" s="49"/>
      <c r="B36" s="84"/>
      <c r="C36" s="50"/>
      <c r="D36" s="80"/>
      <c r="E36" s="80"/>
      <c r="F36" s="92"/>
      <c r="G36" s="551"/>
      <c r="H36" s="551"/>
      <c r="I36" s="551"/>
      <c r="J36" s="551"/>
      <c r="K36" s="551"/>
      <c r="L36" s="551"/>
      <c r="M36" s="551"/>
      <c r="N36" s="551"/>
      <c r="O36" s="551"/>
      <c r="P36" s="551"/>
      <c r="Q36" s="551"/>
      <c r="R36" s="551"/>
      <c r="S36" s="551"/>
      <c r="T36" s="551"/>
      <c r="U36" s="551"/>
      <c r="V36" s="551"/>
      <c r="W36" s="551"/>
      <c r="X36" s="551"/>
      <c r="Y36" s="551"/>
      <c r="Z36" s="56"/>
      <c r="AA36" s="551"/>
      <c r="AB36" s="551"/>
      <c r="AC36" s="551"/>
      <c r="AD36" s="551"/>
      <c r="AE36" s="551"/>
      <c r="AF36" s="97"/>
      <c r="AG36" s="50"/>
      <c r="AH36" s="50"/>
      <c r="AI36" s="84"/>
      <c r="AJ36" s="50"/>
      <c r="AK36" s="50"/>
      <c r="AL36" s="105"/>
      <c r="AM36" s="50"/>
      <c r="AN36" s="50"/>
      <c r="AO36" s="92"/>
      <c r="AP36" s="551"/>
      <c r="AQ36" s="551"/>
      <c r="AR36" s="551"/>
      <c r="AS36" s="551"/>
      <c r="AT36" s="551"/>
      <c r="AU36" s="551"/>
      <c r="AV36" s="551"/>
      <c r="AW36" s="551"/>
      <c r="AX36" s="551"/>
      <c r="AY36" s="551"/>
      <c r="AZ36" s="551"/>
      <c r="BA36" s="551"/>
      <c r="BB36" s="551"/>
      <c r="BC36" s="551"/>
      <c r="BD36" s="551"/>
      <c r="BE36" s="551"/>
      <c r="BF36" s="551"/>
      <c r="BG36" s="551"/>
      <c r="BH36" s="551"/>
      <c r="BI36" s="56"/>
      <c r="BJ36" s="551"/>
      <c r="BK36" s="551"/>
      <c r="BL36" s="551"/>
      <c r="BM36" s="551"/>
      <c r="BN36" s="551"/>
      <c r="BO36" s="97"/>
      <c r="BP36" s="50"/>
      <c r="BQ36" s="50"/>
      <c r="BT36" s="92"/>
      <c r="BU36" s="551"/>
      <c r="BV36" s="551"/>
      <c r="BW36" s="551"/>
      <c r="BX36" s="551"/>
      <c r="BY36" s="551"/>
      <c r="BZ36" s="551"/>
      <c r="CA36" s="551"/>
      <c r="CB36" s="551"/>
      <c r="CC36" s="551"/>
      <c r="CD36" s="551"/>
      <c r="CE36" s="551"/>
      <c r="CF36" s="551"/>
      <c r="CG36" s="551"/>
      <c r="CH36" s="551"/>
      <c r="CI36" s="551"/>
      <c r="CJ36" s="551"/>
      <c r="CK36" s="551"/>
      <c r="CL36" s="551"/>
      <c r="CM36" s="551"/>
      <c r="CN36" s="56"/>
      <c r="CO36" s="551"/>
      <c r="CP36" s="551"/>
      <c r="CQ36" s="551"/>
      <c r="CR36" s="551"/>
      <c r="CS36" s="551"/>
      <c r="CT36" s="97"/>
      <c r="CU36" s="79"/>
      <c r="CV36" s="50"/>
      <c r="CW36" s="105"/>
      <c r="CX36" s="50"/>
      <c r="CY36" s="57"/>
      <c r="CZ36" s="50"/>
      <c r="DA36" s="50"/>
      <c r="DB36" s="50"/>
      <c r="DC36" s="60"/>
      <c r="DD36" s="50"/>
      <c r="DE36" s="50"/>
      <c r="DF36" s="50"/>
      <c r="DG36" s="50"/>
      <c r="DH36" s="50"/>
      <c r="DI36" s="50"/>
      <c r="DJ36" s="50"/>
      <c r="DK36" s="50"/>
      <c r="DL36" s="50"/>
      <c r="DM36" s="50"/>
      <c r="DN36" s="50"/>
      <c r="DO36" s="56"/>
      <c r="DP36" s="620"/>
      <c r="DQ36" s="621"/>
      <c r="DR36" s="621"/>
      <c r="DS36" s="621"/>
      <c r="DT36" s="621"/>
      <c r="DU36" s="621"/>
      <c r="DV36" s="621"/>
      <c r="DW36" s="621"/>
      <c r="DX36" s="621"/>
      <c r="DY36" s="621"/>
      <c r="DZ36" s="621"/>
      <c r="EA36" s="621"/>
      <c r="EB36" s="621"/>
      <c r="EC36" s="621"/>
      <c r="ED36" s="621"/>
      <c r="EE36" s="621"/>
      <c r="EF36" s="621"/>
      <c r="EG36" s="621"/>
      <c r="EH36" s="621"/>
      <c r="EI36" s="621"/>
      <c r="EJ36" s="621"/>
      <c r="EK36" s="621"/>
      <c r="EL36" s="621"/>
      <c r="EM36" s="621"/>
      <c r="EN36" s="621"/>
      <c r="EO36" s="622"/>
      <c r="EP36" s="592"/>
      <c r="EQ36" s="553"/>
      <c r="ER36" s="553"/>
      <c r="ES36" s="553"/>
      <c r="ET36" s="553"/>
      <c r="EU36" s="553"/>
      <c r="EV36" s="589"/>
      <c r="EW36" s="589"/>
      <c r="EX36" s="589"/>
      <c r="EY36" s="589"/>
      <c r="EZ36" s="60"/>
      <c r="FA36" s="50"/>
      <c r="FB36" s="51"/>
      <c r="FH36" s="482"/>
      <c r="FI36" s="483"/>
      <c r="FJ36" s="483"/>
      <c r="FK36" s="483"/>
      <c r="FL36" s="483"/>
      <c r="FM36" s="483"/>
      <c r="FN36" s="483"/>
      <c r="FO36" s="483"/>
      <c r="FP36" s="483"/>
      <c r="FQ36" s="483"/>
      <c r="FR36" s="483"/>
      <c r="FS36" s="483"/>
      <c r="FT36" s="483"/>
      <c r="FU36" s="483"/>
      <c r="FV36" s="483"/>
      <c r="FW36" s="483"/>
      <c r="FX36" s="483"/>
      <c r="FY36" s="483"/>
      <c r="FZ36" s="483"/>
      <c r="GA36" s="483"/>
      <c r="GB36" s="483"/>
      <c r="GC36" s="483"/>
      <c r="GD36" s="483"/>
      <c r="GE36" s="483"/>
      <c r="GF36" s="483"/>
      <c r="GG36" s="483"/>
      <c r="GH36" s="483"/>
      <c r="GI36" s="483"/>
      <c r="GJ36" s="483"/>
      <c r="GK36" s="483"/>
      <c r="GL36" s="483"/>
      <c r="GM36" s="483"/>
      <c r="GN36" s="483"/>
      <c r="GO36" s="483"/>
      <c r="GP36" s="483"/>
      <c r="GQ36" s="483"/>
      <c r="GR36" s="483"/>
      <c r="GS36" s="483"/>
      <c r="GT36" s="483"/>
      <c r="GU36" s="483"/>
      <c r="GV36" s="483"/>
      <c r="GW36" s="483"/>
      <c r="GX36" s="483"/>
      <c r="GY36" s="483"/>
      <c r="GZ36" s="483"/>
      <c r="HA36" s="483"/>
      <c r="HB36" s="483"/>
      <c r="HC36" s="483"/>
      <c r="HD36" s="483"/>
      <c r="HE36" s="485"/>
    </row>
    <row r="37" spans="1:213" ht="9" customHeight="1" thickTop="1" thickBot="1">
      <c r="A37" s="49"/>
      <c r="B37" s="84"/>
      <c r="C37" s="50"/>
      <c r="D37" s="80"/>
      <c r="E37" s="80"/>
      <c r="F37" s="96"/>
      <c r="G37" s="94"/>
      <c r="H37" s="94"/>
      <c r="I37" s="94"/>
      <c r="J37" s="94"/>
      <c r="K37" s="94"/>
      <c r="L37" s="94"/>
      <c r="M37" s="94"/>
      <c r="N37" s="94"/>
      <c r="O37" s="94"/>
      <c r="P37" s="94"/>
      <c r="Q37" s="94"/>
      <c r="R37" s="94"/>
      <c r="S37" s="94"/>
      <c r="T37" s="94"/>
      <c r="U37" s="94"/>
      <c r="V37" s="94"/>
      <c r="W37" s="94"/>
      <c r="X37" s="94"/>
      <c r="Y37" s="91"/>
      <c r="Z37" s="101"/>
      <c r="AA37" s="91"/>
      <c r="AB37" s="91"/>
      <c r="AC37" s="91"/>
      <c r="AD37" s="91"/>
      <c r="AE37" s="91"/>
      <c r="AF37" s="99"/>
      <c r="AG37" s="50"/>
      <c r="AH37" s="50"/>
      <c r="AI37" s="84"/>
      <c r="AJ37" s="50"/>
      <c r="AK37" s="50"/>
      <c r="AL37" s="105"/>
      <c r="AM37" s="50"/>
      <c r="AN37" s="50"/>
      <c r="AO37" s="96"/>
      <c r="AP37" s="94"/>
      <c r="AQ37" s="94"/>
      <c r="AR37" s="94"/>
      <c r="AS37" s="94"/>
      <c r="AT37" s="94"/>
      <c r="AU37" s="94"/>
      <c r="AV37" s="94"/>
      <c r="AW37" s="94"/>
      <c r="AX37" s="94"/>
      <c r="AY37" s="94"/>
      <c r="AZ37" s="94"/>
      <c r="BA37" s="94"/>
      <c r="BB37" s="94"/>
      <c r="BC37" s="94"/>
      <c r="BD37" s="94"/>
      <c r="BE37" s="94"/>
      <c r="BF37" s="94"/>
      <c r="BG37" s="94"/>
      <c r="BH37" s="91"/>
      <c r="BI37" s="101"/>
      <c r="BJ37" s="91"/>
      <c r="BK37" s="91"/>
      <c r="BL37" s="91"/>
      <c r="BM37" s="91"/>
      <c r="BN37" s="91"/>
      <c r="BO37" s="99"/>
      <c r="BP37" s="50"/>
      <c r="BQ37" s="50"/>
      <c r="BT37" s="96"/>
      <c r="BU37" s="94"/>
      <c r="BV37" s="94"/>
      <c r="BW37" s="94"/>
      <c r="BX37" s="94"/>
      <c r="BY37" s="94"/>
      <c r="BZ37" s="94"/>
      <c r="CA37" s="94"/>
      <c r="CB37" s="94"/>
      <c r="CC37" s="94"/>
      <c r="CD37" s="94"/>
      <c r="CE37" s="94"/>
      <c r="CF37" s="94"/>
      <c r="CG37" s="94"/>
      <c r="CH37" s="94"/>
      <c r="CI37" s="94"/>
      <c r="CJ37" s="94"/>
      <c r="CK37" s="94"/>
      <c r="CL37" s="94"/>
      <c r="CM37" s="91"/>
      <c r="CN37" s="101"/>
      <c r="CO37" s="91"/>
      <c r="CP37" s="91"/>
      <c r="CQ37" s="91"/>
      <c r="CR37" s="91"/>
      <c r="CS37" s="91"/>
      <c r="CT37" s="99"/>
      <c r="CU37" s="79"/>
      <c r="CV37" s="50"/>
      <c r="CW37" s="105"/>
      <c r="CX37" s="50"/>
      <c r="CY37" s="112"/>
      <c r="CZ37" s="57"/>
      <c r="DA37" s="50"/>
      <c r="DB37" s="50"/>
      <c r="DC37" s="60"/>
      <c r="DD37" s="50"/>
      <c r="DE37" s="84"/>
      <c r="DF37" s="84"/>
      <c r="DG37" s="84"/>
      <c r="DH37" s="84"/>
      <c r="DI37" s="84"/>
      <c r="DJ37" s="84"/>
      <c r="DK37" s="84"/>
      <c r="DL37" s="84"/>
      <c r="DM37" s="84"/>
      <c r="DN37" s="50"/>
      <c r="DO37" s="56"/>
      <c r="DP37" s="50"/>
      <c r="DQ37" s="89"/>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93"/>
      <c r="EQ37" s="594"/>
      <c r="ER37" s="594"/>
      <c r="ES37" s="594"/>
      <c r="ET37" s="594"/>
      <c r="EU37" s="594"/>
      <c r="EV37" s="589"/>
      <c r="EW37" s="589"/>
      <c r="EX37" s="589"/>
      <c r="EY37" s="589"/>
      <c r="EZ37" s="60"/>
      <c r="FA37" s="50"/>
      <c r="FB37" s="51"/>
      <c r="FH37" s="482"/>
      <c r="FI37" s="483"/>
      <c r="FJ37" s="483"/>
      <c r="FK37" s="483"/>
      <c r="FL37" s="483"/>
      <c r="FM37" s="483"/>
      <c r="FN37" s="483"/>
      <c r="FO37" s="483"/>
      <c r="FP37" s="483"/>
      <c r="FQ37" s="483"/>
      <c r="FR37" s="483"/>
      <c r="FS37" s="483"/>
      <c r="FT37" s="483"/>
      <c r="FU37" s="483"/>
      <c r="FV37" s="483"/>
      <c r="FW37" s="483"/>
      <c r="FX37" s="483"/>
      <c r="FY37" s="483"/>
      <c r="FZ37" s="483"/>
      <c r="GA37" s="483"/>
      <c r="GB37" s="483"/>
      <c r="GC37" s="483"/>
      <c r="GD37" s="483"/>
      <c r="GE37" s="483"/>
      <c r="GF37" s="483"/>
      <c r="GG37" s="483"/>
      <c r="GH37" s="483"/>
      <c r="GI37" s="483"/>
      <c r="GJ37" s="483"/>
      <c r="GK37" s="483"/>
      <c r="GL37" s="483"/>
      <c r="GM37" s="483"/>
      <c r="GN37" s="483"/>
      <c r="GO37" s="483"/>
      <c r="GP37" s="483"/>
      <c r="GQ37" s="483"/>
      <c r="GR37" s="483"/>
      <c r="GS37" s="483"/>
      <c r="GT37" s="483"/>
      <c r="GU37" s="483"/>
      <c r="GV37" s="483"/>
      <c r="GW37" s="483"/>
      <c r="GX37" s="483"/>
      <c r="GY37" s="483"/>
      <c r="GZ37" s="483"/>
      <c r="HA37" s="483"/>
      <c r="HB37" s="483"/>
      <c r="HC37" s="483"/>
      <c r="HD37" s="483"/>
      <c r="HE37" s="485"/>
    </row>
    <row r="38" spans="1:213" ht="9" customHeight="1" thickTop="1" thickBot="1">
      <c r="A38" s="49"/>
      <c r="B38" s="84"/>
      <c r="C38" s="50"/>
      <c r="D38" s="80"/>
      <c r="E38" s="80"/>
      <c r="F38" s="80"/>
      <c r="G38" s="80"/>
      <c r="H38" s="50"/>
      <c r="I38" s="81"/>
      <c r="J38" s="81"/>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84"/>
      <c r="AJ38" s="50"/>
      <c r="AK38" s="50"/>
      <c r="AL38" s="105"/>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105"/>
      <c r="CX38" s="50"/>
      <c r="CY38" s="56"/>
      <c r="CZ38" s="57"/>
      <c r="DA38" s="57"/>
      <c r="DB38" s="50"/>
      <c r="DC38" s="60"/>
      <c r="DD38" s="50"/>
      <c r="DE38" s="50"/>
      <c r="DF38" s="50"/>
      <c r="DG38" s="50"/>
      <c r="DH38" s="50"/>
      <c r="DI38" s="50"/>
      <c r="DJ38" s="50"/>
      <c r="DK38" s="50"/>
      <c r="DL38" s="50"/>
      <c r="DM38" s="50"/>
      <c r="DN38" s="50"/>
      <c r="DO38" s="56"/>
      <c r="DP38" s="50"/>
      <c r="DQ38" s="89"/>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60"/>
      <c r="FA38" s="50"/>
      <c r="FB38" s="51"/>
      <c r="FH38" s="482"/>
      <c r="FI38" s="483"/>
      <c r="FJ38" s="483"/>
      <c r="FK38" s="483"/>
      <c r="FL38" s="483"/>
      <c r="FM38" s="483"/>
      <c r="FN38" s="483"/>
      <c r="FO38" s="483"/>
      <c r="FP38" s="483"/>
      <c r="FQ38" s="483"/>
      <c r="FR38" s="483"/>
      <c r="FS38" s="483"/>
      <c r="FT38" s="483"/>
      <c r="FU38" s="483"/>
      <c r="FV38" s="483"/>
      <c r="FW38" s="483"/>
      <c r="FX38" s="483"/>
      <c r="FY38" s="483"/>
      <c r="FZ38" s="483"/>
      <c r="GA38" s="483"/>
      <c r="GB38" s="483"/>
      <c r="GC38" s="483"/>
      <c r="GD38" s="483"/>
      <c r="GE38" s="483"/>
      <c r="GF38" s="483"/>
      <c r="GG38" s="483"/>
      <c r="GH38" s="483"/>
      <c r="GI38" s="483"/>
      <c r="GJ38" s="483"/>
      <c r="GK38" s="483"/>
      <c r="GL38" s="483"/>
      <c r="GM38" s="483"/>
      <c r="GN38" s="483"/>
      <c r="GO38" s="483"/>
      <c r="GP38" s="483"/>
      <c r="GQ38" s="483"/>
      <c r="GR38" s="483"/>
      <c r="GS38" s="483"/>
      <c r="GT38" s="483"/>
      <c r="GU38" s="483"/>
      <c r="GV38" s="483"/>
      <c r="GW38" s="483"/>
      <c r="GX38" s="483"/>
      <c r="GY38" s="483"/>
      <c r="GZ38" s="483"/>
      <c r="HA38" s="483"/>
      <c r="HB38" s="483"/>
      <c r="HC38" s="483"/>
      <c r="HD38" s="483"/>
      <c r="HE38" s="485"/>
    </row>
    <row r="39" spans="1:213" ht="9" customHeight="1" thickTop="1" thickBot="1">
      <c r="A39" s="49"/>
      <c r="B39" s="84"/>
      <c r="C39" s="50"/>
      <c r="D39" s="80"/>
      <c r="E39" s="80"/>
      <c r="F39" s="80"/>
      <c r="G39" s="80"/>
      <c r="H39" s="50"/>
      <c r="I39" s="81"/>
      <c r="J39" s="81"/>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84"/>
      <c r="AJ39" s="50"/>
      <c r="AK39" s="50"/>
      <c r="AL39" s="105"/>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105"/>
      <c r="CX39" s="50"/>
      <c r="CY39" s="56"/>
      <c r="CZ39" s="50"/>
      <c r="DA39" s="57"/>
      <c r="DB39" s="57"/>
      <c r="DC39" s="60"/>
      <c r="DD39" s="50"/>
      <c r="DE39" s="89"/>
      <c r="DF39" s="89"/>
      <c r="DG39" s="89"/>
      <c r="DH39" s="89"/>
      <c r="DI39" s="89"/>
      <c r="DJ39" s="89"/>
      <c r="DK39" s="89"/>
      <c r="DL39" s="89"/>
      <c r="DM39" s="89"/>
      <c r="DN39" s="50"/>
      <c r="DO39" s="56"/>
      <c r="DP39" s="50"/>
      <c r="DQ39" s="89"/>
      <c r="DR39" s="50"/>
      <c r="DS39" s="50"/>
      <c r="DT39" s="50"/>
      <c r="DU39" s="50"/>
      <c r="DV39" s="50"/>
      <c r="DW39" s="50"/>
      <c r="DX39" s="50"/>
      <c r="DY39" s="50"/>
      <c r="DZ39" s="50"/>
      <c r="EA39" s="50"/>
      <c r="EB39" s="50"/>
      <c r="EC39" s="50"/>
      <c r="ED39" s="50"/>
      <c r="EE39" s="50"/>
      <c r="EF39" s="50"/>
      <c r="EG39" s="50"/>
      <c r="EH39" s="50"/>
      <c r="EI39" s="50"/>
      <c r="EJ39" s="50"/>
      <c r="EK39" s="50"/>
      <c r="EL39" s="50"/>
      <c r="EM39" s="50"/>
      <c r="EN39" s="50"/>
      <c r="EO39" s="50"/>
      <c r="EP39" s="590">
        <f>Adv!BE9</f>
        <v>18</v>
      </c>
      <c r="EQ39" s="591"/>
      <c r="ER39" s="591"/>
      <c r="ES39" s="591"/>
      <c r="ET39" s="591"/>
      <c r="EU39" s="591"/>
      <c r="EV39" s="588"/>
      <c r="EW39" s="588"/>
      <c r="EX39" s="588"/>
      <c r="EY39" s="588"/>
      <c r="EZ39" s="60"/>
      <c r="FA39" s="50"/>
      <c r="FB39" s="51"/>
      <c r="FH39" s="482"/>
      <c r="FI39" s="483"/>
      <c r="FJ39" s="483"/>
      <c r="FK39" s="483"/>
      <c r="FL39" s="483"/>
      <c r="FM39" s="483"/>
      <c r="FN39" s="483"/>
      <c r="FO39" s="483"/>
      <c r="FP39" s="483"/>
      <c r="FQ39" s="483"/>
      <c r="FR39" s="483"/>
      <c r="FS39" s="483"/>
      <c r="FT39" s="483"/>
      <c r="FU39" s="483"/>
      <c r="FV39" s="483"/>
      <c r="FW39" s="483"/>
      <c r="FX39" s="483"/>
      <c r="FY39" s="483"/>
      <c r="FZ39" s="483"/>
      <c r="GA39" s="483"/>
      <c r="GB39" s="483"/>
      <c r="GC39" s="483"/>
      <c r="GD39" s="483"/>
      <c r="GE39" s="483"/>
      <c r="GF39" s="483"/>
      <c r="GG39" s="483"/>
      <c r="GH39" s="483"/>
      <c r="GI39" s="483"/>
      <c r="GJ39" s="483"/>
      <c r="GK39" s="483"/>
      <c r="GL39" s="483"/>
      <c r="GM39" s="483"/>
      <c r="GN39" s="483"/>
      <c r="GO39" s="483"/>
      <c r="GP39" s="483"/>
      <c r="GQ39" s="483"/>
      <c r="GR39" s="483"/>
      <c r="GS39" s="483"/>
      <c r="GT39" s="483"/>
      <c r="GU39" s="483"/>
      <c r="GV39" s="483"/>
      <c r="GW39" s="483"/>
      <c r="GX39" s="483"/>
      <c r="GY39" s="483"/>
      <c r="GZ39" s="483"/>
      <c r="HA39" s="483"/>
      <c r="HB39" s="483"/>
      <c r="HC39" s="483"/>
      <c r="HD39" s="483"/>
      <c r="HE39" s="485"/>
    </row>
    <row r="40" spans="1:213" ht="9" customHeight="1" thickTop="1">
      <c r="A40" s="49"/>
      <c r="B40" s="84"/>
      <c r="C40" s="50"/>
      <c r="D40" s="80"/>
      <c r="E40" s="80"/>
      <c r="F40" s="95"/>
      <c r="G40" s="93"/>
      <c r="H40" s="93"/>
      <c r="I40" s="93"/>
      <c r="J40" s="93"/>
      <c r="K40" s="93"/>
      <c r="L40" s="93"/>
      <c r="M40" s="93"/>
      <c r="N40" s="93"/>
      <c r="O40" s="93"/>
      <c r="P40" s="93"/>
      <c r="Q40" s="93"/>
      <c r="R40" s="93"/>
      <c r="S40" s="93"/>
      <c r="T40" s="93"/>
      <c r="U40" s="93"/>
      <c r="V40" s="93"/>
      <c r="W40" s="93"/>
      <c r="X40" s="93"/>
      <c r="Y40" s="90"/>
      <c r="Z40" s="100"/>
      <c r="AA40" s="90"/>
      <c r="AB40" s="90"/>
      <c r="AC40" s="90"/>
      <c r="AD40" s="90"/>
      <c r="AE40" s="90"/>
      <c r="AF40" s="98"/>
      <c r="AG40" s="50"/>
      <c r="AH40" s="50"/>
      <c r="AI40" s="84"/>
      <c r="AJ40" s="50"/>
      <c r="AK40" s="50"/>
      <c r="AL40" s="105"/>
      <c r="AM40" s="50"/>
      <c r="AN40" s="50"/>
      <c r="AO40" s="95"/>
      <c r="AP40" s="93"/>
      <c r="AQ40" s="93"/>
      <c r="AR40" s="93"/>
      <c r="AS40" s="93"/>
      <c r="AT40" s="93"/>
      <c r="AU40" s="93"/>
      <c r="AV40" s="93"/>
      <c r="AW40" s="93"/>
      <c r="AX40" s="93"/>
      <c r="AY40" s="93"/>
      <c r="AZ40" s="93"/>
      <c r="BA40" s="93"/>
      <c r="BB40" s="93"/>
      <c r="BC40" s="93"/>
      <c r="BD40" s="93"/>
      <c r="BE40" s="93"/>
      <c r="BF40" s="93"/>
      <c r="BG40" s="93"/>
      <c r="BH40" s="90"/>
      <c r="BI40" s="100"/>
      <c r="BJ40" s="90"/>
      <c r="BK40" s="90"/>
      <c r="BL40" s="90"/>
      <c r="BM40" s="90"/>
      <c r="BN40" s="90"/>
      <c r="BO40" s="98"/>
      <c r="BP40" s="50"/>
      <c r="BQ40" s="50"/>
      <c r="BR40" s="50"/>
      <c r="BS40" s="50"/>
      <c r="BT40" s="99"/>
      <c r="BU40" s="90"/>
      <c r="BV40" s="90"/>
      <c r="BW40" s="90"/>
      <c r="BX40" s="90"/>
      <c r="BY40" s="90"/>
      <c r="BZ40" s="98"/>
      <c r="CA40" s="50"/>
      <c r="CB40" s="50"/>
      <c r="CC40" s="50"/>
      <c r="CD40" s="99"/>
      <c r="CE40" s="90"/>
      <c r="CF40" s="90"/>
      <c r="CG40" s="90"/>
      <c r="CH40" s="90"/>
      <c r="CI40" s="90"/>
      <c r="CJ40" s="98"/>
      <c r="CK40" s="50"/>
      <c r="CL40" s="50"/>
      <c r="CM40" s="50"/>
      <c r="CN40" s="99"/>
      <c r="CO40" s="90"/>
      <c r="CP40" s="90"/>
      <c r="CQ40" s="90"/>
      <c r="CR40" s="90"/>
      <c r="CS40" s="90"/>
      <c r="CT40" s="98"/>
      <c r="CU40" s="50"/>
      <c r="CV40" s="50"/>
      <c r="CW40" s="105"/>
      <c r="CX40" s="50"/>
      <c r="CY40" s="56"/>
      <c r="CZ40" s="50"/>
      <c r="DA40" s="50"/>
      <c r="DB40" s="57"/>
      <c r="DC40" s="111"/>
      <c r="DD40" s="50"/>
      <c r="DE40" s="50"/>
      <c r="DF40" s="50"/>
      <c r="DG40" s="50"/>
      <c r="DH40" s="50"/>
      <c r="DI40" s="50"/>
      <c r="DJ40" s="50"/>
      <c r="DK40" s="50"/>
      <c r="DL40" s="50"/>
      <c r="DM40" s="50"/>
      <c r="DN40" s="50"/>
      <c r="DO40" s="56"/>
      <c r="DP40" s="595" t="s">
        <v>575</v>
      </c>
      <c r="DQ40" s="596"/>
      <c r="DR40" s="596"/>
      <c r="DS40" s="596"/>
      <c r="DT40" s="596"/>
      <c r="DU40" s="596"/>
      <c r="DV40" s="596"/>
      <c r="DW40" s="596"/>
      <c r="DX40" s="596"/>
      <c r="DY40" s="596"/>
      <c r="DZ40" s="596"/>
      <c r="EA40" s="596"/>
      <c r="EB40" s="596"/>
      <c r="EC40" s="596"/>
      <c r="ED40" s="596"/>
      <c r="EE40" s="596"/>
      <c r="EF40" s="596"/>
      <c r="EG40" s="596"/>
      <c r="EH40" s="596"/>
      <c r="EI40" s="596"/>
      <c r="EJ40" s="596"/>
      <c r="EK40" s="596"/>
      <c r="EL40" s="596"/>
      <c r="EM40" s="596"/>
      <c r="EN40" s="596"/>
      <c r="EO40" s="597"/>
      <c r="EP40" s="592"/>
      <c r="EQ40" s="553"/>
      <c r="ER40" s="553"/>
      <c r="ES40" s="553"/>
      <c r="ET40" s="553"/>
      <c r="EU40" s="553"/>
      <c r="EV40" s="589"/>
      <c r="EW40" s="589"/>
      <c r="EX40" s="589"/>
      <c r="EY40" s="589"/>
      <c r="EZ40" s="60"/>
      <c r="FA40" s="50"/>
      <c r="FB40" s="51"/>
      <c r="FH40" s="482"/>
      <c r="FI40" s="483"/>
      <c r="FJ40" s="483"/>
      <c r="FK40" s="483"/>
      <c r="FL40" s="483"/>
      <c r="FM40" s="483"/>
      <c r="FN40" s="483"/>
      <c r="FO40" s="483"/>
      <c r="FP40" s="483"/>
      <c r="FQ40" s="483"/>
      <c r="FR40" s="483"/>
      <c r="FS40" s="483"/>
      <c r="FT40" s="483"/>
      <c r="FU40" s="483"/>
      <c r="FV40" s="483"/>
      <c r="FW40" s="483"/>
      <c r="FX40" s="483"/>
      <c r="FY40" s="483"/>
      <c r="FZ40" s="483"/>
      <c r="GA40" s="483"/>
      <c r="GB40" s="483"/>
      <c r="GC40" s="483"/>
      <c r="GD40" s="483"/>
      <c r="GE40" s="483"/>
      <c r="GF40" s="483"/>
      <c r="GG40" s="483"/>
      <c r="GH40" s="483"/>
      <c r="GI40" s="483"/>
      <c r="GJ40" s="483"/>
      <c r="GK40" s="483"/>
      <c r="GL40" s="483"/>
      <c r="GM40" s="483"/>
      <c r="GN40" s="483"/>
      <c r="GO40" s="483"/>
      <c r="GP40" s="483"/>
      <c r="GQ40" s="483"/>
      <c r="GR40" s="483"/>
      <c r="GS40" s="483"/>
      <c r="GT40" s="483"/>
      <c r="GU40" s="483"/>
      <c r="GV40" s="483"/>
      <c r="GW40" s="483"/>
      <c r="GX40" s="483"/>
      <c r="GY40" s="483"/>
      <c r="GZ40" s="483"/>
      <c r="HA40" s="483"/>
      <c r="HB40" s="483"/>
      <c r="HC40" s="483"/>
      <c r="HD40" s="483"/>
      <c r="HE40" s="485"/>
    </row>
    <row r="41" spans="1:213" ht="9" customHeight="1" thickBot="1">
      <c r="A41" s="49"/>
      <c r="B41" s="84"/>
      <c r="C41" s="50"/>
      <c r="D41" s="80"/>
      <c r="E41" s="80"/>
      <c r="F41" s="92"/>
      <c r="G41" s="551" t="s">
        <v>581</v>
      </c>
      <c r="H41" s="551"/>
      <c r="I41" s="551"/>
      <c r="J41" s="551"/>
      <c r="K41" s="551"/>
      <c r="L41" s="551"/>
      <c r="M41" s="551"/>
      <c r="N41" s="551"/>
      <c r="O41" s="551"/>
      <c r="P41" s="551"/>
      <c r="Q41" s="551"/>
      <c r="R41" s="551"/>
      <c r="S41" s="551"/>
      <c r="T41" s="551"/>
      <c r="U41" s="551"/>
      <c r="V41" s="551"/>
      <c r="W41" s="551"/>
      <c r="X41" s="551"/>
      <c r="Y41" s="551"/>
      <c r="Z41" s="56"/>
      <c r="AA41" s="551">
        <f>IF(Abilities!S9="","",Abilities!S9)</f>
        <v>1</v>
      </c>
      <c r="AB41" s="551"/>
      <c r="AC41" s="551"/>
      <c r="AD41" s="551"/>
      <c r="AE41" s="551"/>
      <c r="AF41" s="97"/>
      <c r="AG41" s="50"/>
      <c r="AH41" s="50"/>
      <c r="AI41" s="84"/>
      <c r="AJ41" s="50"/>
      <c r="AK41" s="50"/>
      <c r="AL41" s="105"/>
      <c r="AM41" s="50"/>
      <c r="AN41" s="50"/>
      <c r="AO41" s="92"/>
      <c r="AP41" s="551" t="s">
        <v>590</v>
      </c>
      <c r="AQ41" s="551"/>
      <c r="AR41" s="551"/>
      <c r="AS41" s="551"/>
      <c r="AT41" s="551"/>
      <c r="AU41" s="551"/>
      <c r="AV41" s="551"/>
      <c r="AW41" s="551"/>
      <c r="AX41" s="551"/>
      <c r="AY41" s="551"/>
      <c r="AZ41" s="551"/>
      <c r="BA41" s="551"/>
      <c r="BB41" s="551"/>
      <c r="BC41" s="551"/>
      <c r="BD41" s="551"/>
      <c r="BE41" s="551"/>
      <c r="BF41" s="551"/>
      <c r="BG41" s="551"/>
      <c r="BH41" s="551"/>
      <c r="BI41" s="56"/>
      <c r="BJ41" s="551">
        <f>IF(BU41="",0,BU41+CE41+CO41)</f>
        <v>8</v>
      </c>
      <c r="BK41" s="551"/>
      <c r="BL41" s="551"/>
      <c r="BM41" s="551"/>
      <c r="BN41" s="551"/>
      <c r="BO41" s="97"/>
      <c r="BP41" s="50"/>
      <c r="BQ41" s="53"/>
      <c r="BR41" s="53"/>
      <c r="BS41" s="50"/>
      <c r="BT41" s="107"/>
      <c r="BU41" s="551">
        <f>IF(Abilities!S8="","",Abilities!S8)</f>
        <v>2</v>
      </c>
      <c r="BV41" s="551"/>
      <c r="BW41" s="551"/>
      <c r="BX41" s="551"/>
      <c r="BY41" s="551"/>
      <c r="BZ41" s="97"/>
      <c r="CA41" s="581" t="s">
        <v>591</v>
      </c>
      <c r="CB41" s="582"/>
      <c r="CC41" s="582"/>
      <c r="CD41" s="107"/>
      <c r="CE41" s="551">
        <f>IF(Adv!BN40=0,0,Adv!BN40)</f>
        <v>6</v>
      </c>
      <c r="CF41" s="551"/>
      <c r="CG41" s="551"/>
      <c r="CH41" s="551"/>
      <c r="CI41" s="551"/>
      <c r="CJ41" s="97"/>
      <c r="CK41" s="581" t="s">
        <v>591</v>
      </c>
      <c r="CL41" s="582"/>
      <c r="CM41" s="582"/>
      <c r="CN41" s="107"/>
      <c r="CO41" s="551">
        <f>IF(PComps!CR24=0,0,PComps!CR24)</f>
        <v>0</v>
      </c>
      <c r="CP41" s="551"/>
      <c r="CQ41" s="551"/>
      <c r="CR41" s="551"/>
      <c r="CS41" s="551"/>
      <c r="CT41" s="97"/>
      <c r="CU41" s="50"/>
      <c r="CV41" s="50"/>
      <c r="CW41" s="105"/>
      <c r="CX41" s="50"/>
      <c r="CY41" s="57"/>
      <c r="CZ41" s="50"/>
      <c r="DA41" s="50"/>
      <c r="DB41" s="50"/>
      <c r="DC41" s="57"/>
      <c r="DD41" s="50"/>
      <c r="DE41" s="81"/>
      <c r="DF41" s="81"/>
      <c r="DG41" s="81"/>
      <c r="DH41" s="81"/>
      <c r="DI41" s="81"/>
      <c r="DJ41" s="81"/>
      <c r="DK41" s="81"/>
      <c r="DL41" s="81"/>
      <c r="DM41" s="81"/>
      <c r="DN41" s="50"/>
      <c r="DO41" s="56"/>
      <c r="DP41" s="598"/>
      <c r="DQ41" s="599"/>
      <c r="DR41" s="599"/>
      <c r="DS41" s="599"/>
      <c r="DT41" s="599"/>
      <c r="DU41" s="599"/>
      <c r="DV41" s="599"/>
      <c r="DW41" s="599"/>
      <c r="DX41" s="599"/>
      <c r="DY41" s="599"/>
      <c r="DZ41" s="599"/>
      <c r="EA41" s="599"/>
      <c r="EB41" s="599"/>
      <c r="EC41" s="599"/>
      <c r="ED41" s="599"/>
      <c r="EE41" s="599"/>
      <c r="EF41" s="599"/>
      <c r="EG41" s="599"/>
      <c r="EH41" s="599"/>
      <c r="EI41" s="599"/>
      <c r="EJ41" s="599"/>
      <c r="EK41" s="599"/>
      <c r="EL41" s="599"/>
      <c r="EM41" s="599"/>
      <c r="EN41" s="599"/>
      <c r="EO41" s="600"/>
      <c r="EP41" s="592"/>
      <c r="EQ41" s="553"/>
      <c r="ER41" s="553"/>
      <c r="ES41" s="553"/>
      <c r="ET41" s="553"/>
      <c r="EU41" s="553"/>
      <c r="EV41" s="589"/>
      <c r="EW41" s="589"/>
      <c r="EX41" s="589"/>
      <c r="EY41" s="589"/>
      <c r="EZ41" s="60"/>
      <c r="FA41" s="50"/>
      <c r="FB41" s="51"/>
      <c r="FH41" s="482"/>
      <c r="FI41" s="483"/>
      <c r="FJ41" s="483"/>
      <c r="FK41" s="483"/>
      <c r="FL41" s="483"/>
      <c r="FM41" s="483"/>
      <c r="FN41" s="483"/>
      <c r="FO41" s="483"/>
      <c r="FP41" s="483"/>
      <c r="FQ41" s="483"/>
      <c r="FR41" s="483"/>
      <c r="FS41" s="483"/>
      <c r="FT41" s="483"/>
      <c r="FU41" s="483"/>
      <c r="FV41" s="483"/>
      <c r="FW41" s="483"/>
      <c r="FX41" s="483"/>
      <c r="FY41" s="483"/>
      <c r="FZ41" s="483"/>
      <c r="GA41" s="483"/>
      <c r="GB41" s="483"/>
      <c r="GC41" s="483"/>
      <c r="GD41" s="483"/>
      <c r="GE41" s="483"/>
      <c r="GF41" s="483"/>
      <c r="GG41" s="483"/>
      <c r="GH41" s="483"/>
      <c r="GI41" s="483"/>
      <c r="GJ41" s="483"/>
      <c r="GK41" s="483"/>
      <c r="GL41" s="483"/>
      <c r="GM41" s="483"/>
      <c r="GN41" s="483"/>
      <c r="GO41" s="483"/>
      <c r="GP41" s="483"/>
      <c r="GQ41" s="483"/>
      <c r="GR41" s="483"/>
      <c r="GS41" s="483"/>
      <c r="GT41" s="483"/>
      <c r="GU41" s="483"/>
      <c r="GV41" s="483"/>
      <c r="GW41" s="483"/>
      <c r="GX41" s="483"/>
      <c r="GY41" s="483"/>
      <c r="GZ41" s="483"/>
      <c r="HA41" s="483"/>
      <c r="HB41" s="483"/>
      <c r="HC41" s="483"/>
      <c r="HD41" s="483"/>
      <c r="HE41" s="485"/>
    </row>
    <row r="42" spans="1:213" ht="9" customHeight="1" thickBot="1">
      <c r="A42" s="49"/>
      <c r="B42" s="84"/>
      <c r="C42" s="50"/>
      <c r="D42" s="80"/>
      <c r="E42" s="80"/>
      <c r="F42" s="92"/>
      <c r="G42" s="551"/>
      <c r="H42" s="551"/>
      <c r="I42" s="551"/>
      <c r="J42" s="551"/>
      <c r="K42" s="551"/>
      <c r="L42" s="551"/>
      <c r="M42" s="551"/>
      <c r="N42" s="551"/>
      <c r="O42" s="551"/>
      <c r="P42" s="551"/>
      <c r="Q42" s="551"/>
      <c r="R42" s="551"/>
      <c r="S42" s="551"/>
      <c r="T42" s="551"/>
      <c r="U42" s="551"/>
      <c r="V42" s="551"/>
      <c r="W42" s="551"/>
      <c r="X42" s="551"/>
      <c r="Y42" s="551"/>
      <c r="Z42" s="56"/>
      <c r="AA42" s="551"/>
      <c r="AB42" s="551"/>
      <c r="AC42" s="551"/>
      <c r="AD42" s="551"/>
      <c r="AE42" s="551"/>
      <c r="AF42" s="97"/>
      <c r="AG42" s="50"/>
      <c r="AH42" s="50"/>
      <c r="AI42" s="84"/>
      <c r="AJ42" s="50"/>
      <c r="AK42" s="50"/>
      <c r="AL42" s="105"/>
      <c r="AM42" s="50"/>
      <c r="AN42" s="50"/>
      <c r="AO42" s="92"/>
      <c r="AP42" s="551"/>
      <c r="AQ42" s="551"/>
      <c r="AR42" s="551"/>
      <c r="AS42" s="551"/>
      <c r="AT42" s="551"/>
      <c r="AU42" s="551"/>
      <c r="AV42" s="551"/>
      <c r="AW42" s="551"/>
      <c r="AX42" s="551"/>
      <c r="AY42" s="551"/>
      <c r="AZ42" s="551"/>
      <c r="BA42" s="551"/>
      <c r="BB42" s="551"/>
      <c r="BC42" s="551"/>
      <c r="BD42" s="551"/>
      <c r="BE42" s="551"/>
      <c r="BF42" s="551"/>
      <c r="BG42" s="551"/>
      <c r="BH42" s="551"/>
      <c r="BI42" s="56"/>
      <c r="BJ42" s="551"/>
      <c r="BK42" s="551"/>
      <c r="BL42" s="551"/>
      <c r="BM42" s="551"/>
      <c r="BN42" s="551"/>
      <c r="BO42" s="97"/>
      <c r="BP42" s="50"/>
      <c r="BQ42" s="106"/>
      <c r="BR42" s="106"/>
      <c r="BS42" s="50"/>
      <c r="BT42" s="107"/>
      <c r="BU42" s="551"/>
      <c r="BV42" s="551"/>
      <c r="BW42" s="551"/>
      <c r="BX42" s="551"/>
      <c r="BY42" s="551"/>
      <c r="BZ42" s="97"/>
      <c r="CA42" s="581"/>
      <c r="CB42" s="582"/>
      <c r="CC42" s="582"/>
      <c r="CD42" s="107"/>
      <c r="CE42" s="551"/>
      <c r="CF42" s="551"/>
      <c r="CG42" s="551"/>
      <c r="CH42" s="551"/>
      <c r="CI42" s="551"/>
      <c r="CJ42" s="97"/>
      <c r="CK42" s="581"/>
      <c r="CL42" s="582"/>
      <c r="CM42" s="582"/>
      <c r="CN42" s="107"/>
      <c r="CO42" s="551"/>
      <c r="CP42" s="551"/>
      <c r="CQ42" s="551"/>
      <c r="CR42" s="551"/>
      <c r="CS42" s="551"/>
      <c r="CT42" s="97"/>
      <c r="CU42" s="50"/>
      <c r="CV42" s="50"/>
      <c r="CW42" s="105"/>
      <c r="CX42" s="50"/>
      <c r="CY42" s="112"/>
      <c r="CZ42" s="57"/>
      <c r="DA42" s="50"/>
      <c r="DB42" s="50"/>
      <c r="DC42" s="60"/>
      <c r="DD42" s="50"/>
      <c r="DE42" s="50"/>
      <c r="DF42" s="50"/>
      <c r="DG42" s="50"/>
      <c r="DH42" s="50"/>
      <c r="DI42" s="50"/>
      <c r="DJ42" s="50"/>
      <c r="DK42" s="50"/>
      <c r="DL42" s="50"/>
      <c r="DM42" s="50"/>
      <c r="DN42" s="50"/>
      <c r="DO42" s="56"/>
      <c r="DP42" s="598"/>
      <c r="DQ42" s="599"/>
      <c r="DR42" s="599"/>
      <c r="DS42" s="599"/>
      <c r="DT42" s="599"/>
      <c r="DU42" s="599"/>
      <c r="DV42" s="599"/>
      <c r="DW42" s="599"/>
      <c r="DX42" s="599"/>
      <c r="DY42" s="599"/>
      <c r="DZ42" s="599"/>
      <c r="EA42" s="599"/>
      <c r="EB42" s="599"/>
      <c r="EC42" s="599"/>
      <c r="ED42" s="599"/>
      <c r="EE42" s="599"/>
      <c r="EF42" s="599"/>
      <c r="EG42" s="599"/>
      <c r="EH42" s="599"/>
      <c r="EI42" s="599"/>
      <c r="EJ42" s="599"/>
      <c r="EK42" s="599"/>
      <c r="EL42" s="599"/>
      <c r="EM42" s="599"/>
      <c r="EN42" s="599"/>
      <c r="EO42" s="600"/>
      <c r="EP42" s="592"/>
      <c r="EQ42" s="553"/>
      <c r="ER42" s="553"/>
      <c r="ES42" s="553"/>
      <c r="ET42" s="553"/>
      <c r="EU42" s="553"/>
      <c r="EV42" s="589"/>
      <c r="EW42" s="589"/>
      <c r="EX42" s="589"/>
      <c r="EY42" s="589"/>
      <c r="EZ42" s="60"/>
      <c r="FA42" s="50"/>
      <c r="FB42" s="51"/>
      <c r="FH42" s="482"/>
      <c r="FI42" s="483"/>
      <c r="FJ42" s="483"/>
      <c r="FK42" s="483"/>
      <c r="FL42" s="483"/>
      <c r="FM42" s="483"/>
      <c r="FN42" s="483"/>
      <c r="FO42" s="483"/>
      <c r="FP42" s="483"/>
      <c r="FQ42" s="483"/>
      <c r="FR42" s="483"/>
      <c r="FS42" s="483"/>
      <c r="FT42" s="483"/>
      <c r="FU42" s="483"/>
      <c r="FV42" s="483"/>
      <c r="FW42" s="483"/>
      <c r="FX42" s="483"/>
      <c r="FY42" s="483"/>
      <c r="FZ42" s="483"/>
      <c r="GA42" s="483"/>
      <c r="GB42" s="483"/>
      <c r="GC42" s="483"/>
      <c r="GD42" s="483"/>
      <c r="GE42" s="483"/>
      <c r="GF42" s="483"/>
      <c r="GG42" s="483"/>
      <c r="GH42" s="483"/>
      <c r="GI42" s="483"/>
      <c r="GJ42" s="483"/>
      <c r="GK42" s="483"/>
      <c r="GL42" s="483"/>
      <c r="GM42" s="483"/>
      <c r="GN42" s="483"/>
      <c r="GO42" s="483"/>
      <c r="GP42" s="483"/>
      <c r="GQ42" s="483"/>
      <c r="GR42" s="483"/>
      <c r="GS42" s="483"/>
      <c r="GT42" s="483"/>
      <c r="GU42" s="483"/>
      <c r="GV42" s="483"/>
      <c r="GW42" s="483"/>
      <c r="GX42" s="483"/>
      <c r="GY42" s="483"/>
      <c r="GZ42" s="483"/>
      <c r="HA42" s="483"/>
      <c r="HB42" s="483"/>
      <c r="HC42" s="483"/>
      <c r="HD42" s="483"/>
      <c r="HE42" s="485"/>
    </row>
    <row r="43" spans="1:213" ht="9" customHeight="1" thickBot="1">
      <c r="A43" s="49"/>
      <c r="B43" s="84"/>
      <c r="C43" s="50"/>
      <c r="D43" s="80"/>
      <c r="E43" s="80"/>
      <c r="F43" s="92"/>
      <c r="G43" s="551"/>
      <c r="H43" s="551"/>
      <c r="I43" s="551"/>
      <c r="J43" s="551"/>
      <c r="K43" s="551"/>
      <c r="L43" s="551"/>
      <c r="M43" s="551"/>
      <c r="N43" s="551"/>
      <c r="O43" s="551"/>
      <c r="P43" s="551"/>
      <c r="Q43" s="551"/>
      <c r="R43" s="551"/>
      <c r="S43" s="551"/>
      <c r="T43" s="551"/>
      <c r="U43" s="551"/>
      <c r="V43" s="551"/>
      <c r="W43" s="551"/>
      <c r="X43" s="551"/>
      <c r="Y43" s="551"/>
      <c r="Z43" s="56"/>
      <c r="AA43" s="551"/>
      <c r="AB43" s="551"/>
      <c r="AC43" s="551"/>
      <c r="AD43" s="551"/>
      <c r="AE43" s="551"/>
      <c r="AF43" s="97"/>
      <c r="AG43" s="50"/>
      <c r="AH43" s="50"/>
      <c r="AI43" s="84"/>
      <c r="AJ43" s="50"/>
      <c r="AK43" s="50"/>
      <c r="AL43" s="105"/>
      <c r="AM43" s="50"/>
      <c r="AN43" s="50"/>
      <c r="AO43" s="92"/>
      <c r="AP43" s="551"/>
      <c r="AQ43" s="551"/>
      <c r="AR43" s="551"/>
      <c r="AS43" s="551"/>
      <c r="AT43" s="551"/>
      <c r="AU43" s="551"/>
      <c r="AV43" s="551"/>
      <c r="AW43" s="551"/>
      <c r="AX43" s="551"/>
      <c r="AY43" s="551"/>
      <c r="AZ43" s="551"/>
      <c r="BA43" s="551"/>
      <c r="BB43" s="551"/>
      <c r="BC43" s="551"/>
      <c r="BD43" s="551"/>
      <c r="BE43" s="551"/>
      <c r="BF43" s="551"/>
      <c r="BG43" s="551"/>
      <c r="BH43" s="551"/>
      <c r="BI43" s="56"/>
      <c r="BJ43" s="551"/>
      <c r="BK43" s="551"/>
      <c r="BL43" s="551"/>
      <c r="BM43" s="551"/>
      <c r="BN43" s="551"/>
      <c r="BO43" s="97"/>
      <c r="BP43" s="50"/>
      <c r="BQ43" s="50"/>
      <c r="BR43" s="50"/>
      <c r="BS43" s="50"/>
      <c r="BT43" s="107"/>
      <c r="BU43" s="551"/>
      <c r="BV43" s="551"/>
      <c r="BW43" s="551"/>
      <c r="BX43" s="551"/>
      <c r="BY43" s="551"/>
      <c r="BZ43" s="97"/>
      <c r="CA43" s="581"/>
      <c r="CB43" s="582"/>
      <c r="CC43" s="582"/>
      <c r="CD43" s="107"/>
      <c r="CE43" s="551"/>
      <c r="CF43" s="551"/>
      <c r="CG43" s="551"/>
      <c r="CH43" s="551"/>
      <c r="CI43" s="551"/>
      <c r="CJ43" s="97"/>
      <c r="CK43" s="581"/>
      <c r="CL43" s="582"/>
      <c r="CM43" s="582"/>
      <c r="CN43" s="107"/>
      <c r="CO43" s="551"/>
      <c r="CP43" s="551"/>
      <c r="CQ43" s="551"/>
      <c r="CR43" s="551"/>
      <c r="CS43" s="551"/>
      <c r="CT43" s="97"/>
      <c r="CU43" s="50"/>
      <c r="CV43" s="50"/>
      <c r="CW43" s="105"/>
      <c r="CX43" s="50"/>
      <c r="CY43" s="56"/>
      <c r="CZ43" s="57"/>
      <c r="DA43" s="57"/>
      <c r="DB43" s="50"/>
      <c r="DC43" s="60"/>
      <c r="DD43" s="50"/>
      <c r="DE43" s="80"/>
      <c r="DF43" s="80"/>
      <c r="DG43" s="80"/>
      <c r="DH43" s="80"/>
      <c r="DI43" s="80"/>
      <c r="DJ43" s="80"/>
      <c r="DK43" s="80"/>
      <c r="DL43" s="80"/>
      <c r="DM43" s="80"/>
      <c r="DN43" s="50"/>
      <c r="DO43" s="56"/>
      <c r="DP43" s="601"/>
      <c r="DQ43" s="602"/>
      <c r="DR43" s="602"/>
      <c r="DS43" s="602"/>
      <c r="DT43" s="602"/>
      <c r="DU43" s="602"/>
      <c r="DV43" s="602"/>
      <c r="DW43" s="602"/>
      <c r="DX43" s="602"/>
      <c r="DY43" s="602"/>
      <c r="DZ43" s="602"/>
      <c r="EA43" s="602"/>
      <c r="EB43" s="602"/>
      <c r="EC43" s="602"/>
      <c r="ED43" s="602"/>
      <c r="EE43" s="602"/>
      <c r="EF43" s="602"/>
      <c r="EG43" s="602"/>
      <c r="EH43" s="602"/>
      <c r="EI43" s="602"/>
      <c r="EJ43" s="602"/>
      <c r="EK43" s="602"/>
      <c r="EL43" s="602"/>
      <c r="EM43" s="602"/>
      <c r="EN43" s="602"/>
      <c r="EO43" s="603"/>
      <c r="EP43" s="592"/>
      <c r="EQ43" s="553"/>
      <c r="ER43" s="553"/>
      <c r="ES43" s="553"/>
      <c r="ET43" s="553"/>
      <c r="EU43" s="553"/>
      <c r="EV43" s="589"/>
      <c r="EW43" s="589"/>
      <c r="EX43" s="589"/>
      <c r="EY43" s="589"/>
      <c r="EZ43" s="60"/>
      <c r="FA43" s="50"/>
      <c r="FB43" s="51"/>
      <c r="FH43" s="482"/>
      <c r="FI43" s="483"/>
      <c r="FJ43" s="483"/>
      <c r="FK43" s="483"/>
      <c r="FL43" s="483"/>
      <c r="FM43" s="483"/>
      <c r="FN43" s="483"/>
      <c r="FO43" s="483"/>
      <c r="FP43" s="483"/>
      <c r="FQ43" s="483"/>
      <c r="FR43" s="483"/>
      <c r="FS43" s="483"/>
      <c r="FT43" s="483"/>
      <c r="FU43" s="483"/>
      <c r="FV43" s="483"/>
      <c r="FW43" s="483"/>
      <c r="FX43" s="483"/>
      <c r="FY43" s="483"/>
      <c r="FZ43" s="483"/>
      <c r="GA43" s="483"/>
      <c r="GB43" s="483"/>
      <c r="GC43" s="483"/>
      <c r="GD43" s="483"/>
      <c r="GE43" s="483"/>
      <c r="GF43" s="483"/>
      <c r="GG43" s="483"/>
      <c r="GH43" s="483"/>
      <c r="GI43" s="483"/>
      <c r="GJ43" s="483"/>
      <c r="GK43" s="483"/>
      <c r="GL43" s="483"/>
      <c r="GM43" s="483"/>
      <c r="GN43" s="483"/>
      <c r="GO43" s="483"/>
      <c r="GP43" s="483"/>
      <c r="GQ43" s="483"/>
      <c r="GR43" s="483"/>
      <c r="GS43" s="483"/>
      <c r="GT43" s="483"/>
      <c r="GU43" s="483"/>
      <c r="GV43" s="483"/>
      <c r="GW43" s="483"/>
      <c r="GX43" s="483"/>
      <c r="GY43" s="483"/>
      <c r="GZ43" s="483"/>
      <c r="HA43" s="483"/>
      <c r="HB43" s="483"/>
      <c r="HC43" s="483"/>
      <c r="HD43" s="483"/>
      <c r="HE43" s="485"/>
    </row>
    <row r="44" spans="1:213" ht="9" customHeight="1" thickTop="1" thickBot="1">
      <c r="A44" s="49"/>
      <c r="B44" s="84"/>
      <c r="C44" s="50"/>
      <c r="D44" s="80"/>
      <c r="E44" s="80"/>
      <c r="F44" s="96"/>
      <c r="G44" s="94"/>
      <c r="H44" s="94"/>
      <c r="I44" s="94"/>
      <c r="J44" s="94"/>
      <c r="K44" s="94"/>
      <c r="L44" s="94"/>
      <c r="M44" s="94"/>
      <c r="N44" s="94"/>
      <c r="O44" s="94"/>
      <c r="P44" s="94"/>
      <c r="Q44" s="94"/>
      <c r="R44" s="94"/>
      <c r="S44" s="94"/>
      <c r="T44" s="94"/>
      <c r="U44" s="94"/>
      <c r="V44" s="94"/>
      <c r="W44" s="94"/>
      <c r="X44" s="94"/>
      <c r="Y44" s="91"/>
      <c r="Z44" s="101"/>
      <c r="AA44" s="91"/>
      <c r="AB44" s="91"/>
      <c r="AC44" s="91"/>
      <c r="AD44" s="91"/>
      <c r="AE44" s="91"/>
      <c r="AF44" s="99"/>
      <c r="AG44" s="50"/>
      <c r="AH44" s="50"/>
      <c r="AI44" s="84"/>
      <c r="AJ44" s="50"/>
      <c r="AK44" s="50"/>
      <c r="AL44" s="105"/>
      <c r="AM44" s="50"/>
      <c r="AN44" s="50"/>
      <c r="AO44" s="96"/>
      <c r="AP44" s="94"/>
      <c r="AQ44" s="94"/>
      <c r="AR44" s="94"/>
      <c r="AS44" s="94"/>
      <c r="AT44" s="94"/>
      <c r="AU44" s="94"/>
      <c r="AV44" s="94"/>
      <c r="AW44" s="94"/>
      <c r="AX44" s="94"/>
      <c r="AY44" s="94"/>
      <c r="AZ44" s="94"/>
      <c r="BA44" s="94"/>
      <c r="BB44" s="94"/>
      <c r="BC44" s="94"/>
      <c r="BD44" s="94"/>
      <c r="BE44" s="94"/>
      <c r="BF44" s="94"/>
      <c r="BG44" s="94"/>
      <c r="BH44" s="91"/>
      <c r="BI44" s="101"/>
      <c r="BJ44" s="91"/>
      <c r="BK44" s="91"/>
      <c r="BL44" s="91"/>
      <c r="BM44" s="91"/>
      <c r="BN44" s="91"/>
      <c r="BO44" s="99"/>
      <c r="BP44" s="50"/>
      <c r="BQ44" s="50"/>
      <c r="BR44" s="50"/>
      <c r="BS44" s="50"/>
      <c r="BT44" s="98"/>
      <c r="BU44" s="91"/>
      <c r="BV44" s="91"/>
      <c r="BW44" s="91"/>
      <c r="BX44" s="91"/>
      <c r="BY44" s="91"/>
      <c r="BZ44" s="99"/>
      <c r="CA44" s="50"/>
      <c r="CB44" s="50"/>
      <c r="CC44" s="50"/>
      <c r="CD44" s="98"/>
      <c r="CE44" s="91"/>
      <c r="CF44" s="91"/>
      <c r="CG44" s="91"/>
      <c r="CH44" s="91"/>
      <c r="CI44" s="91"/>
      <c r="CJ44" s="99"/>
      <c r="CK44" s="50"/>
      <c r="CL44" s="50"/>
      <c r="CM44" s="50"/>
      <c r="CN44" s="98"/>
      <c r="CO44" s="91"/>
      <c r="CP44" s="91"/>
      <c r="CQ44" s="91"/>
      <c r="CR44" s="91"/>
      <c r="CS44" s="91"/>
      <c r="CT44" s="99"/>
      <c r="CU44" s="50"/>
      <c r="CV44" s="50"/>
      <c r="CW44" s="105"/>
      <c r="CX44" s="50"/>
      <c r="CY44" s="56"/>
      <c r="CZ44" s="50"/>
      <c r="DA44" s="57"/>
      <c r="DB44" s="57"/>
      <c r="DC44" s="60"/>
      <c r="DD44" s="50"/>
      <c r="DE44" s="50"/>
      <c r="DF44" s="50"/>
      <c r="DG44" s="50"/>
      <c r="DH44" s="50"/>
      <c r="DI44" s="50"/>
      <c r="DJ44" s="50"/>
      <c r="DK44" s="50"/>
      <c r="DL44" s="50"/>
      <c r="DM44" s="50"/>
      <c r="DN44" s="50"/>
      <c r="DO44" s="56"/>
      <c r="DP44" s="50"/>
      <c r="DQ44" s="89"/>
      <c r="DR44" s="50"/>
      <c r="DS44" s="50"/>
      <c r="DT44" s="50"/>
      <c r="DU44" s="50"/>
      <c r="DV44" s="50"/>
      <c r="DW44" s="50"/>
      <c r="DX44" s="50"/>
      <c r="DY44" s="50"/>
      <c r="DZ44" s="50"/>
      <c r="EA44" s="50"/>
      <c r="EB44" s="50"/>
      <c r="EC44" s="50"/>
      <c r="ED44" s="50"/>
      <c r="EE44" s="50"/>
      <c r="EF44" s="50"/>
      <c r="EG44" s="50"/>
      <c r="EH44" s="50"/>
      <c r="EI44" s="50"/>
      <c r="EJ44" s="50"/>
      <c r="EK44" s="50"/>
      <c r="EL44" s="50"/>
      <c r="EM44" s="50"/>
      <c r="EN44" s="50"/>
      <c r="EO44" s="50"/>
      <c r="EP44" s="593"/>
      <c r="EQ44" s="594"/>
      <c r="ER44" s="594"/>
      <c r="ES44" s="594"/>
      <c r="ET44" s="594"/>
      <c r="EU44" s="594"/>
      <c r="EV44" s="589"/>
      <c r="EW44" s="589"/>
      <c r="EX44" s="589"/>
      <c r="EY44" s="589"/>
      <c r="EZ44" s="60"/>
      <c r="FA44" s="50"/>
      <c r="FB44" s="51"/>
      <c r="FH44" s="482"/>
      <c r="FI44" s="483"/>
      <c r="FJ44" s="483"/>
      <c r="FK44" s="483"/>
      <c r="FL44" s="483"/>
      <c r="FM44" s="483"/>
      <c r="FN44" s="483"/>
      <c r="FO44" s="483"/>
      <c r="FP44" s="483"/>
      <c r="FQ44" s="483"/>
      <c r="FR44" s="483"/>
      <c r="FS44" s="483"/>
      <c r="FT44" s="483"/>
      <c r="FU44" s="483"/>
      <c r="FV44" s="483"/>
      <c r="FW44" s="483"/>
      <c r="FX44" s="483"/>
      <c r="FY44" s="483"/>
      <c r="FZ44" s="483"/>
      <c r="GA44" s="483"/>
      <c r="GB44" s="483"/>
      <c r="GC44" s="483"/>
      <c r="GD44" s="483"/>
      <c r="GE44" s="483"/>
      <c r="GF44" s="483"/>
      <c r="GG44" s="483"/>
      <c r="GH44" s="483"/>
      <c r="GI44" s="483"/>
      <c r="GJ44" s="483"/>
      <c r="GK44" s="483"/>
      <c r="GL44" s="483"/>
      <c r="GM44" s="483"/>
      <c r="GN44" s="483"/>
      <c r="GO44" s="483"/>
      <c r="GP44" s="483"/>
      <c r="GQ44" s="483"/>
      <c r="GR44" s="483"/>
      <c r="GS44" s="483"/>
      <c r="GT44" s="483"/>
      <c r="GU44" s="483"/>
      <c r="GV44" s="483"/>
      <c r="GW44" s="483"/>
      <c r="GX44" s="483"/>
      <c r="GY44" s="483"/>
      <c r="GZ44" s="483"/>
      <c r="HA44" s="483"/>
      <c r="HB44" s="483"/>
      <c r="HC44" s="483"/>
      <c r="HD44" s="483"/>
      <c r="HE44" s="485"/>
    </row>
    <row r="45" spans="1:213" ht="9" customHeight="1" thickTop="1" thickBot="1">
      <c r="A45" s="49"/>
      <c r="B45" s="84"/>
      <c r="C45" s="50"/>
      <c r="D45" s="80"/>
      <c r="E45" s="80"/>
      <c r="F45" s="80"/>
      <c r="G45" s="80"/>
      <c r="H45" s="50"/>
      <c r="I45" s="81"/>
      <c r="J45" s="81"/>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84"/>
      <c r="AJ45" s="50"/>
      <c r="AK45" s="50"/>
      <c r="AL45" s="105"/>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108"/>
      <c r="BT45" s="559" t="s">
        <v>580</v>
      </c>
      <c r="BU45" s="559"/>
      <c r="BV45" s="559"/>
      <c r="BW45" s="559"/>
      <c r="BX45" s="559"/>
      <c r="BY45" s="559"/>
      <c r="BZ45" s="559"/>
      <c r="CA45" s="50"/>
      <c r="CB45" s="50"/>
      <c r="CC45" s="50"/>
      <c r="CD45" s="560" t="s">
        <v>592</v>
      </c>
      <c r="CE45" s="560"/>
      <c r="CF45" s="560"/>
      <c r="CG45" s="560"/>
      <c r="CH45" s="560"/>
      <c r="CI45" s="560"/>
      <c r="CJ45" s="560"/>
      <c r="CK45" s="50"/>
      <c r="CL45" s="50"/>
      <c r="CM45" s="50"/>
      <c r="CN45" s="559" t="s">
        <v>593</v>
      </c>
      <c r="CO45" s="559"/>
      <c r="CP45" s="559"/>
      <c r="CQ45" s="559"/>
      <c r="CR45" s="559"/>
      <c r="CS45" s="559"/>
      <c r="CT45" s="559"/>
      <c r="CU45" s="50"/>
      <c r="CV45" s="50"/>
      <c r="CW45" s="105"/>
      <c r="CX45" s="50"/>
      <c r="CY45" s="56"/>
      <c r="CZ45" s="50"/>
      <c r="DA45" s="50"/>
      <c r="DB45" s="57"/>
      <c r="DC45" s="111"/>
      <c r="DD45" s="50"/>
      <c r="DE45" s="81"/>
      <c r="DF45" s="81"/>
      <c r="DG45" s="81"/>
      <c r="DH45" s="81"/>
      <c r="DI45" s="81"/>
      <c r="DJ45" s="81"/>
      <c r="DK45" s="81"/>
      <c r="DL45" s="81"/>
      <c r="DM45" s="81"/>
      <c r="DN45" s="50"/>
      <c r="DO45" s="56"/>
      <c r="DP45" s="50"/>
      <c r="DQ45" s="89"/>
      <c r="DR45" s="50"/>
      <c r="DS45" s="50"/>
      <c r="DT45" s="50"/>
      <c r="DU45" s="50"/>
      <c r="DV45" s="50"/>
      <c r="DW45" s="50"/>
      <c r="DX45" s="50"/>
      <c r="DY45" s="50"/>
      <c r="DZ45" s="50"/>
      <c r="EA45" s="50"/>
      <c r="EB45" s="50"/>
      <c r="EC45" s="50"/>
      <c r="ED45" s="50"/>
      <c r="EE45" s="50"/>
      <c r="EF45" s="50"/>
      <c r="EG45" s="50"/>
      <c r="EH45" s="50"/>
      <c r="EI45" s="50"/>
      <c r="EJ45" s="50"/>
      <c r="EK45" s="50"/>
      <c r="EL45" s="50"/>
      <c r="EM45" s="50"/>
      <c r="EN45" s="50"/>
      <c r="EO45" s="50"/>
      <c r="EP45" s="50"/>
      <c r="EQ45" s="50"/>
      <c r="ER45" s="50"/>
      <c r="ES45" s="50"/>
      <c r="ET45" s="50"/>
      <c r="EU45" s="50"/>
      <c r="EV45" s="50"/>
      <c r="EW45" s="50"/>
      <c r="EX45" s="50"/>
      <c r="EY45" s="50"/>
      <c r="EZ45" s="60"/>
      <c r="FA45" s="50"/>
      <c r="FB45" s="51"/>
      <c r="FH45" s="482"/>
      <c r="FI45" s="483"/>
      <c r="FJ45" s="483"/>
      <c r="FK45" s="483"/>
      <c r="FL45" s="483"/>
      <c r="FM45" s="483"/>
      <c r="FN45" s="483"/>
      <c r="FO45" s="483"/>
      <c r="FP45" s="483"/>
      <c r="FQ45" s="483"/>
      <c r="FR45" s="483"/>
      <c r="FS45" s="483"/>
      <c r="FT45" s="483"/>
      <c r="FU45" s="483"/>
      <c r="FV45" s="483"/>
      <c r="FW45" s="483"/>
      <c r="FX45" s="483"/>
      <c r="FY45" s="483"/>
      <c r="FZ45" s="483"/>
      <c r="GA45" s="483"/>
      <c r="GB45" s="483"/>
      <c r="GC45" s="483"/>
      <c r="GD45" s="483"/>
      <c r="GE45" s="483"/>
      <c r="GF45" s="483"/>
      <c r="GG45" s="483"/>
      <c r="GH45" s="483"/>
      <c r="GI45" s="483"/>
      <c r="GJ45" s="483"/>
      <c r="GK45" s="483"/>
      <c r="GL45" s="483"/>
      <c r="GM45" s="483"/>
      <c r="GN45" s="483"/>
      <c r="GO45" s="483"/>
      <c r="GP45" s="483"/>
      <c r="GQ45" s="483"/>
      <c r="GR45" s="483"/>
      <c r="GS45" s="483"/>
      <c r="GT45" s="483"/>
      <c r="GU45" s="483"/>
      <c r="GV45" s="483"/>
      <c r="GW45" s="483"/>
      <c r="GX45" s="483"/>
      <c r="GY45" s="483"/>
      <c r="GZ45" s="483"/>
      <c r="HA45" s="483"/>
      <c r="HB45" s="483"/>
      <c r="HC45" s="483"/>
      <c r="HD45" s="483"/>
      <c r="HE45" s="485"/>
    </row>
    <row r="46" spans="1:213" ht="9" customHeight="1" thickTop="1" thickBot="1">
      <c r="A46" s="49"/>
      <c r="B46" s="84"/>
      <c r="C46" s="50"/>
      <c r="D46" s="80"/>
      <c r="E46" s="80"/>
      <c r="F46" s="80"/>
      <c r="G46" s="80"/>
      <c r="H46" s="50"/>
      <c r="I46" s="81"/>
      <c r="J46" s="81"/>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84"/>
      <c r="AJ46" s="50"/>
      <c r="AK46" s="50"/>
      <c r="AL46" s="105"/>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108"/>
      <c r="BT46" s="559"/>
      <c r="BU46" s="559"/>
      <c r="BV46" s="559"/>
      <c r="BW46" s="559"/>
      <c r="BX46" s="559"/>
      <c r="BY46" s="559"/>
      <c r="BZ46" s="559"/>
      <c r="CA46" s="50"/>
      <c r="CB46" s="50"/>
      <c r="CC46" s="50"/>
      <c r="CD46" s="560"/>
      <c r="CE46" s="560"/>
      <c r="CF46" s="560"/>
      <c r="CG46" s="560"/>
      <c r="CH46" s="560"/>
      <c r="CI46" s="560"/>
      <c r="CJ46" s="560"/>
      <c r="CK46" s="50"/>
      <c r="CL46" s="50"/>
      <c r="CM46" s="50"/>
      <c r="CN46" s="559"/>
      <c r="CO46" s="559"/>
      <c r="CP46" s="559"/>
      <c r="CQ46" s="559"/>
      <c r="CR46" s="559"/>
      <c r="CS46" s="559"/>
      <c r="CT46" s="559"/>
      <c r="CU46" s="50"/>
      <c r="CV46" s="50"/>
      <c r="CW46" s="105"/>
      <c r="CX46" s="50"/>
      <c r="CY46" s="57"/>
      <c r="CZ46" s="50"/>
      <c r="DA46" s="50"/>
      <c r="DB46" s="50"/>
      <c r="DC46" s="57"/>
      <c r="DD46" s="50"/>
      <c r="DE46" s="50"/>
      <c r="DF46" s="50"/>
      <c r="DG46" s="50"/>
      <c r="DH46" s="50"/>
      <c r="DI46" s="50"/>
      <c r="DJ46" s="50"/>
      <c r="DK46" s="50"/>
      <c r="DL46" s="50"/>
      <c r="DM46" s="50"/>
      <c r="DN46" s="50"/>
      <c r="DO46" s="56"/>
      <c r="DP46" s="50"/>
      <c r="DQ46" s="89"/>
      <c r="DR46" s="50"/>
      <c r="DS46" s="50"/>
      <c r="DT46" s="50"/>
      <c r="DU46" s="50"/>
      <c r="DV46" s="50"/>
      <c r="DW46" s="50"/>
      <c r="DX46" s="50"/>
      <c r="DY46" s="50"/>
      <c r="DZ46" s="50"/>
      <c r="EA46" s="50"/>
      <c r="EB46" s="50"/>
      <c r="EC46" s="50"/>
      <c r="ED46" s="50"/>
      <c r="EE46" s="50"/>
      <c r="EF46" s="50"/>
      <c r="EG46" s="50"/>
      <c r="EH46" s="50"/>
      <c r="EI46" s="50"/>
      <c r="EJ46" s="50"/>
      <c r="EK46" s="50"/>
      <c r="EL46" s="50"/>
      <c r="EM46" s="50"/>
      <c r="EN46" s="50"/>
      <c r="EO46" s="50"/>
      <c r="EP46" s="590">
        <f>Skills!AX8</f>
        <v>33</v>
      </c>
      <c r="EQ46" s="591"/>
      <c r="ER46" s="591"/>
      <c r="ES46" s="591"/>
      <c r="ET46" s="591"/>
      <c r="EU46" s="591"/>
      <c r="EV46" s="588"/>
      <c r="EW46" s="588"/>
      <c r="EX46" s="588"/>
      <c r="EY46" s="588"/>
      <c r="EZ46" s="60"/>
      <c r="FA46" s="50"/>
      <c r="FB46" s="51"/>
      <c r="FH46" s="482"/>
      <c r="FI46" s="483"/>
      <c r="FJ46" s="483"/>
      <c r="FK46" s="483"/>
      <c r="FL46" s="483"/>
      <c r="FM46" s="483"/>
      <c r="FN46" s="483"/>
      <c r="FO46" s="483"/>
      <c r="FP46" s="483"/>
      <c r="FQ46" s="483"/>
      <c r="FR46" s="483"/>
      <c r="FS46" s="483"/>
      <c r="FT46" s="483"/>
      <c r="FU46" s="483"/>
      <c r="FV46" s="483"/>
      <c r="FW46" s="483"/>
      <c r="FX46" s="483"/>
      <c r="FY46" s="483"/>
      <c r="FZ46" s="483"/>
      <c r="GA46" s="483"/>
      <c r="GB46" s="483"/>
      <c r="GC46" s="483"/>
      <c r="GD46" s="483"/>
      <c r="GE46" s="483"/>
      <c r="GF46" s="483"/>
      <c r="GG46" s="483"/>
      <c r="GH46" s="483"/>
      <c r="GI46" s="483"/>
      <c r="GJ46" s="483"/>
      <c r="GK46" s="483"/>
      <c r="GL46" s="483"/>
      <c r="GM46" s="483"/>
      <c r="GN46" s="483"/>
      <c r="GO46" s="483"/>
      <c r="GP46" s="483"/>
      <c r="GQ46" s="483"/>
      <c r="GR46" s="483"/>
      <c r="GS46" s="483"/>
      <c r="GT46" s="483"/>
      <c r="GU46" s="483"/>
      <c r="GV46" s="483"/>
      <c r="GW46" s="483"/>
      <c r="GX46" s="483"/>
      <c r="GY46" s="483"/>
      <c r="GZ46" s="483"/>
      <c r="HA46" s="483"/>
      <c r="HB46" s="483"/>
      <c r="HC46" s="483"/>
      <c r="HD46" s="483"/>
      <c r="HE46" s="485"/>
    </row>
    <row r="47" spans="1:213" ht="9" customHeight="1" thickTop="1">
      <c r="A47" s="49"/>
      <c r="B47" s="84"/>
      <c r="C47" s="50"/>
      <c r="D47" s="80"/>
      <c r="E47" s="80"/>
      <c r="F47" s="95"/>
      <c r="G47" s="93"/>
      <c r="H47" s="93"/>
      <c r="I47" s="93"/>
      <c r="J47" s="93"/>
      <c r="K47" s="93"/>
      <c r="L47" s="93"/>
      <c r="M47" s="93"/>
      <c r="N47" s="93"/>
      <c r="O47" s="93"/>
      <c r="P47" s="93"/>
      <c r="Q47" s="93"/>
      <c r="R47" s="93"/>
      <c r="S47" s="93"/>
      <c r="T47" s="93"/>
      <c r="U47" s="93"/>
      <c r="V47" s="93"/>
      <c r="W47" s="93"/>
      <c r="X47" s="93"/>
      <c r="Y47" s="90"/>
      <c r="Z47" s="100"/>
      <c r="AA47" s="90"/>
      <c r="AB47" s="90"/>
      <c r="AC47" s="90"/>
      <c r="AD47" s="90"/>
      <c r="AE47" s="90"/>
      <c r="AF47" s="98"/>
      <c r="AG47" s="50"/>
      <c r="AH47" s="50"/>
      <c r="AI47" s="84"/>
      <c r="AJ47" s="50"/>
      <c r="AK47" s="50"/>
      <c r="AL47" s="105"/>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108"/>
      <c r="BT47" s="559"/>
      <c r="BU47" s="559"/>
      <c r="BV47" s="559"/>
      <c r="BW47" s="559"/>
      <c r="BX47" s="559"/>
      <c r="BY47" s="559"/>
      <c r="BZ47" s="559"/>
      <c r="CA47" s="50"/>
      <c r="CB47" s="50"/>
      <c r="CC47" s="50"/>
      <c r="CD47" s="560"/>
      <c r="CE47" s="560"/>
      <c r="CF47" s="560"/>
      <c r="CG47" s="560"/>
      <c r="CH47" s="560"/>
      <c r="CI47" s="560"/>
      <c r="CJ47" s="560"/>
      <c r="CK47" s="50"/>
      <c r="CL47" s="50"/>
      <c r="CM47" s="50"/>
      <c r="CN47" s="559"/>
      <c r="CO47" s="559"/>
      <c r="CP47" s="559"/>
      <c r="CQ47" s="559"/>
      <c r="CR47" s="559"/>
      <c r="CS47" s="559"/>
      <c r="CT47" s="559"/>
      <c r="CU47" s="50"/>
      <c r="CV47" s="50"/>
      <c r="CW47" s="105"/>
      <c r="CX47" s="50"/>
      <c r="CY47" s="112"/>
      <c r="CZ47" s="57"/>
      <c r="DA47" s="50"/>
      <c r="DB47" s="50"/>
      <c r="DC47" s="60"/>
      <c r="DD47" s="50"/>
      <c r="DE47" s="89"/>
      <c r="DF47" s="89"/>
      <c r="DG47" s="89"/>
      <c r="DH47" s="89"/>
      <c r="DI47" s="89"/>
      <c r="DJ47" s="89"/>
      <c r="DK47" s="89"/>
      <c r="DL47" s="89"/>
      <c r="DM47" s="89"/>
      <c r="DN47" s="50"/>
      <c r="DO47" s="56"/>
      <c r="DP47" s="562" t="s">
        <v>576</v>
      </c>
      <c r="DQ47" s="563"/>
      <c r="DR47" s="563"/>
      <c r="DS47" s="563"/>
      <c r="DT47" s="563"/>
      <c r="DU47" s="563"/>
      <c r="DV47" s="563"/>
      <c r="DW47" s="563"/>
      <c r="DX47" s="563"/>
      <c r="DY47" s="563"/>
      <c r="DZ47" s="563"/>
      <c r="EA47" s="563"/>
      <c r="EB47" s="563"/>
      <c r="EC47" s="563"/>
      <c r="ED47" s="563"/>
      <c r="EE47" s="563"/>
      <c r="EF47" s="563"/>
      <c r="EG47" s="563"/>
      <c r="EH47" s="563"/>
      <c r="EI47" s="563"/>
      <c r="EJ47" s="563"/>
      <c r="EK47" s="563"/>
      <c r="EL47" s="563"/>
      <c r="EM47" s="563"/>
      <c r="EN47" s="563"/>
      <c r="EO47" s="564"/>
      <c r="EP47" s="592"/>
      <c r="EQ47" s="553"/>
      <c r="ER47" s="553"/>
      <c r="ES47" s="553"/>
      <c r="ET47" s="553"/>
      <c r="EU47" s="553"/>
      <c r="EV47" s="589"/>
      <c r="EW47" s="589"/>
      <c r="EX47" s="589"/>
      <c r="EY47" s="589"/>
      <c r="EZ47" s="60"/>
      <c r="FA47" s="50"/>
      <c r="FB47" s="51"/>
      <c r="FH47" s="482"/>
      <c r="FI47" s="483"/>
      <c r="FJ47" s="483"/>
      <c r="FK47" s="483"/>
      <c r="FL47" s="483"/>
      <c r="FM47" s="483"/>
      <c r="FN47" s="483"/>
      <c r="FO47" s="483"/>
      <c r="FP47" s="483"/>
      <c r="FQ47" s="483"/>
      <c r="FR47" s="483"/>
      <c r="FS47" s="483"/>
      <c r="FT47" s="483"/>
      <c r="FU47" s="483"/>
      <c r="FV47" s="483"/>
      <c r="FW47" s="483"/>
      <c r="FX47" s="483"/>
      <c r="FY47" s="483"/>
      <c r="FZ47" s="483"/>
      <c r="GA47" s="483"/>
      <c r="GB47" s="483"/>
      <c r="GC47" s="483"/>
      <c r="GD47" s="483"/>
      <c r="GE47" s="483"/>
      <c r="GF47" s="483"/>
      <c r="GG47" s="483"/>
      <c r="GH47" s="483"/>
      <c r="GI47" s="483"/>
      <c r="GJ47" s="483"/>
      <c r="GK47" s="483"/>
      <c r="GL47" s="483"/>
      <c r="GM47" s="483"/>
      <c r="GN47" s="483"/>
      <c r="GO47" s="483"/>
      <c r="GP47" s="483"/>
      <c r="GQ47" s="483"/>
      <c r="GR47" s="483"/>
      <c r="GS47" s="483"/>
      <c r="GT47" s="483"/>
      <c r="GU47" s="483"/>
      <c r="GV47" s="483"/>
      <c r="GW47" s="483"/>
      <c r="GX47" s="483"/>
      <c r="GY47" s="483"/>
      <c r="GZ47" s="483"/>
      <c r="HA47" s="483"/>
      <c r="HB47" s="483"/>
      <c r="HC47" s="483"/>
      <c r="HD47" s="483"/>
      <c r="HE47" s="485"/>
    </row>
    <row r="48" spans="1:213" ht="9" customHeight="1">
      <c r="A48" s="49"/>
      <c r="B48" s="84"/>
      <c r="C48" s="50"/>
      <c r="D48" s="80"/>
      <c r="E48" s="80"/>
      <c r="F48" s="92"/>
      <c r="G48" s="551" t="s">
        <v>582</v>
      </c>
      <c r="H48" s="551"/>
      <c r="I48" s="551"/>
      <c r="J48" s="551"/>
      <c r="K48" s="551"/>
      <c r="L48" s="551"/>
      <c r="M48" s="551"/>
      <c r="N48" s="551"/>
      <c r="O48" s="551"/>
      <c r="P48" s="551"/>
      <c r="Q48" s="551"/>
      <c r="R48" s="551"/>
      <c r="S48" s="551"/>
      <c r="T48" s="551"/>
      <c r="U48" s="551"/>
      <c r="V48" s="551"/>
      <c r="W48" s="551"/>
      <c r="X48" s="551"/>
      <c r="Y48" s="551"/>
      <c r="Z48" s="56"/>
      <c r="AA48" s="551">
        <f>IF(Abilities!S10="","",Abilities!S10)</f>
        <v>1</v>
      </c>
      <c r="AB48" s="551"/>
      <c r="AC48" s="551"/>
      <c r="AD48" s="551"/>
      <c r="AE48" s="551"/>
      <c r="AF48" s="97"/>
      <c r="AG48" s="50"/>
      <c r="AH48" s="50"/>
      <c r="AI48" s="84"/>
      <c r="AJ48" s="50"/>
      <c r="AK48" s="50"/>
      <c r="AL48" s="105"/>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108"/>
      <c r="BT48" s="559"/>
      <c r="BU48" s="559"/>
      <c r="BV48" s="559"/>
      <c r="BW48" s="559"/>
      <c r="BX48" s="559"/>
      <c r="BY48" s="559"/>
      <c r="BZ48" s="559"/>
      <c r="CA48" s="50"/>
      <c r="CB48" s="50"/>
      <c r="CC48" s="50"/>
      <c r="CD48" s="560"/>
      <c r="CE48" s="560"/>
      <c r="CF48" s="560"/>
      <c r="CG48" s="560"/>
      <c r="CH48" s="560"/>
      <c r="CI48" s="560"/>
      <c r="CJ48" s="560"/>
      <c r="CK48" s="50"/>
      <c r="CL48" s="50"/>
      <c r="CM48" s="50"/>
      <c r="CN48" s="559"/>
      <c r="CO48" s="559"/>
      <c r="CP48" s="559"/>
      <c r="CQ48" s="559"/>
      <c r="CR48" s="559"/>
      <c r="CS48" s="559"/>
      <c r="CT48" s="559"/>
      <c r="CU48" s="50"/>
      <c r="CV48" s="50"/>
      <c r="CW48" s="105"/>
      <c r="CX48" s="50"/>
      <c r="CY48" s="56"/>
      <c r="CZ48" s="57"/>
      <c r="DA48" s="57"/>
      <c r="DB48" s="50"/>
      <c r="DC48" s="60"/>
      <c r="DD48" s="50"/>
      <c r="DE48" s="50"/>
      <c r="DF48" s="50"/>
      <c r="DG48" s="50"/>
      <c r="DH48" s="50"/>
      <c r="DI48" s="50"/>
      <c r="DJ48" s="50"/>
      <c r="DK48" s="50"/>
      <c r="DL48" s="50"/>
      <c r="DM48" s="50"/>
      <c r="DN48" s="50"/>
      <c r="DO48" s="56"/>
      <c r="DP48" s="565"/>
      <c r="DQ48" s="566"/>
      <c r="DR48" s="566"/>
      <c r="DS48" s="566"/>
      <c r="DT48" s="566"/>
      <c r="DU48" s="566"/>
      <c r="DV48" s="566"/>
      <c r="DW48" s="566"/>
      <c r="DX48" s="566"/>
      <c r="DY48" s="566"/>
      <c r="DZ48" s="566"/>
      <c r="EA48" s="566"/>
      <c r="EB48" s="566"/>
      <c r="EC48" s="566"/>
      <c r="ED48" s="566"/>
      <c r="EE48" s="566"/>
      <c r="EF48" s="566"/>
      <c r="EG48" s="566"/>
      <c r="EH48" s="566"/>
      <c r="EI48" s="566"/>
      <c r="EJ48" s="566"/>
      <c r="EK48" s="566"/>
      <c r="EL48" s="566"/>
      <c r="EM48" s="566"/>
      <c r="EN48" s="566"/>
      <c r="EO48" s="567"/>
      <c r="EP48" s="592"/>
      <c r="EQ48" s="553"/>
      <c r="ER48" s="553"/>
      <c r="ES48" s="553"/>
      <c r="ET48" s="553"/>
      <c r="EU48" s="553"/>
      <c r="EV48" s="589"/>
      <c r="EW48" s="589"/>
      <c r="EX48" s="589"/>
      <c r="EY48" s="589"/>
      <c r="EZ48" s="60"/>
      <c r="FA48" s="50"/>
      <c r="FB48" s="51"/>
      <c r="FH48" s="482"/>
      <c r="FI48" s="483"/>
      <c r="FJ48" s="483"/>
      <c r="FK48" s="483"/>
      <c r="FL48" s="483"/>
      <c r="FM48" s="483"/>
      <c r="FN48" s="483"/>
      <c r="FO48" s="483"/>
      <c r="FP48" s="483"/>
      <c r="FQ48" s="483"/>
      <c r="FR48" s="483"/>
      <c r="FS48" s="483"/>
      <c r="FT48" s="483"/>
      <c r="FU48" s="483"/>
      <c r="FV48" s="483"/>
      <c r="FW48" s="483"/>
      <c r="FX48" s="483"/>
      <c r="FY48" s="483"/>
      <c r="FZ48" s="483"/>
      <c r="GA48" s="483"/>
      <c r="GB48" s="483"/>
      <c r="GC48" s="483"/>
      <c r="GD48" s="483"/>
      <c r="GE48" s="483"/>
      <c r="GF48" s="483"/>
      <c r="GG48" s="483"/>
      <c r="GH48" s="483"/>
      <c r="GI48" s="483"/>
      <c r="GJ48" s="483"/>
      <c r="GK48" s="483"/>
      <c r="GL48" s="483"/>
      <c r="GM48" s="483"/>
      <c r="GN48" s="483"/>
      <c r="GO48" s="483"/>
      <c r="GP48" s="483"/>
      <c r="GQ48" s="483"/>
      <c r="GR48" s="483"/>
      <c r="GS48" s="483"/>
      <c r="GT48" s="483"/>
      <c r="GU48" s="483"/>
      <c r="GV48" s="483"/>
      <c r="GW48" s="483"/>
      <c r="GX48" s="483"/>
      <c r="GY48" s="483"/>
      <c r="GZ48" s="483"/>
      <c r="HA48" s="483"/>
      <c r="HB48" s="483"/>
      <c r="HC48" s="483"/>
      <c r="HD48" s="483"/>
      <c r="HE48" s="485"/>
    </row>
    <row r="49" spans="1:214" ht="9" customHeight="1">
      <c r="A49" s="49"/>
      <c r="B49" s="84"/>
      <c r="C49" s="50"/>
      <c r="D49" s="80"/>
      <c r="E49" s="80"/>
      <c r="F49" s="92"/>
      <c r="G49" s="551"/>
      <c r="H49" s="551"/>
      <c r="I49" s="551"/>
      <c r="J49" s="551"/>
      <c r="K49" s="551"/>
      <c r="L49" s="551"/>
      <c r="M49" s="551"/>
      <c r="N49" s="551"/>
      <c r="O49" s="551"/>
      <c r="P49" s="551"/>
      <c r="Q49" s="551"/>
      <c r="R49" s="551"/>
      <c r="S49" s="551"/>
      <c r="T49" s="551"/>
      <c r="U49" s="551"/>
      <c r="V49" s="551"/>
      <c r="W49" s="551"/>
      <c r="X49" s="551"/>
      <c r="Y49" s="551"/>
      <c r="Z49" s="56"/>
      <c r="AA49" s="551"/>
      <c r="AB49" s="551"/>
      <c r="AC49" s="551"/>
      <c r="AD49" s="551"/>
      <c r="AE49" s="551"/>
      <c r="AF49" s="97"/>
      <c r="AG49" s="50"/>
      <c r="AH49" s="50"/>
      <c r="AI49" s="84"/>
      <c r="AJ49" s="50"/>
      <c r="AK49" s="50"/>
      <c r="AL49" s="105"/>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105"/>
      <c r="CX49" s="50"/>
      <c r="CY49" s="56"/>
      <c r="CZ49" s="50"/>
      <c r="DA49" s="57"/>
      <c r="DB49" s="57"/>
      <c r="DC49" s="60"/>
      <c r="DD49" s="50"/>
      <c r="DE49" s="84"/>
      <c r="DF49" s="84"/>
      <c r="DG49" s="84"/>
      <c r="DH49" s="84"/>
      <c r="DI49" s="84"/>
      <c r="DJ49" s="84"/>
      <c r="DK49" s="84"/>
      <c r="DL49" s="84"/>
      <c r="DM49" s="84"/>
      <c r="DN49" s="50"/>
      <c r="DO49" s="56"/>
      <c r="DP49" s="565"/>
      <c r="DQ49" s="566"/>
      <c r="DR49" s="566"/>
      <c r="DS49" s="566"/>
      <c r="DT49" s="566"/>
      <c r="DU49" s="566"/>
      <c r="DV49" s="566"/>
      <c r="DW49" s="566"/>
      <c r="DX49" s="566"/>
      <c r="DY49" s="566"/>
      <c r="DZ49" s="566"/>
      <c r="EA49" s="566"/>
      <c r="EB49" s="566"/>
      <c r="EC49" s="566"/>
      <c r="ED49" s="566"/>
      <c r="EE49" s="566"/>
      <c r="EF49" s="566"/>
      <c r="EG49" s="566"/>
      <c r="EH49" s="566"/>
      <c r="EI49" s="566"/>
      <c r="EJ49" s="566"/>
      <c r="EK49" s="566"/>
      <c r="EL49" s="566"/>
      <c r="EM49" s="566"/>
      <c r="EN49" s="566"/>
      <c r="EO49" s="567"/>
      <c r="EP49" s="592"/>
      <c r="EQ49" s="553"/>
      <c r="ER49" s="553"/>
      <c r="ES49" s="553"/>
      <c r="ET49" s="553"/>
      <c r="EU49" s="553"/>
      <c r="EV49" s="589"/>
      <c r="EW49" s="589"/>
      <c r="EX49" s="589"/>
      <c r="EY49" s="589"/>
      <c r="EZ49" s="60"/>
      <c r="FA49" s="50"/>
      <c r="FB49" s="51"/>
      <c r="FH49" s="516"/>
      <c r="FI49" s="517"/>
      <c r="FJ49" s="517"/>
      <c r="FK49" s="517"/>
      <c r="FL49" s="517"/>
      <c r="FM49" s="517"/>
      <c r="FN49" s="517"/>
      <c r="FO49" s="517"/>
      <c r="FP49" s="517"/>
      <c r="FQ49" s="517"/>
      <c r="FR49" s="517"/>
      <c r="FS49" s="517"/>
      <c r="FT49" s="517"/>
      <c r="FU49" s="517"/>
      <c r="FV49" s="517"/>
      <c r="FW49" s="517"/>
      <c r="FX49" s="517"/>
      <c r="FY49" s="517"/>
      <c r="FZ49" s="517"/>
      <c r="GA49" s="517"/>
      <c r="GB49" s="517"/>
      <c r="GC49" s="517"/>
      <c r="GD49" s="517"/>
      <c r="GE49" s="517"/>
      <c r="GF49" s="517"/>
      <c r="GG49" s="517"/>
      <c r="GH49" s="517"/>
      <c r="GI49" s="517"/>
      <c r="GJ49" s="517"/>
      <c r="GK49" s="517"/>
      <c r="GL49" s="517"/>
      <c r="GM49" s="517"/>
      <c r="GN49" s="517"/>
      <c r="GO49" s="517"/>
      <c r="GP49" s="517"/>
      <c r="GQ49" s="517"/>
      <c r="GR49" s="517"/>
      <c r="GS49" s="517"/>
      <c r="GT49" s="517"/>
      <c r="GU49" s="517"/>
      <c r="GV49" s="517"/>
      <c r="GW49" s="517"/>
      <c r="GX49" s="517"/>
      <c r="GY49" s="517"/>
      <c r="GZ49" s="517"/>
      <c r="HA49" s="517"/>
      <c r="HB49" s="517"/>
      <c r="HC49" s="517"/>
      <c r="HD49" s="517"/>
      <c r="HE49" s="522"/>
    </row>
    <row r="50" spans="1:214" ht="9" customHeight="1" thickBot="1">
      <c r="A50" s="49"/>
      <c r="B50" s="84"/>
      <c r="C50" s="50"/>
      <c r="D50" s="80"/>
      <c r="E50" s="80"/>
      <c r="F50" s="92"/>
      <c r="G50" s="551"/>
      <c r="H50" s="551"/>
      <c r="I50" s="551"/>
      <c r="J50" s="551"/>
      <c r="K50" s="551"/>
      <c r="L50" s="551"/>
      <c r="M50" s="551"/>
      <c r="N50" s="551"/>
      <c r="O50" s="551"/>
      <c r="P50" s="551"/>
      <c r="Q50" s="551"/>
      <c r="R50" s="551"/>
      <c r="S50" s="551"/>
      <c r="T50" s="551"/>
      <c r="U50" s="551"/>
      <c r="V50" s="551"/>
      <c r="W50" s="551"/>
      <c r="X50" s="551"/>
      <c r="Y50" s="551"/>
      <c r="Z50" s="56"/>
      <c r="AA50" s="551"/>
      <c r="AB50" s="551"/>
      <c r="AC50" s="551"/>
      <c r="AD50" s="551"/>
      <c r="AE50" s="551"/>
      <c r="AF50" s="97"/>
      <c r="AG50" s="50"/>
      <c r="AH50" s="50"/>
      <c r="AI50" s="84"/>
      <c r="AJ50" s="50"/>
      <c r="AK50" s="50"/>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105"/>
      <c r="CK50" s="105"/>
      <c r="CL50" s="105"/>
      <c r="CM50" s="105"/>
      <c r="CN50" s="105"/>
      <c r="CO50" s="105"/>
      <c r="CP50" s="105"/>
      <c r="CQ50" s="105"/>
      <c r="CR50" s="105"/>
      <c r="CS50" s="105"/>
      <c r="CT50" s="105"/>
      <c r="CU50" s="105"/>
      <c r="CV50" s="105"/>
      <c r="CW50" s="105"/>
      <c r="CX50" s="50"/>
      <c r="CY50" s="77"/>
      <c r="CZ50" s="61"/>
      <c r="DA50" s="61"/>
      <c r="DB50" s="113"/>
      <c r="DC50" s="111"/>
      <c r="DD50" s="50"/>
      <c r="DE50" s="50"/>
      <c r="DF50" s="50"/>
      <c r="DG50" s="50"/>
      <c r="DH50" s="50"/>
      <c r="DI50" s="50"/>
      <c r="DJ50" s="50"/>
      <c r="DK50" s="50"/>
      <c r="DL50" s="50"/>
      <c r="DM50" s="50"/>
      <c r="DN50" s="50"/>
      <c r="DO50" s="56"/>
      <c r="DP50" s="568"/>
      <c r="DQ50" s="569"/>
      <c r="DR50" s="569"/>
      <c r="DS50" s="569"/>
      <c r="DT50" s="569"/>
      <c r="DU50" s="569"/>
      <c r="DV50" s="569"/>
      <c r="DW50" s="569"/>
      <c r="DX50" s="569"/>
      <c r="DY50" s="569"/>
      <c r="DZ50" s="569"/>
      <c r="EA50" s="569"/>
      <c r="EB50" s="569"/>
      <c r="EC50" s="569"/>
      <c r="ED50" s="569"/>
      <c r="EE50" s="569"/>
      <c r="EF50" s="569"/>
      <c r="EG50" s="569"/>
      <c r="EH50" s="569"/>
      <c r="EI50" s="569"/>
      <c r="EJ50" s="569"/>
      <c r="EK50" s="569"/>
      <c r="EL50" s="569"/>
      <c r="EM50" s="569"/>
      <c r="EN50" s="569"/>
      <c r="EO50" s="570"/>
      <c r="EP50" s="592"/>
      <c r="EQ50" s="553"/>
      <c r="ER50" s="553"/>
      <c r="ES50" s="553"/>
      <c r="ET50" s="553"/>
      <c r="EU50" s="553"/>
      <c r="EV50" s="589"/>
      <c r="EW50" s="589"/>
      <c r="EX50" s="589"/>
      <c r="EY50" s="589"/>
      <c r="EZ50" s="60"/>
      <c r="FA50" s="50"/>
      <c r="FB50" s="51"/>
    </row>
    <row r="51" spans="1:214" ht="9" customHeight="1" thickTop="1" thickBot="1">
      <c r="A51" s="49"/>
      <c r="B51" s="84"/>
      <c r="C51" s="50"/>
      <c r="D51" s="80"/>
      <c r="E51" s="80"/>
      <c r="F51" s="96"/>
      <c r="G51" s="94"/>
      <c r="H51" s="94"/>
      <c r="I51" s="94"/>
      <c r="J51" s="94"/>
      <c r="K51" s="94"/>
      <c r="L51" s="94"/>
      <c r="M51" s="94"/>
      <c r="N51" s="94"/>
      <c r="O51" s="94"/>
      <c r="P51" s="94"/>
      <c r="Q51" s="94"/>
      <c r="R51" s="94"/>
      <c r="S51" s="94"/>
      <c r="T51" s="94"/>
      <c r="U51" s="94"/>
      <c r="V51" s="94"/>
      <c r="W51" s="94"/>
      <c r="X51" s="94"/>
      <c r="Y51" s="91"/>
      <c r="Z51" s="101"/>
      <c r="AA51" s="91"/>
      <c r="AB51" s="91"/>
      <c r="AC51" s="91"/>
      <c r="AD51" s="91"/>
      <c r="AE51" s="91"/>
      <c r="AF51" s="99"/>
      <c r="AG51" s="50"/>
      <c r="AH51" s="50"/>
      <c r="AI51" s="84"/>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105"/>
      <c r="DF51" s="105"/>
      <c r="DG51" s="105"/>
      <c r="DH51" s="105"/>
      <c r="DI51" s="105"/>
      <c r="DJ51" s="105"/>
      <c r="DK51" s="105"/>
      <c r="DL51" s="105"/>
      <c r="DM51" s="105"/>
      <c r="DN51" s="50"/>
      <c r="DO51" s="56"/>
      <c r="DP51" s="50"/>
      <c r="DQ51" s="89"/>
      <c r="DR51" s="50"/>
      <c r="DS51" s="50"/>
      <c r="DT51" s="50"/>
      <c r="DU51" s="50"/>
      <c r="DV51" s="50"/>
      <c r="DW51" s="50"/>
      <c r="DX51" s="50"/>
      <c r="DY51" s="50"/>
      <c r="DZ51" s="50"/>
      <c r="EA51" s="50"/>
      <c r="EB51" s="50"/>
      <c r="EC51" s="50"/>
      <c r="ED51" s="50"/>
      <c r="EE51" s="50"/>
      <c r="EF51" s="50"/>
      <c r="EG51" s="50"/>
      <c r="EH51" s="50"/>
      <c r="EI51" s="50"/>
      <c r="EJ51" s="50"/>
      <c r="EK51" s="50"/>
      <c r="EL51" s="50"/>
      <c r="EM51" s="50"/>
      <c r="EN51" s="50"/>
      <c r="EO51" s="50"/>
      <c r="EP51" s="593"/>
      <c r="EQ51" s="594"/>
      <c r="ER51" s="594"/>
      <c r="ES51" s="594"/>
      <c r="ET51" s="594"/>
      <c r="EU51" s="594"/>
      <c r="EV51" s="589"/>
      <c r="EW51" s="589"/>
      <c r="EX51" s="589"/>
      <c r="EY51" s="589"/>
      <c r="EZ51" s="60"/>
      <c r="FA51" s="50"/>
      <c r="FB51" s="51"/>
    </row>
    <row r="52" spans="1:214" ht="9" customHeight="1" thickTop="1" thickBot="1">
      <c r="A52" s="49"/>
      <c r="B52" s="84"/>
      <c r="C52" s="50"/>
      <c r="D52" s="80"/>
      <c r="E52" s="80"/>
      <c r="F52" s="80"/>
      <c r="G52" s="80"/>
      <c r="H52" s="50"/>
      <c r="I52" s="81"/>
      <c r="J52" s="81"/>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84"/>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c r="DL52"/>
      <c r="DM52"/>
      <c r="DN52" s="50"/>
      <c r="DO52" s="56"/>
      <c r="DP52" s="50"/>
      <c r="DQ52" s="89"/>
      <c r="DR52" s="50"/>
      <c r="DS52" s="50"/>
      <c r="DT52" s="50"/>
      <c r="DU52" s="50"/>
      <c r="DV52" s="50"/>
      <c r="DW52" s="50"/>
      <c r="DX52" s="50"/>
      <c r="DY52" s="50"/>
      <c r="DZ52" s="50"/>
      <c r="EA52" s="50"/>
      <c r="EB52" s="50"/>
      <c r="EC52" s="50"/>
      <c r="ED52" s="50"/>
      <c r="EE52" s="50"/>
      <c r="EF52" s="50"/>
      <c r="EG52" s="50"/>
      <c r="EH52" s="50"/>
      <c r="EI52" s="50"/>
      <c r="EJ52" s="50"/>
      <c r="EK52" s="50"/>
      <c r="EL52" s="50"/>
      <c r="EM52" s="50"/>
      <c r="EN52" s="50"/>
      <c r="EO52" s="50"/>
      <c r="EP52" s="50"/>
      <c r="EQ52" s="50"/>
      <c r="ER52" s="50"/>
      <c r="ES52" s="50"/>
      <c r="ET52" s="50"/>
      <c r="EU52" s="50"/>
      <c r="EV52" s="50"/>
      <c r="EW52" s="50"/>
      <c r="EX52" s="50"/>
      <c r="EY52" s="50"/>
      <c r="EZ52" s="60"/>
      <c r="FA52" s="50"/>
      <c r="FB52" s="51"/>
    </row>
    <row r="53" spans="1:214" ht="9" customHeight="1" thickTop="1" thickBot="1">
      <c r="A53" s="49"/>
      <c r="B53" s="84"/>
      <c r="C53" s="50"/>
      <c r="D53" s="80"/>
      <c r="E53" s="80"/>
      <c r="F53" s="80"/>
      <c r="G53" s="80"/>
      <c r="H53" s="50"/>
      <c r="I53" s="81"/>
      <c r="J53" s="81"/>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84"/>
      <c r="AJ53" s="50"/>
      <c r="AK53" s="50"/>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114"/>
      <c r="DL53" s="114"/>
      <c r="DM53"/>
      <c r="DN53" s="50"/>
      <c r="DO53" s="56"/>
      <c r="DP53" s="50"/>
      <c r="DQ53" s="89"/>
      <c r="DR53" s="50"/>
      <c r="DS53" s="50"/>
      <c r="DT53" s="50"/>
      <c r="DU53" s="50"/>
      <c r="DV53" s="50"/>
      <c r="DW53" s="50"/>
      <c r="DX53" s="50"/>
      <c r="DY53" s="50"/>
      <c r="DZ53" s="50"/>
      <c r="EA53" s="50"/>
      <c r="EB53" s="50"/>
      <c r="EC53" s="50"/>
      <c r="ED53" s="50"/>
      <c r="EE53" s="50"/>
      <c r="EF53" s="50"/>
      <c r="EG53" s="50"/>
      <c r="EH53" s="50"/>
      <c r="EI53" s="50"/>
      <c r="EJ53" s="50"/>
      <c r="EK53" s="50"/>
      <c r="EL53" s="50"/>
      <c r="EM53" s="50"/>
      <c r="EN53" s="50"/>
      <c r="EO53" s="50"/>
      <c r="EP53" s="590">
        <f>Abilities!BF7</f>
        <v>31</v>
      </c>
      <c r="EQ53" s="591"/>
      <c r="ER53" s="591"/>
      <c r="ES53" s="591"/>
      <c r="ET53" s="591"/>
      <c r="EU53" s="591"/>
      <c r="EV53" s="588"/>
      <c r="EW53" s="588"/>
      <c r="EX53" s="588"/>
      <c r="EY53" s="588"/>
      <c r="EZ53" s="60"/>
      <c r="FA53" s="50"/>
      <c r="FB53" s="51"/>
    </row>
    <row r="54" spans="1:214" ht="9" customHeight="1" thickTop="1">
      <c r="A54" s="49"/>
      <c r="B54" s="84"/>
      <c r="C54" s="50"/>
      <c r="D54" s="80"/>
      <c r="E54" s="80"/>
      <c r="F54" s="95"/>
      <c r="G54" s="93"/>
      <c r="H54" s="93"/>
      <c r="I54" s="93"/>
      <c r="J54" s="93"/>
      <c r="K54" s="93"/>
      <c r="L54" s="93"/>
      <c r="M54" s="93"/>
      <c r="N54" s="93"/>
      <c r="O54" s="93"/>
      <c r="P54" s="93"/>
      <c r="Q54" s="93"/>
      <c r="R54" s="93"/>
      <c r="S54" s="93"/>
      <c r="T54" s="93"/>
      <c r="U54" s="93"/>
      <c r="V54" s="93"/>
      <c r="W54" s="93"/>
      <c r="X54" s="93"/>
      <c r="Y54" s="90"/>
      <c r="Z54" s="100"/>
      <c r="AA54" s="90"/>
      <c r="AB54" s="90"/>
      <c r="AC54" s="90"/>
      <c r="AD54" s="90"/>
      <c r="AE54" s="90"/>
      <c r="AF54" s="98"/>
      <c r="AG54" s="50"/>
      <c r="AH54" s="50"/>
      <c r="AI54" s="84"/>
      <c r="AJ54" s="50"/>
      <c r="AK54" s="50"/>
      <c r="AL54" s="87"/>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c r="DF54" s="50"/>
      <c r="DG54" s="50"/>
      <c r="DH54" s="50"/>
      <c r="DI54" s="50"/>
      <c r="DJ54" s="50"/>
      <c r="DK54"/>
      <c r="DL54" s="114"/>
      <c r="DM54"/>
      <c r="DN54" s="50"/>
      <c r="DO54" s="56"/>
      <c r="DP54" s="571" t="s">
        <v>577</v>
      </c>
      <c r="DQ54" s="572"/>
      <c r="DR54" s="572"/>
      <c r="DS54" s="572"/>
      <c r="DT54" s="572"/>
      <c r="DU54" s="572"/>
      <c r="DV54" s="572"/>
      <c r="DW54" s="572"/>
      <c r="DX54" s="572"/>
      <c r="DY54" s="572"/>
      <c r="DZ54" s="572"/>
      <c r="EA54" s="572"/>
      <c r="EB54" s="572"/>
      <c r="EC54" s="572"/>
      <c r="ED54" s="572"/>
      <c r="EE54" s="572"/>
      <c r="EF54" s="572"/>
      <c r="EG54" s="572"/>
      <c r="EH54" s="572"/>
      <c r="EI54" s="572"/>
      <c r="EJ54" s="572"/>
      <c r="EK54" s="572"/>
      <c r="EL54" s="572"/>
      <c r="EM54" s="572"/>
      <c r="EN54" s="572"/>
      <c r="EO54" s="573"/>
      <c r="EP54" s="592"/>
      <c r="EQ54" s="553"/>
      <c r="ER54" s="553"/>
      <c r="ES54" s="553"/>
      <c r="ET54" s="553"/>
      <c r="EU54" s="553"/>
      <c r="EV54" s="589"/>
      <c r="EW54" s="589"/>
      <c r="EX54" s="589"/>
      <c r="EY54" s="589"/>
      <c r="EZ54" s="60"/>
      <c r="FA54" s="50"/>
      <c r="FB54" s="51"/>
    </row>
    <row r="55" spans="1:214" ht="9" customHeight="1">
      <c r="A55" s="49"/>
      <c r="B55" s="84"/>
      <c r="C55" s="50"/>
      <c r="D55" s="80"/>
      <c r="E55" s="80"/>
      <c r="F55" s="92"/>
      <c r="G55" s="551" t="s">
        <v>583</v>
      </c>
      <c r="H55" s="551"/>
      <c r="I55" s="551"/>
      <c r="J55" s="551"/>
      <c r="K55" s="551"/>
      <c r="L55" s="551"/>
      <c r="M55" s="551"/>
      <c r="N55" s="551"/>
      <c r="O55" s="551"/>
      <c r="P55" s="551"/>
      <c r="Q55" s="551"/>
      <c r="R55" s="551"/>
      <c r="S55" s="551"/>
      <c r="T55" s="551"/>
      <c r="U55" s="551"/>
      <c r="V55" s="551"/>
      <c r="W55" s="551"/>
      <c r="X55" s="551"/>
      <c r="Y55" s="551"/>
      <c r="Z55" s="56"/>
      <c r="AA55" s="551">
        <f>IF(Abilities!S11="","",Abilities!S11)</f>
        <v>2</v>
      </c>
      <c r="AB55" s="551"/>
      <c r="AC55" s="551"/>
      <c r="AD55" s="551"/>
      <c r="AE55" s="551"/>
      <c r="AF55" s="97"/>
      <c r="AG55" s="50"/>
      <c r="AH55" s="50"/>
      <c r="AI55" s="84"/>
      <c r="AJ55" s="50"/>
      <c r="AK55" s="50"/>
      <c r="AL55" s="87"/>
      <c r="AM55" s="50"/>
      <c r="AN55" s="551" t="s">
        <v>611</v>
      </c>
      <c r="AO55" s="551"/>
      <c r="AP55" s="551"/>
      <c r="AQ55" s="551"/>
      <c r="AR55" s="551"/>
      <c r="AS55" s="551"/>
      <c r="AT55" s="551"/>
      <c r="AU55" s="551"/>
      <c r="AV55" s="551"/>
      <c r="AW55" s="551"/>
      <c r="AX55" s="551"/>
      <c r="AY55" s="551"/>
      <c r="AZ55" s="551"/>
      <c r="BA55" s="551"/>
      <c r="BB55" s="551"/>
      <c r="BC55" s="551"/>
      <c r="BD55" s="551"/>
      <c r="BE55" s="551"/>
      <c r="BF55" s="551"/>
      <c r="BG55" s="50"/>
      <c r="BH55" s="50"/>
      <c r="BI55" s="50"/>
      <c r="BJ55" s="50"/>
      <c r="BK55" s="50"/>
      <c r="BL55" s="50"/>
      <c r="BM55" s="50"/>
      <c r="BN55" s="50"/>
      <c r="BO55" s="50"/>
      <c r="BP55" s="50"/>
      <c r="BQ55" s="50"/>
      <c r="BR55" s="50"/>
      <c r="BS55" s="561" t="s">
        <v>612</v>
      </c>
      <c r="BT55" s="561"/>
      <c r="BU55" s="561"/>
      <c r="BV55" s="561"/>
      <c r="BW55" s="561"/>
      <c r="BX55" s="561"/>
      <c r="BY55" s="561"/>
      <c r="BZ55" s="561"/>
      <c r="CA55" s="561"/>
      <c r="CB55" s="561"/>
      <c r="CC55" s="561" t="s">
        <v>613</v>
      </c>
      <c r="CD55" s="561"/>
      <c r="CE55" s="561"/>
      <c r="CF55" s="561"/>
      <c r="CG55" s="561"/>
      <c r="CH55" s="561"/>
      <c r="CI55" s="561"/>
      <c r="CJ55" s="561"/>
      <c r="CK55" s="561"/>
      <c r="CL55" s="561"/>
      <c r="CM55" s="50"/>
      <c r="CN55" s="558" t="s">
        <v>614</v>
      </c>
      <c r="CO55" s="558"/>
      <c r="CP55" s="558"/>
      <c r="CQ55" s="558"/>
      <c r="CR55" s="558"/>
      <c r="CS55" s="558"/>
      <c r="CT55" s="558"/>
      <c r="CU55" s="558"/>
      <c r="CV55" s="558"/>
      <c r="CW55" s="558"/>
      <c r="CX55" s="50"/>
      <c r="CY55" s="50"/>
      <c r="CZ55" s="50"/>
      <c r="DA55" s="50"/>
      <c r="DB55" s="50"/>
      <c r="DC55" s="50"/>
      <c r="DD55" s="50"/>
      <c r="DE55" s="50"/>
      <c r="DF55" s="50"/>
      <c r="DG55" s="50"/>
      <c r="DH55" s="50"/>
      <c r="DI55" s="50"/>
      <c r="DJ55" s="50"/>
      <c r="DK55" s="50"/>
      <c r="DL55" s="87"/>
      <c r="DM55" s="50"/>
      <c r="DN55" s="50"/>
      <c r="DO55" s="56"/>
      <c r="DP55" s="574"/>
      <c r="DQ55" s="575"/>
      <c r="DR55" s="575"/>
      <c r="DS55" s="575"/>
      <c r="DT55" s="575"/>
      <c r="DU55" s="575"/>
      <c r="DV55" s="575"/>
      <c r="DW55" s="575"/>
      <c r="DX55" s="575"/>
      <c r="DY55" s="575"/>
      <c r="DZ55" s="575"/>
      <c r="EA55" s="575"/>
      <c r="EB55" s="575"/>
      <c r="EC55" s="575"/>
      <c r="ED55" s="575"/>
      <c r="EE55" s="575"/>
      <c r="EF55" s="575"/>
      <c r="EG55" s="575"/>
      <c r="EH55" s="575"/>
      <c r="EI55" s="575"/>
      <c r="EJ55" s="575"/>
      <c r="EK55" s="575"/>
      <c r="EL55" s="575"/>
      <c r="EM55" s="575"/>
      <c r="EN55" s="575"/>
      <c r="EO55" s="576"/>
      <c r="EP55" s="592"/>
      <c r="EQ55" s="553"/>
      <c r="ER55" s="553"/>
      <c r="ES55" s="553"/>
      <c r="ET55" s="553"/>
      <c r="EU55" s="553"/>
      <c r="EV55" s="589"/>
      <c r="EW55" s="589"/>
      <c r="EX55" s="589"/>
      <c r="EY55" s="589"/>
      <c r="EZ55" s="60"/>
      <c r="FA55" s="50"/>
      <c r="FB55" s="51"/>
    </row>
    <row r="56" spans="1:214" ht="9" customHeight="1">
      <c r="A56" s="49"/>
      <c r="B56" s="84"/>
      <c r="C56" s="50"/>
      <c r="D56" s="80"/>
      <c r="E56" s="80"/>
      <c r="F56" s="92"/>
      <c r="G56" s="551"/>
      <c r="H56" s="551"/>
      <c r="I56" s="551"/>
      <c r="J56" s="551"/>
      <c r="K56" s="551"/>
      <c r="L56" s="551"/>
      <c r="M56" s="551"/>
      <c r="N56" s="551"/>
      <c r="O56" s="551"/>
      <c r="P56" s="551"/>
      <c r="Q56" s="551"/>
      <c r="R56" s="551"/>
      <c r="S56" s="551"/>
      <c r="T56" s="551"/>
      <c r="U56" s="551"/>
      <c r="V56" s="551"/>
      <c r="W56" s="551"/>
      <c r="X56" s="551"/>
      <c r="Y56" s="551"/>
      <c r="Z56" s="56"/>
      <c r="AA56" s="551"/>
      <c r="AB56" s="551"/>
      <c r="AC56" s="551"/>
      <c r="AD56" s="551"/>
      <c r="AE56" s="551"/>
      <c r="AF56" s="97"/>
      <c r="AG56" s="50"/>
      <c r="AH56" s="50"/>
      <c r="AI56" s="84"/>
      <c r="AJ56" s="50"/>
      <c r="AK56" s="50"/>
      <c r="AL56" s="87"/>
      <c r="AM56" s="50"/>
      <c r="AN56" s="551"/>
      <c r="AO56" s="551"/>
      <c r="AP56" s="551"/>
      <c r="AQ56" s="551"/>
      <c r="AR56" s="551"/>
      <c r="AS56" s="551"/>
      <c r="AT56" s="551"/>
      <c r="AU56" s="551"/>
      <c r="AV56" s="551"/>
      <c r="AW56" s="551"/>
      <c r="AX56" s="551"/>
      <c r="AY56" s="551"/>
      <c r="AZ56" s="551"/>
      <c r="BA56" s="551"/>
      <c r="BB56" s="551"/>
      <c r="BC56" s="551"/>
      <c r="BD56" s="551"/>
      <c r="BE56" s="551"/>
      <c r="BF56" s="551"/>
      <c r="BG56" s="50"/>
      <c r="BH56" s="50"/>
      <c r="BI56" s="50"/>
      <c r="BJ56" s="50"/>
      <c r="BK56" s="50"/>
      <c r="BL56" s="50"/>
      <c r="BM56" s="50"/>
      <c r="BN56" s="50"/>
      <c r="BO56" s="50"/>
      <c r="BP56" s="50"/>
      <c r="BQ56" s="50"/>
      <c r="BR56" s="50"/>
      <c r="BS56" s="561"/>
      <c r="BT56" s="561"/>
      <c r="BU56" s="561"/>
      <c r="BV56" s="561"/>
      <c r="BW56" s="561"/>
      <c r="BX56" s="561"/>
      <c r="BY56" s="561"/>
      <c r="BZ56" s="561"/>
      <c r="CA56" s="561"/>
      <c r="CB56" s="561"/>
      <c r="CC56" s="561"/>
      <c r="CD56" s="561"/>
      <c r="CE56" s="561"/>
      <c r="CF56" s="561"/>
      <c r="CG56" s="561"/>
      <c r="CH56" s="561"/>
      <c r="CI56" s="561"/>
      <c r="CJ56" s="561"/>
      <c r="CK56" s="561"/>
      <c r="CL56" s="561"/>
      <c r="CM56" s="50"/>
      <c r="CN56" s="558"/>
      <c r="CO56" s="558"/>
      <c r="CP56" s="558"/>
      <c r="CQ56" s="558"/>
      <c r="CR56" s="558"/>
      <c r="CS56" s="558"/>
      <c r="CT56" s="558"/>
      <c r="CU56" s="558"/>
      <c r="CV56" s="558"/>
      <c r="CW56" s="558"/>
      <c r="CX56" s="50"/>
      <c r="CY56" s="50"/>
      <c r="CZ56" s="50"/>
      <c r="DA56" s="50"/>
      <c r="DB56" s="50"/>
      <c r="DC56" s="50"/>
      <c r="DD56" s="50"/>
      <c r="DE56" s="50"/>
      <c r="DF56" s="50"/>
      <c r="DG56" s="50"/>
      <c r="DH56" s="50"/>
      <c r="DI56" s="50"/>
      <c r="DJ56" s="50"/>
      <c r="DK56" s="50"/>
      <c r="DL56" s="87"/>
      <c r="DM56" s="50"/>
      <c r="DN56" s="50"/>
      <c r="DO56" s="56"/>
      <c r="DP56" s="574"/>
      <c r="DQ56" s="575"/>
      <c r="DR56" s="575"/>
      <c r="DS56" s="575"/>
      <c r="DT56" s="575"/>
      <c r="DU56" s="575"/>
      <c r="DV56" s="575"/>
      <c r="DW56" s="575"/>
      <c r="DX56" s="575"/>
      <c r="DY56" s="575"/>
      <c r="DZ56" s="575"/>
      <c r="EA56" s="575"/>
      <c r="EB56" s="575"/>
      <c r="EC56" s="575"/>
      <c r="ED56" s="575"/>
      <c r="EE56" s="575"/>
      <c r="EF56" s="575"/>
      <c r="EG56" s="575"/>
      <c r="EH56" s="575"/>
      <c r="EI56" s="575"/>
      <c r="EJ56" s="575"/>
      <c r="EK56" s="575"/>
      <c r="EL56" s="575"/>
      <c r="EM56" s="575"/>
      <c r="EN56" s="575"/>
      <c r="EO56" s="576"/>
      <c r="EP56" s="592"/>
      <c r="EQ56" s="553"/>
      <c r="ER56" s="553"/>
      <c r="ES56" s="553"/>
      <c r="ET56" s="553"/>
      <c r="EU56" s="553"/>
      <c r="EV56" s="589"/>
      <c r="EW56" s="589"/>
      <c r="EX56" s="589"/>
      <c r="EY56" s="589"/>
      <c r="EZ56" s="60"/>
      <c r="FA56" s="50"/>
      <c r="FB56" s="51"/>
    </row>
    <row r="57" spans="1:214" ht="9" customHeight="1" thickBot="1">
      <c r="A57" s="49"/>
      <c r="B57" s="84"/>
      <c r="C57" s="50"/>
      <c r="D57" s="80"/>
      <c r="E57" s="80"/>
      <c r="F57" s="92"/>
      <c r="G57" s="551"/>
      <c r="H57" s="551"/>
      <c r="I57" s="551"/>
      <c r="J57" s="551"/>
      <c r="K57" s="551"/>
      <c r="L57" s="551"/>
      <c r="M57" s="551"/>
      <c r="N57" s="551"/>
      <c r="O57" s="551"/>
      <c r="P57" s="551"/>
      <c r="Q57" s="551"/>
      <c r="R57" s="551"/>
      <c r="S57" s="551"/>
      <c r="T57" s="551"/>
      <c r="U57" s="551"/>
      <c r="V57" s="551"/>
      <c r="W57" s="551"/>
      <c r="X57" s="551"/>
      <c r="Y57" s="551"/>
      <c r="Z57" s="56"/>
      <c r="AA57" s="551"/>
      <c r="AB57" s="551"/>
      <c r="AC57" s="551"/>
      <c r="AD57" s="551"/>
      <c r="AE57" s="551"/>
      <c r="AF57" s="97"/>
      <c r="AG57" s="50"/>
      <c r="AH57" s="50"/>
      <c r="AI57" s="84"/>
      <c r="AJ57" s="50"/>
      <c r="AK57" s="50"/>
      <c r="AL57" s="87"/>
      <c r="AM57" s="50"/>
      <c r="AN57" s="551"/>
      <c r="AO57" s="551"/>
      <c r="AP57" s="551"/>
      <c r="AQ57" s="551"/>
      <c r="AR57" s="551"/>
      <c r="AS57" s="551"/>
      <c r="AT57" s="551"/>
      <c r="AU57" s="551"/>
      <c r="AV57" s="551"/>
      <c r="AW57" s="551"/>
      <c r="AX57" s="551"/>
      <c r="AY57" s="551"/>
      <c r="AZ57" s="551"/>
      <c r="BA57" s="551"/>
      <c r="BB57" s="551"/>
      <c r="BC57" s="551"/>
      <c r="BD57" s="551"/>
      <c r="BE57" s="551"/>
      <c r="BF57" s="551"/>
      <c r="BG57" s="50"/>
      <c r="BH57" s="50"/>
      <c r="BI57" s="50"/>
      <c r="BJ57" s="50"/>
      <c r="BK57" s="50"/>
      <c r="BL57" s="50"/>
      <c r="BM57" s="50"/>
      <c r="BN57" s="50"/>
      <c r="BO57" s="50"/>
      <c r="BP57" s="50"/>
      <c r="BQ57" s="50"/>
      <c r="BR57" s="50"/>
      <c r="BS57" s="561"/>
      <c r="BT57" s="561"/>
      <c r="BU57" s="561"/>
      <c r="BV57" s="561"/>
      <c r="BW57" s="561"/>
      <c r="BX57" s="561"/>
      <c r="BY57" s="561"/>
      <c r="BZ57" s="561"/>
      <c r="CA57" s="561"/>
      <c r="CB57" s="561"/>
      <c r="CC57" s="561"/>
      <c r="CD57" s="561"/>
      <c r="CE57" s="561"/>
      <c r="CF57" s="561"/>
      <c r="CG57" s="561"/>
      <c r="CH57" s="561"/>
      <c r="CI57" s="561"/>
      <c r="CJ57" s="561"/>
      <c r="CK57" s="561"/>
      <c r="CL57" s="561"/>
      <c r="CM57" s="50"/>
      <c r="CN57" s="558"/>
      <c r="CO57" s="558"/>
      <c r="CP57" s="558"/>
      <c r="CQ57" s="558"/>
      <c r="CR57" s="558"/>
      <c r="CS57" s="558"/>
      <c r="CT57" s="558"/>
      <c r="CU57" s="558"/>
      <c r="CV57" s="558"/>
      <c r="CW57" s="558"/>
      <c r="CX57" s="50"/>
      <c r="CY57" s="50"/>
      <c r="CZ57" s="50"/>
      <c r="DA57" s="50"/>
      <c r="DB57" s="50"/>
      <c r="DC57" s="50"/>
      <c r="DD57" s="50"/>
      <c r="DE57" s="50"/>
      <c r="DF57" s="50"/>
      <c r="DG57" s="50"/>
      <c r="DH57" s="50"/>
      <c r="DI57" s="50"/>
      <c r="DJ57" s="50"/>
      <c r="DK57" s="50"/>
      <c r="DL57" s="87"/>
      <c r="DM57" s="50"/>
      <c r="DN57" s="50"/>
      <c r="DO57" s="56"/>
      <c r="DP57" s="577"/>
      <c r="DQ57" s="578"/>
      <c r="DR57" s="578"/>
      <c r="DS57" s="578"/>
      <c r="DT57" s="578"/>
      <c r="DU57" s="578"/>
      <c r="DV57" s="578"/>
      <c r="DW57" s="578"/>
      <c r="DX57" s="578"/>
      <c r="DY57" s="578"/>
      <c r="DZ57" s="578"/>
      <c r="EA57" s="578"/>
      <c r="EB57" s="578"/>
      <c r="EC57" s="578"/>
      <c r="ED57" s="578"/>
      <c r="EE57" s="578"/>
      <c r="EF57" s="578"/>
      <c r="EG57" s="578"/>
      <c r="EH57" s="578"/>
      <c r="EI57" s="578"/>
      <c r="EJ57" s="578"/>
      <c r="EK57" s="578"/>
      <c r="EL57" s="578"/>
      <c r="EM57" s="578"/>
      <c r="EN57" s="578"/>
      <c r="EO57" s="579"/>
      <c r="EP57" s="592"/>
      <c r="EQ57" s="553"/>
      <c r="ER57" s="553"/>
      <c r="ES57" s="553"/>
      <c r="ET57" s="553"/>
      <c r="EU57" s="553"/>
      <c r="EV57" s="589"/>
      <c r="EW57" s="589"/>
      <c r="EX57" s="589"/>
      <c r="EY57" s="589"/>
      <c r="EZ57" s="60"/>
      <c r="FA57" s="50"/>
      <c r="FB57" s="51"/>
    </row>
    <row r="58" spans="1:214" ht="9" customHeight="1" thickTop="1" thickBot="1">
      <c r="A58" s="49"/>
      <c r="B58" s="84"/>
      <c r="C58" s="50"/>
      <c r="D58" s="80"/>
      <c r="E58" s="80"/>
      <c r="F58" s="96"/>
      <c r="G58" s="94"/>
      <c r="H58" s="94"/>
      <c r="I58" s="94"/>
      <c r="J58" s="94"/>
      <c r="K58" s="94"/>
      <c r="L58" s="94"/>
      <c r="M58" s="94"/>
      <c r="N58" s="94"/>
      <c r="O58" s="94"/>
      <c r="P58" s="94"/>
      <c r="Q58" s="94"/>
      <c r="R58" s="94"/>
      <c r="S58" s="94"/>
      <c r="T58" s="94"/>
      <c r="U58" s="94"/>
      <c r="V58" s="94"/>
      <c r="W58" s="94"/>
      <c r="X58" s="94"/>
      <c r="Y58" s="91"/>
      <c r="Z58" s="101"/>
      <c r="AA58" s="91"/>
      <c r="AB58" s="91"/>
      <c r="AC58" s="91"/>
      <c r="AD58" s="91"/>
      <c r="AE58" s="91"/>
      <c r="AF58" s="99"/>
      <c r="AG58" s="50"/>
      <c r="AH58" s="50"/>
      <c r="AI58" s="84"/>
      <c r="AJ58" s="50"/>
      <c r="AK58" s="50"/>
      <c r="AL58" s="87"/>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c r="DF58" s="50"/>
      <c r="DG58" s="50"/>
      <c r="DH58" s="50"/>
      <c r="DI58" s="50"/>
      <c r="DJ58" s="50"/>
      <c r="DK58" s="50"/>
      <c r="DL58" s="87"/>
      <c r="DM58" s="50"/>
      <c r="DN58" s="50"/>
      <c r="DO58" s="56"/>
      <c r="DP58" s="50"/>
      <c r="DQ58" s="50"/>
      <c r="DR58" s="50"/>
      <c r="DS58" s="50"/>
      <c r="DT58" s="50"/>
      <c r="DU58" s="50"/>
      <c r="DV58" s="50"/>
      <c r="DW58" s="50"/>
      <c r="DX58" s="50"/>
      <c r="DY58" s="50"/>
      <c r="DZ58" s="50"/>
      <c r="EA58" s="50"/>
      <c r="EB58" s="50"/>
      <c r="EC58" s="50"/>
      <c r="ED58" s="50"/>
      <c r="EE58" s="50"/>
      <c r="EF58" s="50"/>
      <c r="EG58" s="50"/>
      <c r="EH58" s="50"/>
      <c r="EI58" s="50"/>
      <c r="EJ58" s="50"/>
      <c r="EK58" s="50"/>
      <c r="EL58" s="50"/>
      <c r="EM58" s="50"/>
      <c r="EN58" s="50"/>
      <c r="EO58" s="50"/>
      <c r="EP58" s="593"/>
      <c r="EQ58" s="594"/>
      <c r="ER58" s="594"/>
      <c r="ES58" s="594"/>
      <c r="ET58" s="594"/>
      <c r="EU58" s="594"/>
      <c r="EV58" s="589"/>
      <c r="EW58" s="589"/>
      <c r="EX58" s="589"/>
      <c r="EY58" s="589"/>
      <c r="EZ58" s="60"/>
      <c r="FA58" s="50"/>
      <c r="FB58" s="51"/>
    </row>
    <row r="59" spans="1:214" ht="9" customHeight="1" thickTop="1" thickBot="1">
      <c r="A59" s="49"/>
      <c r="B59" s="84"/>
      <c r="C59" s="50"/>
      <c r="D59" s="80"/>
      <c r="E59" s="80"/>
      <c r="F59" s="80"/>
      <c r="G59" s="80"/>
      <c r="H59" s="50"/>
      <c r="I59" s="81"/>
      <c r="J59" s="81"/>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84"/>
      <c r="AJ59" s="50"/>
      <c r="AK59" s="50"/>
      <c r="AL59" s="87"/>
      <c r="AM59" s="50"/>
      <c r="AN59" s="50"/>
      <c r="AO59" s="72"/>
      <c r="AP59" s="539" t="str">
        <f>IF(Calc!C8="","",Calc!C8)</f>
        <v>Pistol</v>
      </c>
      <c r="AQ59" s="539"/>
      <c r="AR59" s="539"/>
      <c r="AS59" s="539"/>
      <c r="AT59" s="539"/>
      <c r="AU59" s="539"/>
      <c r="AV59" s="539"/>
      <c r="AW59" s="539"/>
      <c r="AX59" s="539"/>
      <c r="AY59" s="539"/>
      <c r="AZ59" s="539"/>
      <c r="BA59" s="539"/>
      <c r="BB59" s="539"/>
      <c r="BC59" s="539"/>
      <c r="BD59" s="539"/>
      <c r="BE59" s="539"/>
      <c r="BF59" s="539"/>
      <c r="BG59" s="539"/>
      <c r="BH59" s="539"/>
      <c r="BI59" s="539"/>
      <c r="BJ59" s="539"/>
      <c r="BK59" s="539"/>
      <c r="BL59" s="539"/>
      <c r="BM59" s="539"/>
      <c r="BN59" s="539"/>
      <c r="BO59" s="539"/>
      <c r="BP59" s="539"/>
      <c r="BQ59" s="539"/>
      <c r="BR59" s="117"/>
      <c r="BS59" s="58"/>
      <c r="BT59" s="542">
        <f>IF(Calc!AU8="","",Calc!AU8)</f>
        <v>9</v>
      </c>
      <c r="BU59" s="542"/>
      <c r="BV59" s="542"/>
      <c r="BW59" s="542"/>
      <c r="BX59" s="542"/>
      <c r="BY59" s="542"/>
      <c r="BZ59" s="542"/>
      <c r="CA59" s="542"/>
      <c r="CB59" s="117"/>
      <c r="CC59" s="58"/>
      <c r="CD59" s="545" t="str">
        <f>IF(Calc!T8="","",Calc!T8)</f>
        <v>3</v>
      </c>
      <c r="CE59" s="545"/>
      <c r="CF59" s="545"/>
      <c r="CG59" s="545"/>
      <c r="CH59" s="545"/>
      <c r="CI59" s="545"/>
      <c r="CJ59" s="545"/>
      <c r="CK59" s="545"/>
      <c r="CL59" s="117"/>
      <c r="CM59" s="548" t="str">
        <f>IF(Calc!AY8="","",Calc!AY8)</f>
        <v/>
      </c>
      <c r="CN59" s="548"/>
      <c r="CO59" s="548"/>
      <c r="CP59" s="548"/>
      <c r="CQ59" s="548"/>
      <c r="CR59" s="548"/>
      <c r="CS59" s="548"/>
      <c r="CT59" s="548"/>
      <c r="CU59" s="548"/>
      <c r="CV59" s="548"/>
      <c r="CW59" s="548"/>
      <c r="CX59" s="548"/>
      <c r="CY59" s="548"/>
      <c r="CZ59" s="548"/>
      <c r="DA59" s="548"/>
      <c r="DB59" s="548"/>
      <c r="DC59" s="548"/>
      <c r="DD59" s="548"/>
      <c r="DE59" s="548"/>
      <c r="DF59" s="548"/>
      <c r="DG59" s="548"/>
      <c r="DH59" s="548"/>
      <c r="DI59" s="57"/>
      <c r="DJ59" s="50"/>
      <c r="DK59" s="50"/>
      <c r="DL59" s="87"/>
      <c r="DM59" s="50"/>
      <c r="DN59" s="50"/>
      <c r="DO59" s="77"/>
      <c r="DP59" s="61"/>
      <c r="DQ59" s="61"/>
      <c r="DR59" s="61"/>
      <c r="DS59" s="61"/>
      <c r="DT59" s="61"/>
      <c r="DU59" s="61"/>
      <c r="DV59" s="61"/>
      <c r="DW59" s="61"/>
      <c r="DX59" s="61"/>
      <c r="DY59" s="61"/>
      <c r="DZ59" s="61"/>
      <c r="EA59" s="61"/>
      <c r="EB59" s="61"/>
      <c r="EC59" s="61"/>
      <c r="ED59" s="61"/>
      <c r="EE59" s="61"/>
      <c r="EF59" s="61"/>
      <c r="EG59" s="61"/>
      <c r="EH59" s="61"/>
      <c r="EI59" s="61"/>
      <c r="EJ59" s="61"/>
      <c r="EK59" s="61"/>
      <c r="EL59" s="61"/>
      <c r="EM59" s="61"/>
      <c r="EN59" s="61"/>
      <c r="EO59" s="61"/>
      <c r="EP59" s="61"/>
      <c r="EQ59" s="61"/>
      <c r="ER59" s="61"/>
      <c r="ES59" s="61"/>
      <c r="ET59" s="61"/>
      <c r="EU59" s="61"/>
      <c r="EV59" s="61"/>
      <c r="EW59" s="61"/>
      <c r="EX59" s="61"/>
      <c r="EY59" s="61"/>
      <c r="EZ59" s="62"/>
      <c r="FA59" s="50"/>
      <c r="FB59" s="51"/>
      <c r="FH59" s="486" t="s">
        <v>1292</v>
      </c>
      <c r="FI59" s="487"/>
      <c r="FJ59" s="487"/>
      <c r="FK59" s="487"/>
      <c r="FL59" s="487"/>
      <c r="FM59" s="487"/>
      <c r="FN59" s="487"/>
      <c r="FO59" s="487"/>
      <c r="FP59" s="487"/>
      <c r="FQ59" s="487"/>
      <c r="FR59" s="487"/>
      <c r="FS59" s="487"/>
      <c r="FT59" s="487"/>
      <c r="FU59" s="487"/>
      <c r="FV59" s="487"/>
      <c r="FW59" s="487"/>
      <c r="FX59" s="487"/>
      <c r="FY59" s="487"/>
      <c r="FZ59" s="487"/>
      <c r="GA59" s="487"/>
      <c r="GB59" s="487"/>
      <c r="GC59" s="487"/>
      <c r="GD59" s="487"/>
      <c r="GE59" s="487"/>
      <c r="GF59" s="487"/>
      <c r="GG59" s="487"/>
      <c r="GH59" s="487"/>
      <c r="GI59" s="487"/>
      <c r="GJ59" s="487"/>
      <c r="GK59" s="487"/>
      <c r="GL59" s="487"/>
      <c r="GM59" s="488"/>
      <c r="GN59" s="495" t="s">
        <v>1293</v>
      </c>
      <c r="GO59" s="496"/>
      <c r="GP59" s="496"/>
      <c r="GQ59" s="496"/>
      <c r="GR59" s="496"/>
      <c r="GS59" s="496"/>
      <c r="GT59" s="496"/>
      <c r="GU59" s="496"/>
      <c r="GV59" s="496"/>
      <c r="GW59" s="496"/>
      <c r="GX59" s="496"/>
      <c r="GY59" s="496"/>
      <c r="GZ59" s="496"/>
      <c r="HA59" s="496"/>
      <c r="HB59" s="496"/>
      <c r="HC59" s="496"/>
      <c r="HD59" s="496"/>
      <c r="HE59" s="497"/>
    </row>
    <row r="60" spans="1:214" ht="9" customHeight="1" thickTop="1" thickBot="1">
      <c r="A60" s="49"/>
      <c r="B60" s="84"/>
      <c r="C60" s="50"/>
      <c r="D60" s="80"/>
      <c r="E60" s="80"/>
      <c r="F60" s="80"/>
      <c r="G60" s="80"/>
      <c r="H60" s="50"/>
      <c r="I60" s="81"/>
      <c r="J60" s="81"/>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84"/>
      <c r="AJ60" s="50"/>
      <c r="AK60" s="50"/>
      <c r="AL60" s="87"/>
      <c r="AM60" s="50"/>
      <c r="AN60" s="50"/>
      <c r="AO60" s="66"/>
      <c r="AP60" s="540"/>
      <c r="AQ60" s="540"/>
      <c r="AR60" s="540"/>
      <c r="AS60" s="540"/>
      <c r="AT60" s="540"/>
      <c r="AU60" s="540"/>
      <c r="AV60" s="540"/>
      <c r="AW60" s="540"/>
      <c r="AX60" s="540"/>
      <c r="AY60" s="540"/>
      <c r="AZ60" s="540"/>
      <c r="BA60" s="540"/>
      <c r="BB60" s="540"/>
      <c r="BC60" s="540"/>
      <c r="BD60" s="540"/>
      <c r="BE60" s="540"/>
      <c r="BF60" s="540"/>
      <c r="BG60" s="540"/>
      <c r="BH60" s="540"/>
      <c r="BI60" s="540"/>
      <c r="BJ60" s="540"/>
      <c r="BK60" s="540"/>
      <c r="BL60" s="540"/>
      <c r="BM60" s="540"/>
      <c r="BN60" s="540"/>
      <c r="BO60" s="540"/>
      <c r="BP60" s="540"/>
      <c r="BQ60" s="540"/>
      <c r="BR60" s="68"/>
      <c r="BS60" s="50"/>
      <c r="BT60" s="543"/>
      <c r="BU60" s="543"/>
      <c r="BV60" s="543"/>
      <c r="BW60" s="543"/>
      <c r="BX60" s="543"/>
      <c r="BY60" s="543"/>
      <c r="BZ60" s="543"/>
      <c r="CA60" s="543"/>
      <c r="CB60" s="68"/>
      <c r="CC60" s="50"/>
      <c r="CD60" s="546"/>
      <c r="CE60" s="546"/>
      <c r="CF60" s="546"/>
      <c r="CG60" s="546"/>
      <c r="CH60" s="546"/>
      <c r="CI60" s="546"/>
      <c r="CJ60" s="546"/>
      <c r="CK60" s="546"/>
      <c r="CL60" s="68"/>
      <c r="CM60" s="549"/>
      <c r="CN60" s="549"/>
      <c r="CO60" s="549"/>
      <c r="CP60" s="549"/>
      <c r="CQ60" s="549"/>
      <c r="CR60" s="549"/>
      <c r="CS60" s="549"/>
      <c r="CT60" s="549"/>
      <c r="CU60" s="549"/>
      <c r="CV60" s="549"/>
      <c r="CW60" s="549"/>
      <c r="CX60" s="549"/>
      <c r="CY60" s="549"/>
      <c r="CZ60" s="549"/>
      <c r="DA60" s="549"/>
      <c r="DB60" s="549"/>
      <c r="DC60" s="549"/>
      <c r="DD60" s="549"/>
      <c r="DE60" s="549"/>
      <c r="DF60" s="549"/>
      <c r="DG60" s="549"/>
      <c r="DH60" s="549"/>
      <c r="DI60" s="60"/>
      <c r="DJ60" s="50"/>
      <c r="DK60" s="50"/>
      <c r="DL60" s="87"/>
      <c r="DM60" s="50"/>
      <c r="DN60" s="50"/>
      <c r="DO60" s="50"/>
      <c r="DP60" s="50"/>
      <c r="DQ60" s="50"/>
      <c r="DR60" s="50"/>
      <c r="DS60" s="50"/>
      <c r="DT60" s="50"/>
      <c r="DU60" s="50"/>
      <c r="DV60" s="50"/>
      <c r="DW60" s="50"/>
      <c r="DX60" s="50"/>
      <c r="DY60" s="50"/>
      <c r="DZ60" s="50"/>
      <c r="EA60" s="50"/>
      <c r="EB60" s="50"/>
      <c r="EC60" s="50"/>
      <c r="ED60" s="50"/>
      <c r="EE60" s="50"/>
      <c r="EF60" s="50"/>
      <c r="EG60" s="50"/>
      <c r="EH60" s="50"/>
      <c r="EI60" s="50"/>
      <c r="EJ60" s="50"/>
      <c r="EK60" s="50"/>
      <c r="EL60" s="50"/>
      <c r="EM60" s="50"/>
      <c r="EN60" s="50"/>
      <c r="EO60" s="50"/>
      <c r="EP60" s="50"/>
      <c r="EQ60" s="50"/>
      <c r="ER60" s="50"/>
      <c r="ES60" s="50"/>
      <c r="ET60" s="50"/>
      <c r="EU60" s="50"/>
      <c r="EV60" s="50"/>
      <c r="EW60" s="50"/>
      <c r="EX60" s="50"/>
      <c r="EY60" s="50"/>
      <c r="EZ60" s="50"/>
      <c r="FA60" s="50"/>
      <c r="FB60" s="51"/>
      <c r="FH60" s="489"/>
      <c r="FI60" s="490"/>
      <c r="FJ60" s="490"/>
      <c r="FK60" s="490"/>
      <c r="FL60" s="490"/>
      <c r="FM60" s="490"/>
      <c r="FN60" s="490"/>
      <c r="FO60" s="490"/>
      <c r="FP60" s="490"/>
      <c r="FQ60" s="490"/>
      <c r="FR60" s="490"/>
      <c r="FS60" s="490"/>
      <c r="FT60" s="490"/>
      <c r="FU60" s="490"/>
      <c r="FV60" s="490"/>
      <c r="FW60" s="490"/>
      <c r="FX60" s="490"/>
      <c r="FY60" s="490"/>
      <c r="FZ60" s="490"/>
      <c r="GA60" s="490"/>
      <c r="GB60" s="490"/>
      <c r="GC60" s="490"/>
      <c r="GD60" s="490"/>
      <c r="GE60" s="490"/>
      <c r="GF60" s="490"/>
      <c r="GG60" s="490"/>
      <c r="GH60" s="490"/>
      <c r="GI60" s="490"/>
      <c r="GJ60" s="490"/>
      <c r="GK60" s="490"/>
      <c r="GL60" s="490"/>
      <c r="GM60" s="491"/>
      <c r="GN60" s="498"/>
      <c r="GO60" s="499"/>
      <c r="GP60" s="499"/>
      <c r="GQ60" s="499"/>
      <c r="GR60" s="499"/>
      <c r="GS60" s="499"/>
      <c r="GT60" s="499"/>
      <c r="GU60" s="499"/>
      <c r="GV60" s="499"/>
      <c r="GW60" s="499"/>
      <c r="GX60" s="499"/>
      <c r="GY60" s="499"/>
      <c r="GZ60" s="499"/>
      <c r="HA60" s="499"/>
      <c r="HB60" s="499"/>
      <c r="HC60" s="499"/>
      <c r="HD60" s="499"/>
      <c r="HE60" s="500"/>
    </row>
    <row r="61" spans="1:214" ht="9" customHeight="1" thickTop="1" thickBot="1">
      <c r="A61" s="49"/>
      <c r="B61" s="84"/>
      <c r="C61" s="50"/>
      <c r="D61" s="80"/>
      <c r="E61" s="80"/>
      <c r="F61" s="95"/>
      <c r="G61" s="93"/>
      <c r="H61" s="93"/>
      <c r="I61" s="93"/>
      <c r="J61" s="93"/>
      <c r="K61" s="93"/>
      <c r="L61" s="93"/>
      <c r="M61" s="93"/>
      <c r="N61" s="93"/>
      <c r="O61" s="93"/>
      <c r="P61" s="93"/>
      <c r="Q61" s="93"/>
      <c r="R61" s="93"/>
      <c r="S61" s="93"/>
      <c r="T61" s="93"/>
      <c r="U61" s="93"/>
      <c r="V61" s="93"/>
      <c r="W61" s="93"/>
      <c r="X61" s="93"/>
      <c r="Y61" s="90"/>
      <c r="Z61" s="100"/>
      <c r="AA61" s="90"/>
      <c r="AB61" s="90"/>
      <c r="AC61" s="90"/>
      <c r="AD61" s="90"/>
      <c r="AE61" s="90"/>
      <c r="AF61" s="98"/>
      <c r="AG61" s="50"/>
      <c r="AH61" s="50"/>
      <c r="AI61" s="84"/>
      <c r="AJ61" s="50"/>
      <c r="AK61" s="50"/>
      <c r="AL61" s="87"/>
      <c r="AM61" s="50"/>
      <c r="AN61" s="50"/>
      <c r="AO61" s="66"/>
      <c r="AP61" s="540"/>
      <c r="AQ61" s="540"/>
      <c r="AR61" s="540"/>
      <c r="AS61" s="540"/>
      <c r="AT61" s="540"/>
      <c r="AU61" s="540"/>
      <c r="AV61" s="540"/>
      <c r="AW61" s="540"/>
      <c r="AX61" s="540"/>
      <c r="AY61" s="540"/>
      <c r="AZ61" s="540"/>
      <c r="BA61" s="540"/>
      <c r="BB61" s="540"/>
      <c r="BC61" s="540"/>
      <c r="BD61" s="540"/>
      <c r="BE61" s="540"/>
      <c r="BF61" s="540"/>
      <c r="BG61" s="540"/>
      <c r="BH61" s="540"/>
      <c r="BI61" s="540"/>
      <c r="BJ61" s="540"/>
      <c r="BK61" s="540"/>
      <c r="BL61" s="540"/>
      <c r="BM61" s="540"/>
      <c r="BN61" s="540"/>
      <c r="BO61" s="540"/>
      <c r="BP61" s="540"/>
      <c r="BQ61" s="540"/>
      <c r="BR61" s="68"/>
      <c r="BS61" s="50"/>
      <c r="BT61" s="543"/>
      <c r="BU61" s="543"/>
      <c r="BV61" s="543"/>
      <c r="BW61" s="543"/>
      <c r="BX61" s="543"/>
      <c r="BY61" s="543"/>
      <c r="BZ61" s="543"/>
      <c r="CA61" s="543"/>
      <c r="CB61" s="68"/>
      <c r="CC61" s="50"/>
      <c r="CD61" s="546"/>
      <c r="CE61" s="546"/>
      <c r="CF61" s="546"/>
      <c r="CG61" s="546"/>
      <c r="CH61" s="546"/>
      <c r="CI61" s="546"/>
      <c r="CJ61" s="546"/>
      <c r="CK61" s="546"/>
      <c r="CL61" s="68"/>
      <c r="CM61" s="549"/>
      <c r="CN61" s="549"/>
      <c r="CO61" s="549"/>
      <c r="CP61" s="549"/>
      <c r="CQ61" s="549"/>
      <c r="CR61" s="549"/>
      <c r="CS61" s="549"/>
      <c r="CT61" s="549"/>
      <c r="CU61" s="549"/>
      <c r="CV61" s="549"/>
      <c r="CW61" s="549"/>
      <c r="CX61" s="549"/>
      <c r="CY61" s="549"/>
      <c r="CZ61" s="549"/>
      <c r="DA61" s="549"/>
      <c r="DB61" s="549"/>
      <c r="DC61" s="549"/>
      <c r="DD61" s="549"/>
      <c r="DE61" s="549"/>
      <c r="DF61" s="549"/>
      <c r="DG61" s="549"/>
      <c r="DH61" s="549"/>
      <c r="DI61" s="60"/>
      <c r="DJ61" s="50"/>
      <c r="DK61" s="50"/>
      <c r="DL61" s="87"/>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1"/>
      <c r="FH61" s="489"/>
      <c r="FI61" s="490"/>
      <c r="FJ61" s="490"/>
      <c r="FK61" s="490"/>
      <c r="FL61" s="490"/>
      <c r="FM61" s="490"/>
      <c r="FN61" s="490"/>
      <c r="FO61" s="490"/>
      <c r="FP61" s="490"/>
      <c r="FQ61" s="490"/>
      <c r="FR61" s="490"/>
      <c r="FS61" s="490"/>
      <c r="FT61" s="490"/>
      <c r="FU61" s="490"/>
      <c r="FV61" s="490"/>
      <c r="FW61" s="490"/>
      <c r="FX61" s="490"/>
      <c r="FY61" s="490"/>
      <c r="FZ61" s="490"/>
      <c r="GA61" s="490"/>
      <c r="GB61" s="490"/>
      <c r="GC61" s="490"/>
      <c r="GD61" s="490"/>
      <c r="GE61" s="490"/>
      <c r="GF61" s="490"/>
      <c r="GG61" s="490"/>
      <c r="GH61" s="490"/>
      <c r="GI61" s="490"/>
      <c r="GJ61" s="490"/>
      <c r="GK61" s="490"/>
      <c r="GL61" s="490"/>
      <c r="GM61" s="491"/>
      <c r="GN61" s="498"/>
      <c r="GO61" s="499"/>
      <c r="GP61" s="499"/>
      <c r="GQ61" s="499"/>
      <c r="GR61" s="499"/>
      <c r="GS61" s="499"/>
      <c r="GT61" s="499"/>
      <c r="GU61" s="499"/>
      <c r="GV61" s="499"/>
      <c r="GW61" s="499"/>
      <c r="GX61" s="499"/>
      <c r="GY61" s="499"/>
      <c r="GZ61" s="499"/>
      <c r="HA61" s="499"/>
      <c r="HB61" s="499"/>
      <c r="HC61" s="499"/>
      <c r="HD61" s="499"/>
      <c r="HE61" s="500"/>
    </row>
    <row r="62" spans="1:214" ht="9" customHeight="1" thickTop="1" thickBot="1">
      <c r="A62" s="49"/>
      <c r="B62" s="84"/>
      <c r="C62" s="50"/>
      <c r="D62" s="80"/>
      <c r="E62" s="80"/>
      <c r="F62" s="92"/>
      <c r="G62" s="551" t="s">
        <v>584</v>
      </c>
      <c r="H62" s="551"/>
      <c r="I62" s="551"/>
      <c r="J62" s="551"/>
      <c r="K62" s="551"/>
      <c r="L62" s="551"/>
      <c r="M62" s="551"/>
      <c r="N62" s="551"/>
      <c r="O62" s="551"/>
      <c r="P62" s="551"/>
      <c r="Q62" s="551"/>
      <c r="R62" s="551"/>
      <c r="S62" s="551"/>
      <c r="T62" s="551"/>
      <c r="U62" s="551"/>
      <c r="V62" s="551"/>
      <c r="W62" s="551"/>
      <c r="X62" s="551"/>
      <c r="Y62" s="551"/>
      <c r="Z62" s="56"/>
      <c r="AA62" s="551">
        <f>IF(Abilities!S12="","",Abilities!S12)</f>
        <v>2</v>
      </c>
      <c r="AB62" s="551"/>
      <c r="AC62" s="551"/>
      <c r="AD62" s="551"/>
      <c r="AE62" s="551"/>
      <c r="AF62" s="97"/>
      <c r="AG62" s="50"/>
      <c r="AH62" s="50"/>
      <c r="AI62" s="84"/>
      <c r="AJ62" s="50"/>
      <c r="AK62" s="50"/>
      <c r="AL62" s="87"/>
      <c r="AM62" s="50"/>
      <c r="AN62" s="50"/>
      <c r="AO62" s="73"/>
      <c r="AP62" s="541"/>
      <c r="AQ62" s="541"/>
      <c r="AR62" s="541"/>
      <c r="AS62" s="541"/>
      <c r="AT62" s="541"/>
      <c r="AU62" s="541"/>
      <c r="AV62" s="541"/>
      <c r="AW62" s="541"/>
      <c r="AX62" s="541"/>
      <c r="AY62" s="541"/>
      <c r="AZ62" s="541"/>
      <c r="BA62" s="541"/>
      <c r="BB62" s="541"/>
      <c r="BC62" s="541"/>
      <c r="BD62" s="541"/>
      <c r="BE62" s="541"/>
      <c r="BF62" s="541"/>
      <c r="BG62" s="541"/>
      <c r="BH62" s="541"/>
      <c r="BI62" s="541"/>
      <c r="BJ62" s="541"/>
      <c r="BK62" s="541"/>
      <c r="BL62" s="541"/>
      <c r="BM62" s="541"/>
      <c r="BN62" s="541"/>
      <c r="BO62" s="541"/>
      <c r="BP62" s="541"/>
      <c r="BQ62" s="541"/>
      <c r="BR62" s="118"/>
      <c r="BS62" s="61"/>
      <c r="BT62" s="544"/>
      <c r="BU62" s="544"/>
      <c r="BV62" s="544"/>
      <c r="BW62" s="544"/>
      <c r="BX62" s="544"/>
      <c r="BY62" s="544"/>
      <c r="BZ62" s="544"/>
      <c r="CA62" s="544"/>
      <c r="CB62" s="118"/>
      <c r="CC62" s="61"/>
      <c r="CD62" s="547"/>
      <c r="CE62" s="547"/>
      <c r="CF62" s="547"/>
      <c r="CG62" s="547"/>
      <c r="CH62" s="547"/>
      <c r="CI62" s="547"/>
      <c r="CJ62" s="547"/>
      <c r="CK62" s="547"/>
      <c r="CL62" s="118"/>
      <c r="CM62" s="550"/>
      <c r="CN62" s="550"/>
      <c r="CO62" s="550"/>
      <c r="CP62" s="550"/>
      <c r="CQ62" s="550"/>
      <c r="CR62" s="550"/>
      <c r="CS62" s="550"/>
      <c r="CT62" s="550"/>
      <c r="CU62" s="550"/>
      <c r="CV62" s="550"/>
      <c r="CW62" s="550"/>
      <c r="CX62" s="550"/>
      <c r="CY62" s="550"/>
      <c r="CZ62" s="550"/>
      <c r="DA62" s="550"/>
      <c r="DB62" s="550"/>
      <c r="DC62" s="550"/>
      <c r="DD62" s="550"/>
      <c r="DE62" s="550"/>
      <c r="DF62" s="550"/>
      <c r="DG62" s="550"/>
      <c r="DH62" s="550"/>
      <c r="DI62" s="55"/>
      <c r="DJ62" s="50"/>
      <c r="DK62" s="50"/>
      <c r="DL62" s="87"/>
      <c r="DM62" s="50"/>
      <c r="DN62" s="50"/>
      <c r="DO62" s="119"/>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1"/>
      <c r="FA62" s="50"/>
      <c r="FB62" s="51"/>
      <c r="FH62" s="492"/>
      <c r="FI62" s="493"/>
      <c r="FJ62" s="493"/>
      <c r="FK62" s="493"/>
      <c r="FL62" s="493"/>
      <c r="FM62" s="493"/>
      <c r="FN62" s="493"/>
      <c r="FO62" s="493"/>
      <c r="FP62" s="493"/>
      <c r="FQ62" s="493"/>
      <c r="FR62" s="493"/>
      <c r="FS62" s="493"/>
      <c r="FT62" s="493"/>
      <c r="FU62" s="493"/>
      <c r="FV62" s="493"/>
      <c r="FW62" s="493"/>
      <c r="FX62" s="493"/>
      <c r="FY62" s="493"/>
      <c r="FZ62" s="493"/>
      <c r="GA62" s="493"/>
      <c r="GB62" s="493"/>
      <c r="GC62" s="493"/>
      <c r="GD62" s="493"/>
      <c r="GE62" s="493"/>
      <c r="GF62" s="493"/>
      <c r="GG62" s="493"/>
      <c r="GH62" s="493"/>
      <c r="GI62" s="493"/>
      <c r="GJ62" s="493"/>
      <c r="GK62" s="493"/>
      <c r="GL62" s="493"/>
      <c r="GM62" s="494"/>
      <c r="GN62" s="501"/>
      <c r="GO62" s="502"/>
      <c r="GP62" s="502"/>
      <c r="GQ62" s="502"/>
      <c r="GR62" s="502"/>
      <c r="GS62" s="502"/>
      <c r="GT62" s="502"/>
      <c r="GU62" s="502"/>
      <c r="GV62" s="502"/>
      <c r="GW62" s="502"/>
      <c r="GX62" s="502"/>
      <c r="GY62" s="502"/>
      <c r="GZ62" s="502"/>
      <c r="HA62" s="502"/>
      <c r="HB62" s="502"/>
      <c r="HC62" s="502"/>
      <c r="HD62" s="502"/>
      <c r="HE62" s="503"/>
    </row>
    <row r="63" spans="1:214" ht="9" customHeight="1" thickTop="1" thickBot="1">
      <c r="A63" s="49"/>
      <c r="B63" s="84"/>
      <c r="C63" s="50"/>
      <c r="D63" s="80"/>
      <c r="E63" s="80"/>
      <c r="F63" s="92"/>
      <c r="G63" s="551"/>
      <c r="H63" s="551"/>
      <c r="I63" s="551"/>
      <c r="J63" s="551"/>
      <c r="K63" s="551"/>
      <c r="L63" s="551"/>
      <c r="M63" s="551"/>
      <c r="N63" s="551"/>
      <c r="O63" s="551"/>
      <c r="P63" s="551"/>
      <c r="Q63" s="551"/>
      <c r="R63" s="551"/>
      <c r="S63" s="551"/>
      <c r="T63" s="551"/>
      <c r="U63" s="551"/>
      <c r="V63" s="551"/>
      <c r="W63" s="551"/>
      <c r="X63" s="551"/>
      <c r="Y63" s="551"/>
      <c r="Z63" s="56"/>
      <c r="AA63" s="551"/>
      <c r="AB63" s="551"/>
      <c r="AC63" s="551"/>
      <c r="AD63" s="551"/>
      <c r="AE63" s="551"/>
      <c r="AF63" s="97"/>
      <c r="AG63" s="50"/>
      <c r="AH63" s="50"/>
      <c r="AI63" s="84"/>
      <c r="AJ63" s="50"/>
      <c r="AK63" s="50"/>
      <c r="AL63" s="87"/>
      <c r="AM63" s="50"/>
      <c r="AN63" s="50"/>
      <c r="AO63" s="50"/>
      <c r="AP63" s="50"/>
      <c r="AQ63" s="50"/>
      <c r="AR63" s="50"/>
      <c r="AS63" s="50"/>
      <c r="AT63" s="50"/>
      <c r="AU63" s="50"/>
      <c r="AV63" s="50"/>
      <c r="AW63" s="50"/>
      <c r="AX63" s="50"/>
      <c r="AY63" s="50"/>
      <c r="AZ63" s="50"/>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c r="DF63" s="50"/>
      <c r="DG63" s="50"/>
      <c r="DH63" s="50"/>
      <c r="DI63" s="50"/>
      <c r="DJ63" s="50"/>
      <c r="DK63" s="50"/>
      <c r="DL63" s="87"/>
      <c r="DM63" s="50"/>
      <c r="DN63" s="50"/>
      <c r="DO63" s="122"/>
      <c r="DP63" s="50"/>
      <c r="DQ63" s="50"/>
      <c r="DR63" s="50"/>
      <c r="DS63" s="50"/>
      <c r="DT63" s="50"/>
      <c r="DU63" s="50"/>
      <c r="DV63" s="50"/>
      <c r="DW63" s="50"/>
      <c r="DX63" s="50"/>
      <c r="DY63" s="50"/>
      <c r="DZ63" s="50"/>
      <c r="EA63" s="50"/>
      <c r="EB63" s="50"/>
      <c r="EC63" s="50"/>
      <c r="ED63" s="50"/>
      <c r="EE63" s="50"/>
      <c r="EF63" s="50"/>
      <c r="EG63" s="50"/>
      <c r="EH63" s="50"/>
      <c r="EI63" s="50"/>
      <c r="EJ63" s="50"/>
      <c r="EK63" s="50"/>
      <c r="EL63" s="50"/>
      <c r="EM63" s="50"/>
      <c r="EN63" s="50"/>
      <c r="EO63" s="50"/>
      <c r="EP63" s="50"/>
      <c r="EQ63" s="50"/>
      <c r="ER63" s="50"/>
      <c r="ES63" s="50"/>
      <c r="ET63" s="50"/>
      <c r="EU63" s="50"/>
      <c r="EV63" s="50"/>
      <c r="EW63" s="50"/>
      <c r="EX63" s="50"/>
      <c r="EY63" s="50"/>
      <c r="EZ63" s="123"/>
      <c r="FA63" s="50"/>
      <c r="FB63" s="51"/>
      <c r="FH63" s="504" t="s">
        <v>1294</v>
      </c>
      <c r="FI63" s="505"/>
      <c r="FJ63" s="506"/>
      <c r="FK63" s="507"/>
      <c r="FL63" s="507"/>
      <c r="FM63" s="507"/>
      <c r="FN63" s="507"/>
      <c r="FO63" s="507"/>
      <c r="FP63" s="507"/>
      <c r="FQ63" s="507"/>
      <c r="FR63" s="507"/>
      <c r="FS63" s="507"/>
      <c r="FT63" s="507"/>
      <c r="FU63" s="507"/>
      <c r="FV63" s="507"/>
      <c r="FW63" s="507"/>
      <c r="FX63" s="508"/>
      <c r="FY63" s="506"/>
      <c r="FZ63" s="507"/>
      <c r="GA63" s="507"/>
      <c r="GB63" s="507"/>
      <c r="GC63" s="507"/>
      <c r="GD63" s="507"/>
      <c r="GE63" s="507"/>
      <c r="GF63" s="507"/>
      <c r="GG63" s="507"/>
      <c r="GH63" s="507"/>
      <c r="GI63" s="507"/>
      <c r="GJ63" s="507"/>
      <c r="GK63" s="507"/>
      <c r="GL63" s="507"/>
      <c r="GM63" s="509"/>
      <c r="GN63" s="510" t="str">
        <f>HF64&amp;" hrs "&amp;HF63&amp;" mins"</f>
        <v>0 hrs 0 mins</v>
      </c>
      <c r="GO63" s="511"/>
      <c r="GP63" s="511"/>
      <c r="GQ63" s="511"/>
      <c r="GR63" s="511"/>
      <c r="GS63" s="511"/>
      <c r="GT63" s="511"/>
      <c r="GU63" s="511"/>
      <c r="GV63" s="511"/>
      <c r="GW63" s="511"/>
      <c r="GX63" s="511"/>
      <c r="GY63" s="511"/>
      <c r="GZ63" s="511"/>
      <c r="HA63" s="511"/>
      <c r="HB63" s="511"/>
      <c r="HC63" s="511"/>
      <c r="HD63" s="511"/>
      <c r="HE63" s="512"/>
      <c r="HF63" s="220">
        <f>FJ63+IF(FJ72="",0,1)+IF(FJ77="",0,1)+IF(FJ82="",0,1)</f>
        <v>0</v>
      </c>
    </row>
    <row r="64" spans="1:214" ht="9" customHeight="1" thickTop="1">
      <c r="A64" s="49"/>
      <c r="B64" s="84"/>
      <c r="C64" s="50"/>
      <c r="D64" s="80"/>
      <c r="E64" s="80"/>
      <c r="F64" s="92"/>
      <c r="G64" s="551"/>
      <c r="H64" s="551"/>
      <c r="I64" s="551"/>
      <c r="J64" s="551"/>
      <c r="K64" s="551"/>
      <c r="L64" s="551"/>
      <c r="M64" s="551"/>
      <c r="N64" s="551"/>
      <c r="O64" s="551"/>
      <c r="P64" s="551"/>
      <c r="Q64" s="551"/>
      <c r="R64" s="551"/>
      <c r="S64" s="551"/>
      <c r="T64" s="551"/>
      <c r="U64" s="551"/>
      <c r="V64" s="551"/>
      <c r="W64" s="551"/>
      <c r="X64" s="551"/>
      <c r="Y64" s="551"/>
      <c r="Z64" s="56"/>
      <c r="AA64" s="551"/>
      <c r="AB64" s="551"/>
      <c r="AC64" s="551"/>
      <c r="AD64" s="551"/>
      <c r="AE64" s="551"/>
      <c r="AF64" s="97"/>
      <c r="AG64" s="50"/>
      <c r="AH64" s="50"/>
      <c r="AI64" s="84"/>
      <c r="AJ64" s="50"/>
      <c r="AK64" s="50"/>
      <c r="AL64" s="87"/>
      <c r="AM64" s="50"/>
      <c r="AN64" s="50"/>
      <c r="AO64" s="72"/>
      <c r="AP64" s="539" t="str">
        <f>IF(Calc!C9="","",Calc!C9)</f>
        <v/>
      </c>
      <c r="AQ64" s="539"/>
      <c r="AR64" s="539"/>
      <c r="AS64" s="539"/>
      <c r="AT64" s="539"/>
      <c r="AU64" s="539"/>
      <c r="AV64" s="539"/>
      <c r="AW64" s="539"/>
      <c r="AX64" s="539"/>
      <c r="AY64" s="539"/>
      <c r="AZ64" s="539"/>
      <c r="BA64" s="539"/>
      <c r="BB64" s="539"/>
      <c r="BC64" s="539"/>
      <c r="BD64" s="539"/>
      <c r="BE64" s="539"/>
      <c r="BF64" s="539"/>
      <c r="BG64" s="539"/>
      <c r="BH64" s="539"/>
      <c r="BI64" s="539"/>
      <c r="BJ64" s="539"/>
      <c r="BK64" s="539"/>
      <c r="BL64" s="539"/>
      <c r="BM64" s="539"/>
      <c r="BN64" s="539"/>
      <c r="BO64" s="539"/>
      <c r="BP64" s="539"/>
      <c r="BQ64" s="539"/>
      <c r="BR64" s="117"/>
      <c r="BS64" s="58"/>
      <c r="BT64" s="542" t="str">
        <f>IF(Calc!AU9="","",Calc!AU9)</f>
        <v/>
      </c>
      <c r="BU64" s="542"/>
      <c r="BV64" s="542"/>
      <c r="BW64" s="542"/>
      <c r="BX64" s="542"/>
      <c r="BY64" s="542"/>
      <c r="BZ64" s="542"/>
      <c r="CA64" s="542"/>
      <c r="CB64" s="117"/>
      <c r="CC64" s="58"/>
      <c r="CD64" s="545" t="str">
        <f>IF(Calc!T9="","",Calc!T9)</f>
        <v/>
      </c>
      <c r="CE64" s="545"/>
      <c r="CF64" s="545"/>
      <c r="CG64" s="545"/>
      <c r="CH64" s="545"/>
      <c r="CI64" s="545"/>
      <c r="CJ64" s="545"/>
      <c r="CK64" s="545"/>
      <c r="CL64" s="117"/>
      <c r="CM64" s="548" t="str">
        <f>IF(Calc!AY9="","",Calc!AY9)</f>
        <v/>
      </c>
      <c r="CN64" s="548"/>
      <c r="CO64" s="548"/>
      <c r="CP64" s="548"/>
      <c r="CQ64" s="548"/>
      <c r="CR64" s="548"/>
      <c r="CS64" s="548"/>
      <c r="CT64" s="548"/>
      <c r="CU64" s="548"/>
      <c r="CV64" s="548"/>
      <c r="CW64" s="548"/>
      <c r="CX64" s="548"/>
      <c r="CY64" s="548"/>
      <c r="CZ64" s="548"/>
      <c r="DA64" s="548"/>
      <c r="DB64" s="548"/>
      <c r="DC64" s="548"/>
      <c r="DD64" s="548"/>
      <c r="DE64" s="548"/>
      <c r="DF64" s="548"/>
      <c r="DG64" s="548"/>
      <c r="DH64" s="548"/>
      <c r="DI64" s="57"/>
      <c r="DJ64" s="50"/>
      <c r="DK64" s="50"/>
      <c r="DL64" s="87"/>
      <c r="DM64" s="50"/>
      <c r="DN64" s="50"/>
      <c r="DO64" s="122"/>
      <c r="DP64" s="50"/>
      <c r="DQ64" s="126"/>
      <c r="DR64" s="552" t="s">
        <v>575</v>
      </c>
      <c r="DS64" s="552"/>
      <c r="DT64" s="552"/>
      <c r="DU64" s="552"/>
      <c r="DV64" s="552"/>
      <c r="DW64" s="552"/>
      <c r="DX64" s="552"/>
      <c r="DY64" s="552"/>
      <c r="DZ64" s="552"/>
      <c r="EA64" s="552"/>
      <c r="EB64" s="552"/>
      <c r="EC64" s="552"/>
      <c r="ED64" s="552"/>
      <c r="EE64" s="552"/>
      <c r="EF64" s="552"/>
      <c r="EG64" s="552"/>
      <c r="EH64" s="552"/>
      <c r="EI64" s="552"/>
      <c r="EJ64" s="552"/>
      <c r="EK64" s="552"/>
      <c r="EL64" s="552"/>
      <c r="EM64" s="552"/>
      <c r="EN64" s="552"/>
      <c r="EO64" s="552"/>
      <c r="EP64" s="552"/>
      <c r="EQ64" s="552"/>
      <c r="ER64" s="552"/>
      <c r="ES64" s="552"/>
      <c r="ET64" s="552"/>
      <c r="EU64" s="552"/>
      <c r="EV64" s="552"/>
      <c r="EW64" s="552"/>
      <c r="EX64" s="127"/>
      <c r="EY64" s="50"/>
      <c r="EZ64" s="123"/>
      <c r="FA64" s="50"/>
      <c r="FB64" s="51"/>
      <c r="FH64" s="455"/>
      <c r="FI64" s="456"/>
      <c r="FJ64" s="462"/>
      <c r="FK64" s="463"/>
      <c r="FL64" s="463"/>
      <c r="FM64" s="463"/>
      <c r="FN64" s="463"/>
      <c r="FO64" s="463"/>
      <c r="FP64" s="463"/>
      <c r="FQ64" s="463"/>
      <c r="FR64" s="463"/>
      <c r="FS64" s="463"/>
      <c r="FT64" s="463"/>
      <c r="FU64" s="463"/>
      <c r="FV64" s="463"/>
      <c r="FW64" s="463"/>
      <c r="FX64" s="464"/>
      <c r="FY64" s="462"/>
      <c r="FZ64" s="463"/>
      <c r="GA64" s="463"/>
      <c r="GB64" s="463"/>
      <c r="GC64" s="463"/>
      <c r="GD64" s="463"/>
      <c r="GE64" s="463"/>
      <c r="GF64" s="463"/>
      <c r="GG64" s="463"/>
      <c r="GH64" s="463"/>
      <c r="GI64" s="463"/>
      <c r="GJ64" s="463"/>
      <c r="GK64" s="463"/>
      <c r="GL64" s="463"/>
      <c r="GM64" s="469"/>
      <c r="GN64" s="498"/>
      <c r="GO64" s="499"/>
      <c r="GP64" s="499"/>
      <c r="GQ64" s="499"/>
      <c r="GR64" s="499"/>
      <c r="GS64" s="499"/>
      <c r="GT64" s="499"/>
      <c r="GU64" s="499"/>
      <c r="GV64" s="499"/>
      <c r="GW64" s="499"/>
      <c r="GX64" s="499"/>
      <c r="GY64" s="499"/>
      <c r="GZ64" s="499"/>
      <c r="HA64" s="499"/>
      <c r="HB64" s="499"/>
      <c r="HC64" s="499"/>
      <c r="HD64" s="499"/>
      <c r="HE64" s="500"/>
      <c r="HF64" s="220">
        <f>FY63+IF(FY72="",0,1)+IF(FY77="",0,1)+IF(FY82="",0,1)</f>
        <v>0</v>
      </c>
    </row>
    <row r="65" spans="1:234" ht="9" customHeight="1" thickBot="1">
      <c r="A65" s="49"/>
      <c r="B65" s="84"/>
      <c r="C65" s="50"/>
      <c r="D65" s="80"/>
      <c r="E65" s="80"/>
      <c r="F65" s="96"/>
      <c r="G65" s="94"/>
      <c r="H65" s="94"/>
      <c r="I65" s="94"/>
      <c r="J65" s="94"/>
      <c r="K65" s="94"/>
      <c r="L65" s="94"/>
      <c r="M65" s="94"/>
      <c r="N65" s="94"/>
      <c r="O65" s="94"/>
      <c r="P65" s="94"/>
      <c r="Q65" s="94"/>
      <c r="R65" s="94"/>
      <c r="S65" s="94"/>
      <c r="T65" s="94"/>
      <c r="U65" s="94"/>
      <c r="V65" s="94"/>
      <c r="W65" s="94"/>
      <c r="X65" s="94"/>
      <c r="Y65" s="91"/>
      <c r="Z65" s="101"/>
      <c r="AA65" s="91"/>
      <c r="AB65" s="91"/>
      <c r="AC65" s="91"/>
      <c r="AD65" s="91"/>
      <c r="AE65" s="91"/>
      <c r="AF65" s="99"/>
      <c r="AG65" s="50"/>
      <c r="AH65" s="50"/>
      <c r="AI65" s="84"/>
      <c r="AJ65" s="50"/>
      <c r="AK65" s="50"/>
      <c r="AL65" s="87"/>
      <c r="AM65" s="50"/>
      <c r="AN65" s="50"/>
      <c r="AO65" s="66"/>
      <c r="AP65" s="540"/>
      <c r="AQ65" s="540"/>
      <c r="AR65" s="540"/>
      <c r="AS65" s="540"/>
      <c r="AT65" s="540"/>
      <c r="AU65" s="540"/>
      <c r="AV65" s="540"/>
      <c r="AW65" s="540"/>
      <c r="AX65" s="540"/>
      <c r="AY65" s="540"/>
      <c r="AZ65" s="540"/>
      <c r="BA65" s="540"/>
      <c r="BB65" s="540"/>
      <c r="BC65" s="540"/>
      <c r="BD65" s="540"/>
      <c r="BE65" s="540"/>
      <c r="BF65" s="540"/>
      <c r="BG65" s="540"/>
      <c r="BH65" s="540"/>
      <c r="BI65" s="540"/>
      <c r="BJ65" s="540"/>
      <c r="BK65" s="540"/>
      <c r="BL65" s="540"/>
      <c r="BM65" s="540"/>
      <c r="BN65" s="540"/>
      <c r="BO65" s="540"/>
      <c r="BP65" s="540"/>
      <c r="BQ65" s="540"/>
      <c r="BR65" s="68"/>
      <c r="BS65" s="50"/>
      <c r="BT65" s="543"/>
      <c r="BU65" s="543"/>
      <c r="BV65" s="543"/>
      <c r="BW65" s="543"/>
      <c r="BX65" s="543"/>
      <c r="BY65" s="543"/>
      <c r="BZ65" s="543"/>
      <c r="CA65" s="543"/>
      <c r="CB65" s="68"/>
      <c r="CC65" s="50"/>
      <c r="CD65" s="546"/>
      <c r="CE65" s="546"/>
      <c r="CF65" s="546"/>
      <c r="CG65" s="546"/>
      <c r="CH65" s="546"/>
      <c r="CI65" s="546"/>
      <c r="CJ65" s="546"/>
      <c r="CK65" s="546"/>
      <c r="CL65" s="68"/>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60"/>
      <c r="DJ65" s="50"/>
      <c r="DK65" s="50"/>
      <c r="DL65" s="87"/>
      <c r="DM65" s="50"/>
      <c r="DN65" s="50"/>
      <c r="DO65" s="122"/>
      <c r="DP65" s="50"/>
      <c r="DQ65" s="124"/>
      <c r="DR65" s="553"/>
      <c r="DS65" s="553"/>
      <c r="DT65" s="553"/>
      <c r="DU65" s="553"/>
      <c r="DV65" s="553"/>
      <c r="DW65" s="553"/>
      <c r="DX65" s="553"/>
      <c r="DY65" s="553"/>
      <c r="DZ65" s="553"/>
      <c r="EA65" s="553"/>
      <c r="EB65" s="553"/>
      <c r="EC65" s="553"/>
      <c r="ED65" s="553"/>
      <c r="EE65" s="553"/>
      <c r="EF65" s="553"/>
      <c r="EG65" s="553"/>
      <c r="EH65" s="553"/>
      <c r="EI65" s="553"/>
      <c r="EJ65" s="553"/>
      <c r="EK65" s="553"/>
      <c r="EL65" s="553"/>
      <c r="EM65" s="553"/>
      <c r="EN65" s="553"/>
      <c r="EO65" s="553"/>
      <c r="EP65" s="553"/>
      <c r="EQ65" s="553"/>
      <c r="ER65" s="553"/>
      <c r="ES65" s="553"/>
      <c r="ET65" s="553"/>
      <c r="EU65" s="553"/>
      <c r="EV65" s="553"/>
      <c r="EW65" s="553"/>
      <c r="EX65" s="125"/>
      <c r="EY65" s="50"/>
      <c r="EZ65" s="123"/>
      <c r="FA65" s="50"/>
      <c r="FB65" s="51"/>
      <c r="FH65" s="455"/>
      <c r="FI65" s="456"/>
      <c r="FJ65" s="462"/>
      <c r="FK65" s="463"/>
      <c r="FL65" s="463"/>
      <c r="FM65" s="463"/>
      <c r="FN65" s="463"/>
      <c r="FO65" s="463"/>
      <c r="FP65" s="463"/>
      <c r="FQ65" s="463"/>
      <c r="FR65" s="463"/>
      <c r="FS65" s="463"/>
      <c r="FT65" s="463"/>
      <c r="FU65" s="463"/>
      <c r="FV65" s="463"/>
      <c r="FW65" s="463"/>
      <c r="FX65" s="464"/>
      <c r="FY65" s="462"/>
      <c r="FZ65" s="463"/>
      <c r="GA65" s="463"/>
      <c r="GB65" s="463"/>
      <c r="GC65" s="463"/>
      <c r="GD65" s="463"/>
      <c r="GE65" s="463"/>
      <c r="GF65" s="463"/>
      <c r="GG65" s="463"/>
      <c r="GH65" s="463"/>
      <c r="GI65" s="463"/>
      <c r="GJ65" s="463"/>
      <c r="GK65" s="463"/>
      <c r="GL65" s="463"/>
      <c r="GM65" s="469"/>
      <c r="GN65" s="498"/>
      <c r="GO65" s="499"/>
      <c r="GP65" s="499"/>
      <c r="GQ65" s="499"/>
      <c r="GR65" s="499"/>
      <c r="GS65" s="499"/>
      <c r="GT65" s="499"/>
      <c r="GU65" s="499"/>
      <c r="GV65" s="499"/>
      <c r="GW65" s="499"/>
      <c r="GX65" s="499"/>
      <c r="GY65" s="499"/>
      <c r="GZ65" s="499"/>
      <c r="HA65" s="499"/>
      <c r="HB65" s="499"/>
      <c r="HC65" s="499"/>
      <c r="HD65" s="499"/>
      <c r="HE65" s="500"/>
      <c r="HF65" s="220"/>
    </row>
    <row r="66" spans="1:234" ht="9" customHeight="1" thickTop="1">
      <c r="A66" s="49"/>
      <c r="B66" s="84"/>
      <c r="C66" s="50"/>
      <c r="D66" s="80"/>
      <c r="E66" s="80"/>
      <c r="F66" s="80"/>
      <c r="G66" s="80"/>
      <c r="H66" s="50"/>
      <c r="I66" s="81"/>
      <c r="J66" s="81"/>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84"/>
      <c r="AJ66" s="50"/>
      <c r="AK66" s="50"/>
      <c r="AL66" s="87"/>
      <c r="AM66" s="50"/>
      <c r="AN66" s="50"/>
      <c r="AO66" s="66"/>
      <c r="AP66" s="540"/>
      <c r="AQ66" s="540"/>
      <c r="AR66" s="540"/>
      <c r="AS66" s="540"/>
      <c r="AT66" s="540"/>
      <c r="AU66" s="540"/>
      <c r="AV66" s="540"/>
      <c r="AW66" s="540"/>
      <c r="AX66" s="540"/>
      <c r="AY66" s="540"/>
      <c r="AZ66" s="540"/>
      <c r="BA66" s="540"/>
      <c r="BB66" s="540"/>
      <c r="BC66" s="540"/>
      <c r="BD66" s="540"/>
      <c r="BE66" s="540"/>
      <c r="BF66" s="540"/>
      <c r="BG66" s="540"/>
      <c r="BH66" s="540"/>
      <c r="BI66" s="540"/>
      <c r="BJ66" s="540"/>
      <c r="BK66" s="540"/>
      <c r="BL66" s="540"/>
      <c r="BM66" s="540"/>
      <c r="BN66" s="540"/>
      <c r="BO66" s="540"/>
      <c r="BP66" s="540"/>
      <c r="BQ66" s="540"/>
      <c r="BR66" s="68"/>
      <c r="BS66" s="50"/>
      <c r="BT66" s="543"/>
      <c r="BU66" s="543"/>
      <c r="BV66" s="543"/>
      <c r="BW66" s="543"/>
      <c r="BX66" s="543"/>
      <c r="BY66" s="543"/>
      <c r="BZ66" s="543"/>
      <c r="CA66" s="543"/>
      <c r="CB66" s="68"/>
      <c r="CC66" s="50"/>
      <c r="CD66" s="546"/>
      <c r="CE66" s="546"/>
      <c r="CF66" s="546"/>
      <c r="CG66" s="546"/>
      <c r="CH66" s="546"/>
      <c r="CI66" s="546"/>
      <c r="CJ66" s="546"/>
      <c r="CK66" s="546"/>
      <c r="CL66" s="68"/>
      <c r="CM66" s="549"/>
      <c r="CN66" s="549"/>
      <c r="CO66" s="549"/>
      <c r="CP66" s="549"/>
      <c r="CQ66" s="549"/>
      <c r="CR66" s="549"/>
      <c r="CS66" s="549"/>
      <c r="CT66" s="549"/>
      <c r="CU66" s="549"/>
      <c r="CV66" s="549"/>
      <c r="CW66" s="549"/>
      <c r="CX66" s="549"/>
      <c r="CY66" s="549"/>
      <c r="CZ66" s="549"/>
      <c r="DA66" s="549"/>
      <c r="DB66" s="549"/>
      <c r="DC66" s="549"/>
      <c r="DD66" s="549"/>
      <c r="DE66" s="549"/>
      <c r="DF66" s="549"/>
      <c r="DG66" s="549"/>
      <c r="DH66" s="549"/>
      <c r="DI66" s="60"/>
      <c r="DJ66" s="50"/>
      <c r="DK66" s="50"/>
      <c r="DL66" s="87"/>
      <c r="DM66" s="50"/>
      <c r="DN66" s="50"/>
      <c r="DO66" s="122"/>
      <c r="DP66" s="50"/>
      <c r="DQ66" s="124"/>
      <c r="DR66" s="553"/>
      <c r="DS66" s="553"/>
      <c r="DT66" s="553"/>
      <c r="DU66" s="553"/>
      <c r="DV66" s="553"/>
      <c r="DW66" s="553"/>
      <c r="DX66" s="553"/>
      <c r="DY66" s="553"/>
      <c r="DZ66" s="553"/>
      <c r="EA66" s="553"/>
      <c r="EB66" s="553"/>
      <c r="EC66" s="553"/>
      <c r="ED66" s="553"/>
      <c r="EE66" s="553"/>
      <c r="EF66" s="553"/>
      <c r="EG66" s="553"/>
      <c r="EH66" s="553"/>
      <c r="EI66" s="553"/>
      <c r="EJ66" s="553"/>
      <c r="EK66" s="553"/>
      <c r="EL66" s="553"/>
      <c r="EM66" s="553"/>
      <c r="EN66" s="553"/>
      <c r="EO66" s="553"/>
      <c r="EP66" s="553"/>
      <c r="EQ66" s="553"/>
      <c r="ER66" s="553"/>
      <c r="ES66" s="553"/>
      <c r="ET66" s="553"/>
      <c r="EU66" s="553"/>
      <c r="EV66" s="553"/>
      <c r="EW66" s="553"/>
      <c r="EX66" s="125"/>
      <c r="EY66" s="50"/>
      <c r="EZ66" s="123"/>
      <c r="FA66" s="50"/>
      <c r="FB66" s="51"/>
      <c r="FH66" s="457"/>
      <c r="FI66" s="458"/>
      <c r="FJ66" s="465"/>
      <c r="FK66" s="466"/>
      <c r="FL66" s="466"/>
      <c r="FM66" s="466"/>
      <c r="FN66" s="466"/>
      <c r="FO66" s="466"/>
      <c r="FP66" s="466"/>
      <c r="FQ66" s="466"/>
      <c r="FR66" s="466"/>
      <c r="FS66" s="466"/>
      <c r="FT66" s="466"/>
      <c r="FU66" s="466"/>
      <c r="FV66" s="466"/>
      <c r="FW66" s="466"/>
      <c r="FX66" s="467"/>
      <c r="FY66" s="465"/>
      <c r="FZ66" s="466"/>
      <c r="GA66" s="466"/>
      <c r="GB66" s="466"/>
      <c r="GC66" s="466"/>
      <c r="GD66" s="466"/>
      <c r="GE66" s="466"/>
      <c r="GF66" s="466"/>
      <c r="GG66" s="466"/>
      <c r="GH66" s="466"/>
      <c r="GI66" s="466"/>
      <c r="GJ66" s="466"/>
      <c r="GK66" s="466"/>
      <c r="GL66" s="466"/>
      <c r="GM66" s="470"/>
      <c r="GN66" s="513"/>
      <c r="GO66" s="514"/>
      <c r="GP66" s="514"/>
      <c r="GQ66" s="514"/>
      <c r="GR66" s="514"/>
      <c r="GS66" s="514"/>
      <c r="GT66" s="514"/>
      <c r="GU66" s="514"/>
      <c r="GV66" s="514"/>
      <c r="GW66" s="514"/>
      <c r="GX66" s="514"/>
      <c r="GY66" s="514"/>
      <c r="GZ66" s="514"/>
      <c r="HA66" s="514"/>
      <c r="HB66" s="514"/>
      <c r="HC66" s="514"/>
      <c r="HD66" s="514"/>
      <c r="HE66" s="515"/>
      <c r="HF66" s="220"/>
    </row>
    <row r="67" spans="1:234" ht="9" customHeight="1" thickBot="1">
      <c r="A67" s="49"/>
      <c r="B67" s="84"/>
      <c r="C67" s="50"/>
      <c r="D67" s="80"/>
      <c r="E67" s="80"/>
      <c r="F67" s="80"/>
      <c r="G67" s="80"/>
      <c r="H67" s="50"/>
      <c r="I67" s="81"/>
      <c r="J67" s="81"/>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84"/>
      <c r="AJ67" s="50"/>
      <c r="AK67" s="50"/>
      <c r="AL67" s="87"/>
      <c r="AM67" s="50"/>
      <c r="AN67" s="50"/>
      <c r="AO67" s="73"/>
      <c r="AP67" s="541"/>
      <c r="AQ67" s="541"/>
      <c r="AR67" s="541"/>
      <c r="AS67" s="541"/>
      <c r="AT67" s="541"/>
      <c r="AU67" s="541"/>
      <c r="AV67" s="541"/>
      <c r="AW67" s="541"/>
      <c r="AX67" s="541"/>
      <c r="AY67" s="541"/>
      <c r="AZ67" s="541"/>
      <c r="BA67" s="541"/>
      <c r="BB67" s="541"/>
      <c r="BC67" s="541"/>
      <c r="BD67" s="541"/>
      <c r="BE67" s="541"/>
      <c r="BF67" s="541"/>
      <c r="BG67" s="541"/>
      <c r="BH67" s="541"/>
      <c r="BI67" s="541"/>
      <c r="BJ67" s="541"/>
      <c r="BK67" s="541"/>
      <c r="BL67" s="541"/>
      <c r="BM67" s="541"/>
      <c r="BN67" s="541"/>
      <c r="BO67" s="541"/>
      <c r="BP67" s="541"/>
      <c r="BQ67" s="541"/>
      <c r="BR67" s="118"/>
      <c r="BS67" s="61"/>
      <c r="BT67" s="544"/>
      <c r="BU67" s="544"/>
      <c r="BV67" s="544"/>
      <c r="BW67" s="544"/>
      <c r="BX67" s="544"/>
      <c r="BY67" s="544"/>
      <c r="BZ67" s="544"/>
      <c r="CA67" s="544"/>
      <c r="CB67" s="118"/>
      <c r="CC67" s="61"/>
      <c r="CD67" s="547"/>
      <c r="CE67" s="547"/>
      <c r="CF67" s="547"/>
      <c r="CG67" s="547"/>
      <c r="CH67" s="547"/>
      <c r="CI67" s="547"/>
      <c r="CJ67" s="547"/>
      <c r="CK67" s="547"/>
      <c r="CL67" s="118"/>
      <c r="CM67" s="550"/>
      <c r="CN67" s="550"/>
      <c r="CO67" s="550"/>
      <c r="CP67" s="550"/>
      <c r="CQ67" s="550"/>
      <c r="CR67" s="550"/>
      <c r="CS67" s="550"/>
      <c r="CT67" s="550"/>
      <c r="CU67" s="550"/>
      <c r="CV67" s="550"/>
      <c r="CW67" s="550"/>
      <c r="CX67" s="550"/>
      <c r="CY67" s="550"/>
      <c r="CZ67" s="550"/>
      <c r="DA67" s="550"/>
      <c r="DB67" s="550"/>
      <c r="DC67" s="550"/>
      <c r="DD67" s="550"/>
      <c r="DE67" s="550"/>
      <c r="DF67" s="550"/>
      <c r="DG67" s="550"/>
      <c r="DH67" s="550"/>
      <c r="DI67" s="55"/>
      <c r="DJ67" s="50"/>
      <c r="DK67" s="50"/>
      <c r="DL67" s="87"/>
      <c r="DM67" s="50"/>
      <c r="DN67" s="50"/>
      <c r="DO67" s="122"/>
      <c r="DP67" s="50"/>
      <c r="DQ67" s="127"/>
      <c r="DR67" s="554"/>
      <c r="DS67" s="554"/>
      <c r="DT67" s="554"/>
      <c r="DU67" s="554"/>
      <c r="DV67" s="554"/>
      <c r="DW67" s="554"/>
      <c r="DX67" s="554"/>
      <c r="DY67" s="554"/>
      <c r="DZ67" s="554"/>
      <c r="EA67" s="554"/>
      <c r="EB67" s="554"/>
      <c r="EC67" s="554"/>
      <c r="ED67" s="554"/>
      <c r="EE67" s="554"/>
      <c r="EF67" s="554"/>
      <c r="EG67" s="554"/>
      <c r="EH67" s="554"/>
      <c r="EI67" s="554"/>
      <c r="EJ67" s="554"/>
      <c r="EK67" s="554"/>
      <c r="EL67" s="554"/>
      <c r="EM67" s="554"/>
      <c r="EN67" s="554"/>
      <c r="EO67" s="554"/>
      <c r="EP67" s="554"/>
      <c r="EQ67" s="554"/>
      <c r="ER67" s="554"/>
      <c r="ES67" s="554"/>
      <c r="ET67" s="554"/>
      <c r="EU67" s="554"/>
      <c r="EV67" s="554"/>
      <c r="EW67" s="554"/>
      <c r="EX67" s="126"/>
      <c r="EY67" s="50"/>
      <c r="EZ67" s="123"/>
      <c r="FA67" s="50"/>
      <c r="FB67" s="51"/>
      <c r="FH67" s="453" t="s">
        <v>1295</v>
      </c>
      <c r="FI67" s="454"/>
      <c r="FJ67" s="459"/>
      <c r="FK67" s="460"/>
      <c r="FL67" s="460"/>
      <c r="FM67" s="460"/>
      <c r="FN67" s="460"/>
      <c r="FO67" s="460"/>
      <c r="FP67" s="460"/>
      <c r="FQ67" s="460"/>
      <c r="FR67" s="460"/>
      <c r="FS67" s="460"/>
      <c r="FT67" s="460"/>
      <c r="FU67" s="460"/>
      <c r="FV67" s="460"/>
      <c r="FW67" s="460"/>
      <c r="FX67" s="461"/>
      <c r="FY67" s="459"/>
      <c r="FZ67" s="460"/>
      <c r="GA67" s="460"/>
      <c r="GB67" s="460"/>
      <c r="GC67" s="460"/>
      <c r="GD67" s="460"/>
      <c r="GE67" s="460"/>
      <c r="GF67" s="460"/>
      <c r="GG67" s="460"/>
      <c r="GH67" s="460"/>
      <c r="GI67" s="460"/>
      <c r="GJ67" s="460"/>
      <c r="GK67" s="460"/>
      <c r="GL67" s="460"/>
      <c r="GM67" s="468"/>
    </row>
    <row r="68" spans="1:234" ht="9" customHeight="1" thickTop="1" thickBot="1">
      <c r="A68" s="49"/>
      <c r="B68" s="84"/>
      <c r="C68" s="50"/>
      <c r="D68" s="80"/>
      <c r="E68" s="80"/>
      <c r="F68" s="95"/>
      <c r="G68" s="93"/>
      <c r="H68" s="93"/>
      <c r="I68" s="93"/>
      <c r="J68" s="93"/>
      <c r="K68" s="93"/>
      <c r="L68" s="93"/>
      <c r="M68" s="93"/>
      <c r="N68" s="93"/>
      <c r="O68" s="93"/>
      <c r="P68" s="93"/>
      <c r="Q68" s="93"/>
      <c r="R68" s="93"/>
      <c r="S68" s="93"/>
      <c r="T68" s="93"/>
      <c r="U68" s="93"/>
      <c r="V68" s="93"/>
      <c r="W68" s="93"/>
      <c r="X68" s="93"/>
      <c r="Y68" s="90"/>
      <c r="Z68" s="100"/>
      <c r="AA68" s="90"/>
      <c r="AB68" s="90"/>
      <c r="AC68" s="90"/>
      <c r="AD68" s="90"/>
      <c r="AE68" s="90"/>
      <c r="AF68" s="98"/>
      <c r="AG68" s="50"/>
      <c r="AH68" s="50"/>
      <c r="AI68" s="84"/>
      <c r="AJ68" s="50"/>
      <c r="AK68" s="50"/>
      <c r="AL68" s="87"/>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c r="DF68" s="50"/>
      <c r="DG68" s="50"/>
      <c r="DH68" s="50"/>
      <c r="DI68" s="50"/>
      <c r="DJ68" s="50"/>
      <c r="DK68" s="50"/>
      <c r="DL68" s="87"/>
      <c r="DM68" s="50"/>
      <c r="DN68" s="50"/>
      <c r="DO68" s="122"/>
      <c r="DP68" s="50"/>
      <c r="DQ68" s="50"/>
      <c r="DR68" s="50"/>
      <c r="DS68" s="50"/>
      <c r="DT68" s="50"/>
      <c r="DU68" s="50"/>
      <c r="DV68" s="50"/>
      <c r="DW68" s="50"/>
      <c r="DX68" s="50"/>
      <c r="DY68" s="50"/>
      <c r="DZ68" s="50"/>
      <c r="EA68" s="50"/>
      <c r="EB68" s="50"/>
      <c r="EC68" s="50"/>
      <c r="ED68" s="50"/>
      <c r="EE68" s="50"/>
      <c r="EF68" s="50"/>
      <c r="EG68" s="50"/>
      <c r="EH68" s="50"/>
      <c r="EI68" s="50"/>
      <c r="EJ68" s="50"/>
      <c r="EK68" s="50"/>
      <c r="EL68" s="50"/>
      <c r="EM68" s="50"/>
      <c r="EN68" s="50"/>
      <c r="EO68" s="50"/>
      <c r="EP68" s="50"/>
      <c r="EQ68" s="50"/>
      <c r="ER68" s="50"/>
      <c r="ES68" s="50"/>
      <c r="ET68" s="50"/>
      <c r="EU68" s="50"/>
      <c r="EV68" s="50"/>
      <c r="EW68" s="50"/>
      <c r="EX68" s="50"/>
      <c r="EY68" s="50"/>
      <c r="EZ68" s="123"/>
      <c r="FA68" s="50"/>
      <c r="FB68" s="51"/>
      <c r="FH68" s="455"/>
      <c r="FI68" s="456"/>
      <c r="FJ68" s="462"/>
      <c r="FK68" s="463"/>
      <c r="FL68" s="463"/>
      <c r="FM68" s="463"/>
      <c r="FN68" s="463"/>
      <c r="FO68" s="463"/>
      <c r="FP68" s="463"/>
      <c r="FQ68" s="463"/>
      <c r="FR68" s="463"/>
      <c r="FS68" s="463"/>
      <c r="FT68" s="463"/>
      <c r="FU68" s="463"/>
      <c r="FV68" s="463"/>
      <c r="FW68" s="463"/>
      <c r="FX68" s="464"/>
      <c r="FY68" s="462"/>
      <c r="FZ68" s="463"/>
      <c r="GA68" s="463"/>
      <c r="GB68" s="463"/>
      <c r="GC68" s="463"/>
      <c r="GD68" s="463"/>
      <c r="GE68" s="463"/>
      <c r="GF68" s="463"/>
      <c r="GG68" s="463"/>
      <c r="GH68" s="463"/>
      <c r="GI68" s="463"/>
      <c r="GJ68" s="463"/>
      <c r="GK68" s="463"/>
      <c r="GL68" s="463"/>
      <c r="GM68" s="469"/>
    </row>
    <row r="69" spans="1:234" ht="9" customHeight="1" thickTop="1">
      <c r="A69" s="49"/>
      <c r="B69" s="84"/>
      <c r="C69" s="50"/>
      <c r="D69" s="80"/>
      <c r="E69" s="80"/>
      <c r="F69" s="92"/>
      <c r="G69" s="551" t="s">
        <v>579</v>
      </c>
      <c r="H69" s="551"/>
      <c r="I69" s="551"/>
      <c r="J69" s="551"/>
      <c r="K69" s="551"/>
      <c r="L69" s="551"/>
      <c r="M69" s="551"/>
      <c r="N69" s="551"/>
      <c r="O69" s="551"/>
      <c r="P69" s="551"/>
      <c r="Q69" s="551"/>
      <c r="R69" s="551"/>
      <c r="S69" s="551"/>
      <c r="T69" s="551"/>
      <c r="U69" s="551"/>
      <c r="V69" s="551"/>
      <c r="W69" s="551"/>
      <c r="X69" s="551"/>
      <c r="Y69" s="551"/>
      <c r="Z69" s="56"/>
      <c r="AA69" s="551">
        <f>IF(Abilities!S13="","",Abilities!S13)</f>
        <v>2</v>
      </c>
      <c r="AB69" s="551"/>
      <c r="AC69" s="551"/>
      <c r="AD69" s="551"/>
      <c r="AE69" s="551"/>
      <c r="AF69" s="97"/>
      <c r="AG69" s="50"/>
      <c r="AH69" s="50"/>
      <c r="AI69" s="84"/>
      <c r="AJ69" s="50"/>
      <c r="AK69" s="50"/>
      <c r="AL69" s="87"/>
      <c r="AM69" s="50"/>
      <c r="AN69" s="50"/>
      <c r="AO69" s="72"/>
      <c r="AP69" s="539" t="str">
        <f>IF(Calc!C10="","",Calc!C10)</f>
        <v/>
      </c>
      <c r="AQ69" s="539"/>
      <c r="AR69" s="539"/>
      <c r="AS69" s="539"/>
      <c r="AT69" s="539"/>
      <c r="AU69" s="539"/>
      <c r="AV69" s="539"/>
      <c r="AW69" s="539"/>
      <c r="AX69" s="539"/>
      <c r="AY69" s="539"/>
      <c r="AZ69" s="539"/>
      <c r="BA69" s="539"/>
      <c r="BB69" s="539"/>
      <c r="BC69" s="539"/>
      <c r="BD69" s="539"/>
      <c r="BE69" s="539"/>
      <c r="BF69" s="539"/>
      <c r="BG69" s="539"/>
      <c r="BH69" s="539"/>
      <c r="BI69" s="539"/>
      <c r="BJ69" s="539"/>
      <c r="BK69" s="539"/>
      <c r="BL69" s="539"/>
      <c r="BM69" s="539"/>
      <c r="BN69" s="539"/>
      <c r="BO69" s="539"/>
      <c r="BP69" s="539"/>
      <c r="BQ69" s="539"/>
      <c r="BR69" s="117"/>
      <c r="BS69" s="58"/>
      <c r="BT69" s="542" t="str">
        <f>IF(Calc!AU10="","",Calc!AU10)</f>
        <v/>
      </c>
      <c r="BU69" s="542"/>
      <c r="BV69" s="542"/>
      <c r="BW69" s="542"/>
      <c r="BX69" s="542"/>
      <c r="BY69" s="542"/>
      <c r="BZ69" s="542"/>
      <c r="CA69" s="542"/>
      <c r="CB69" s="117"/>
      <c r="CC69" s="58"/>
      <c r="CD69" s="545" t="str">
        <f>IF(Calc!T10="","",Calc!T10)</f>
        <v/>
      </c>
      <c r="CE69" s="545"/>
      <c r="CF69" s="545"/>
      <c r="CG69" s="545"/>
      <c r="CH69" s="545"/>
      <c r="CI69" s="545"/>
      <c r="CJ69" s="545"/>
      <c r="CK69" s="545"/>
      <c r="CL69" s="117"/>
      <c r="CM69" s="548" t="str">
        <f>IF(Calc!AY10="","",Calc!AY10)</f>
        <v/>
      </c>
      <c r="CN69" s="548"/>
      <c r="CO69" s="548"/>
      <c r="CP69" s="548"/>
      <c r="CQ69" s="548"/>
      <c r="CR69" s="548"/>
      <c r="CS69" s="548"/>
      <c r="CT69" s="548"/>
      <c r="CU69" s="548"/>
      <c r="CV69" s="548"/>
      <c r="CW69" s="548"/>
      <c r="CX69" s="548"/>
      <c r="CY69" s="548"/>
      <c r="CZ69" s="548"/>
      <c r="DA69" s="548"/>
      <c r="DB69" s="548"/>
      <c r="DC69" s="548"/>
      <c r="DD69" s="548"/>
      <c r="DE69" s="548"/>
      <c r="DF69" s="548"/>
      <c r="DG69" s="548"/>
      <c r="DH69" s="548"/>
      <c r="DI69" s="57"/>
      <c r="DJ69" s="50"/>
      <c r="DK69" s="50"/>
      <c r="DL69" s="87"/>
      <c r="DM69" s="50"/>
      <c r="DN69" s="50"/>
      <c r="DO69" s="122"/>
      <c r="DP69" s="50"/>
      <c r="DQ69" s="50"/>
      <c r="DR69" s="50"/>
      <c r="DS69" s="50"/>
      <c r="DT69" s="50"/>
      <c r="DU69" s="50"/>
      <c r="DV69" s="50"/>
      <c r="DW69" s="50"/>
      <c r="DX69" s="50"/>
      <c r="DY69" s="50"/>
      <c r="DZ69" s="50"/>
      <c r="EA69" s="50"/>
      <c r="EB69" s="50"/>
      <c r="EC69" s="50"/>
      <c r="ED69" s="50"/>
      <c r="EE69" s="50"/>
      <c r="EF69" s="50"/>
      <c r="EG69" s="50"/>
      <c r="EH69" s="50"/>
      <c r="EI69" s="50"/>
      <c r="EJ69" s="50"/>
      <c r="EK69" s="50"/>
      <c r="EL69" s="50"/>
      <c r="EM69" s="50"/>
      <c r="EN69" s="50"/>
      <c r="EO69" s="50"/>
      <c r="EP69" s="50"/>
      <c r="EQ69" s="50"/>
      <c r="ER69" s="50"/>
      <c r="ES69" s="50"/>
      <c r="ET69" s="50"/>
      <c r="EU69" s="50"/>
      <c r="EV69" s="50"/>
      <c r="EW69" s="50"/>
      <c r="EX69" s="50"/>
      <c r="EY69" s="50"/>
      <c r="EZ69" s="123"/>
      <c r="FA69" s="50"/>
      <c r="FB69" s="51"/>
      <c r="FH69" s="455"/>
      <c r="FI69" s="456"/>
      <c r="FJ69" s="462"/>
      <c r="FK69" s="463"/>
      <c r="FL69" s="463"/>
      <c r="FM69" s="463"/>
      <c r="FN69" s="463"/>
      <c r="FO69" s="463"/>
      <c r="FP69" s="463"/>
      <c r="FQ69" s="463"/>
      <c r="FR69" s="463"/>
      <c r="FS69" s="463"/>
      <c r="FT69" s="463"/>
      <c r="FU69" s="463"/>
      <c r="FV69" s="463"/>
      <c r="FW69" s="463"/>
      <c r="FX69" s="464"/>
      <c r="FY69" s="462"/>
      <c r="FZ69" s="463"/>
      <c r="GA69" s="463"/>
      <c r="GB69" s="463"/>
      <c r="GC69" s="463"/>
      <c r="GD69" s="463"/>
      <c r="GE69" s="463"/>
      <c r="GF69" s="463"/>
      <c r="GG69" s="463"/>
      <c r="GH69" s="463"/>
      <c r="GI69" s="463"/>
      <c r="GJ69" s="463"/>
      <c r="GK69" s="463"/>
      <c r="GL69" s="463"/>
      <c r="GM69" s="469"/>
    </row>
    <row r="70" spans="1:234" ht="9" customHeight="1">
      <c r="A70" s="49"/>
      <c r="B70" s="84"/>
      <c r="C70" s="50"/>
      <c r="D70" s="80"/>
      <c r="E70" s="80"/>
      <c r="F70" s="92"/>
      <c r="G70" s="551"/>
      <c r="H70" s="551"/>
      <c r="I70" s="551"/>
      <c r="J70" s="551"/>
      <c r="K70" s="551"/>
      <c r="L70" s="551"/>
      <c r="M70" s="551"/>
      <c r="N70" s="551"/>
      <c r="O70" s="551"/>
      <c r="P70" s="551"/>
      <c r="Q70" s="551"/>
      <c r="R70" s="551"/>
      <c r="S70" s="551"/>
      <c r="T70" s="551"/>
      <c r="U70" s="551"/>
      <c r="V70" s="551"/>
      <c r="W70" s="551"/>
      <c r="X70" s="551"/>
      <c r="Y70" s="551"/>
      <c r="Z70" s="56"/>
      <c r="AA70" s="551"/>
      <c r="AB70" s="551"/>
      <c r="AC70" s="551"/>
      <c r="AD70" s="551"/>
      <c r="AE70" s="551"/>
      <c r="AF70" s="97"/>
      <c r="AG70" s="50"/>
      <c r="AH70" s="50"/>
      <c r="AI70" s="84"/>
      <c r="AJ70" s="50"/>
      <c r="AK70" s="50"/>
      <c r="AL70" s="87"/>
      <c r="AM70" s="50"/>
      <c r="AN70" s="50"/>
      <c r="AO70" s="66"/>
      <c r="AP70" s="540"/>
      <c r="AQ70" s="540"/>
      <c r="AR70" s="540"/>
      <c r="AS70" s="540"/>
      <c r="AT70" s="540"/>
      <c r="AU70" s="540"/>
      <c r="AV70" s="540"/>
      <c r="AW70" s="540"/>
      <c r="AX70" s="540"/>
      <c r="AY70" s="540"/>
      <c r="AZ70" s="540"/>
      <c r="BA70" s="540"/>
      <c r="BB70" s="540"/>
      <c r="BC70" s="540"/>
      <c r="BD70" s="540"/>
      <c r="BE70" s="540"/>
      <c r="BF70" s="540"/>
      <c r="BG70" s="540"/>
      <c r="BH70" s="540"/>
      <c r="BI70" s="540"/>
      <c r="BJ70" s="540"/>
      <c r="BK70" s="540"/>
      <c r="BL70" s="540"/>
      <c r="BM70" s="540"/>
      <c r="BN70" s="540"/>
      <c r="BO70" s="540"/>
      <c r="BP70" s="540"/>
      <c r="BQ70" s="540"/>
      <c r="BR70" s="68"/>
      <c r="BS70" s="50"/>
      <c r="BT70" s="543"/>
      <c r="BU70" s="543"/>
      <c r="BV70" s="543"/>
      <c r="BW70" s="543"/>
      <c r="BX70" s="543"/>
      <c r="BY70" s="543"/>
      <c r="BZ70" s="543"/>
      <c r="CA70" s="543"/>
      <c r="CB70" s="68"/>
      <c r="CC70" s="50"/>
      <c r="CD70" s="546"/>
      <c r="CE70" s="546"/>
      <c r="CF70" s="546"/>
      <c r="CG70" s="546"/>
      <c r="CH70" s="546"/>
      <c r="CI70" s="546"/>
      <c r="CJ70" s="546"/>
      <c r="CK70" s="546"/>
      <c r="CL70" s="68"/>
      <c r="CM70" s="549"/>
      <c r="CN70" s="549"/>
      <c r="CO70" s="549"/>
      <c r="CP70" s="549"/>
      <c r="CQ70" s="549"/>
      <c r="CR70" s="549"/>
      <c r="CS70" s="549"/>
      <c r="CT70" s="549"/>
      <c r="CU70" s="549"/>
      <c r="CV70" s="549"/>
      <c r="CW70" s="549"/>
      <c r="CX70" s="549"/>
      <c r="CY70" s="549"/>
      <c r="CZ70" s="549"/>
      <c r="DA70" s="549"/>
      <c r="DB70" s="549"/>
      <c r="DC70" s="549"/>
      <c r="DD70" s="549"/>
      <c r="DE70" s="549"/>
      <c r="DF70" s="549"/>
      <c r="DG70" s="549"/>
      <c r="DH70" s="549"/>
      <c r="DI70" s="60"/>
      <c r="DJ70" s="50"/>
      <c r="DK70" s="50"/>
      <c r="DL70" s="87"/>
      <c r="DM70" s="50"/>
      <c r="DN70" s="50"/>
      <c r="DO70" s="122"/>
      <c r="DP70" s="557" t="str">
        <f>IF(Adv!CH41="","",Adv!CH41)</f>
        <v>Defensive Roll 6, Benefit 3 [Yakuza Leader], Attractive 2, Fascinate 2 [Persuasion/Deception], Languages 3 [Japanese, English, Various], Connected, Well-Informed</v>
      </c>
      <c r="DQ70" s="557"/>
      <c r="DR70" s="557"/>
      <c r="DS70" s="557"/>
      <c r="DT70" s="557"/>
      <c r="DU70" s="557"/>
      <c r="DV70" s="557"/>
      <c r="DW70" s="557"/>
      <c r="DX70" s="557"/>
      <c r="DY70" s="557"/>
      <c r="DZ70" s="557"/>
      <c r="EA70" s="557"/>
      <c r="EB70" s="557"/>
      <c r="EC70" s="557"/>
      <c r="ED70" s="557"/>
      <c r="EE70" s="557"/>
      <c r="EF70" s="557"/>
      <c r="EG70" s="557"/>
      <c r="EH70" s="557"/>
      <c r="EI70" s="557"/>
      <c r="EJ70" s="557"/>
      <c r="EK70" s="557"/>
      <c r="EL70" s="557"/>
      <c r="EM70" s="557"/>
      <c r="EN70" s="557"/>
      <c r="EO70" s="557"/>
      <c r="EP70" s="557"/>
      <c r="EQ70" s="557"/>
      <c r="ER70" s="557"/>
      <c r="ES70" s="557"/>
      <c r="ET70" s="557"/>
      <c r="EU70" s="557"/>
      <c r="EV70" s="557"/>
      <c r="EW70" s="557"/>
      <c r="EX70" s="557"/>
      <c r="EY70" s="557"/>
      <c r="EZ70" s="123"/>
      <c r="FA70" s="50"/>
      <c r="FB70" s="51"/>
      <c r="FH70" s="455"/>
      <c r="FI70" s="456"/>
      <c r="FJ70" s="462"/>
      <c r="FK70" s="463"/>
      <c r="FL70" s="463"/>
      <c r="FM70" s="463"/>
      <c r="FN70" s="463"/>
      <c r="FO70" s="463"/>
      <c r="FP70" s="463"/>
      <c r="FQ70" s="463"/>
      <c r="FR70" s="463"/>
      <c r="FS70" s="463"/>
      <c r="FT70" s="463"/>
      <c r="FU70" s="463"/>
      <c r="FV70" s="463"/>
      <c r="FW70" s="463"/>
      <c r="FX70" s="464"/>
      <c r="FY70" s="462"/>
      <c r="FZ70" s="463"/>
      <c r="GA70" s="463"/>
      <c r="GB70" s="463"/>
      <c r="GC70" s="463"/>
      <c r="GD70" s="463"/>
      <c r="GE70" s="463"/>
      <c r="GF70" s="463"/>
      <c r="GG70" s="463"/>
      <c r="GH70" s="463"/>
      <c r="GI70" s="463"/>
      <c r="GJ70" s="463"/>
      <c r="GK70" s="463"/>
      <c r="GL70" s="463"/>
      <c r="GM70" s="469"/>
    </row>
    <row r="71" spans="1:234" ht="9" customHeight="1">
      <c r="A71" s="49"/>
      <c r="B71" s="84"/>
      <c r="C71" s="50"/>
      <c r="D71" s="80"/>
      <c r="E71" s="80"/>
      <c r="F71" s="92"/>
      <c r="G71" s="551"/>
      <c r="H71" s="551"/>
      <c r="I71" s="551"/>
      <c r="J71" s="551"/>
      <c r="K71" s="551"/>
      <c r="L71" s="551"/>
      <c r="M71" s="551"/>
      <c r="N71" s="551"/>
      <c r="O71" s="551"/>
      <c r="P71" s="551"/>
      <c r="Q71" s="551"/>
      <c r="R71" s="551"/>
      <c r="S71" s="551"/>
      <c r="T71" s="551"/>
      <c r="U71" s="551"/>
      <c r="V71" s="551"/>
      <c r="W71" s="551"/>
      <c r="X71" s="551"/>
      <c r="Y71" s="551"/>
      <c r="Z71" s="56"/>
      <c r="AA71" s="551"/>
      <c r="AB71" s="551"/>
      <c r="AC71" s="551"/>
      <c r="AD71" s="551"/>
      <c r="AE71" s="551"/>
      <c r="AF71" s="97"/>
      <c r="AG71" s="50"/>
      <c r="AH71" s="50"/>
      <c r="AI71" s="84"/>
      <c r="AJ71" s="50"/>
      <c r="AK71" s="50"/>
      <c r="AL71" s="87"/>
      <c r="AM71" s="50"/>
      <c r="AN71" s="50"/>
      <c r="AO71" s="66"/>
      <c r="AP71" s="540"/>
      <c r="AQ71" s="540"/>
      <c r="AR71" s="540"/>
      <c r="AS71" s="540"/>
      <c r="AT71" s="540"/>
      <c r="AU71" s="540"/>
      <c r="AV71" s="540"/>
      <c r="AW71" s="540"/>
      <c r="AX71" s="540"/>
      <c r="AY71" s="540"/>
      <c r="AZ71" s="540"/>
      <c r="BA71" s="540"/>
      <c r="BB71" s="540"/>
      <c r="BC71" s="540"/>
      <c r="BD71" s="540"/>
      <c r="BE71" s="540"/>
      <c r="BF71" s="540"/>
      <c r="BG71" s="540"/>
      <c r="BH71" s="540"/>
      <c r="BI71" s="540"/>
      <c r="BJ71" s="540"/>
      <c r="BK71" s="540"/>
      <c r="BL71" s="540"/>
      <c r="BM71" s="540"/>
      <c r="BN71" s="540"/>
      <c r="BO71" s="540"/>
      <c r="BP71" s="540"/>
      <c r="BQ71" s="540"/>
      <c r="BR71" s="68"/>
      <c r="BS71" s="50"/>
      <c r="BT71" s="543"/>
      <c r="BU71" s="543"/>
      <c r="BV71" s="543"/>
      <c r="BW71" s="543"/>
      <c r="BX71" s="543"/>
      <c r="BY71" s="543"/>
      <c r="BZ71" s="543"/>
      <c r="CA71" s="543"/>
      <c r="CB71" s="68"/>
      <c r="CC71" s="50"/>
      <c r="CD71" s="546"/>
      <c r="CE71" s="546"/>
      <c r="CF71" s="546"/>
      <c r="CG71" s="546"/>
      <c r="CH71" s="546"/>
      <c r="CI71" s="546"/>
      <c r="CJ71" s="546"/>
      <c r="CK71" s="546"/>
      <c r="CL71" s="68"/>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60"/>
      <c r="DJ71" s="50"/>
      <c r="DK71" s="50"/>
      <c r="DL71" s="87"/>
      <c r="DM71" s="50"/>
      <c r="DN71" s="50"/>
      <c r="DO71" s="122"/>
      <c r="DP71" s="557"/>
      <c r="DQ71" s="557"/>
      <c r="DR71" s="557"/>
      <c r="DS71" s="557"/>
      <c r="DT71" s="557"/>
      <c r="DU71" s="557"/>
      <c r="DV71" s="557"/>
      <c r="DW71" s="557"/>
      <c r="DX71" s="557"/>
      <c r="DY71" s="557"/>
      <c r="DZ71" s="557"/>
      <c r="EA71" s="557"/>
      <c r="EB71" s="557"/>
      <c r="EC71" s="557"/>
      <c r="ED71" s="557"/>
      <c r="EE71" s="557"/>
      <c r="EF71" s="557"/>
      <c r="EG71" s="557"/>
      <c r="EH71" s="557"/>
      <c r="EI71" s="557"/>
      <c r="EJ71" s="557"/>
      <c r="EK71" s="557"/>
      <c r="EL71" s="557"/>
      <c r="EM71" s="557"/>
      <c r="EN71" s="557"/>
      <c r="EO71" s="557"/>
      <c r="EP71" s="557"/>
      <c r="EQ71" s="557"/>
      <c r="ER71" s="557"/>
      <c r="ES71" s="557"/>
      <c r="ET71" s="557"/>
      <c r="EU71" s="557"/>
      <c r="EV71" s="557"/>
      <c r="EW71" s="557"/>
      <c r="EX71" s="557"/>
      <c r="EY71" s="557"/>
      <c r="EZ71" s="123"/>
      <c r="FA71" s="50"/>
      <c r="FB71" s="51"/>
      <c r="FH71" s="457"/>
      <c r="FI71" s="458"/>
      <c r="FJ71" s="465"/>
      <c r="FK71" s="466"/>
      <c r="FL71" s="466"/>
      <c r="FM71" s="466"/>
      <c r="FN71" s="466"/>
      <c r="FO71" s="466"/>
      <c r="FP71" s="466"/>
      <c r="FQ71" s="466"/>
      <c r="FR71" s="466"/>
      <c r="FS71" s="466"/>
      <c r="FT71" s="466"/>
      <c r="FU71" s="466"/>
      <c r="FV71" s="466"/>
      <c r="FW71" s="466"/>
      <c r="FX71" s="467"/>
      <c r="FY71" s="465"/>
      <c r="FZ71" s="466"/>
      <c r="GA71" s="466"/>
      <c r="GB71" s="466"/>
      <c r="GC71" s="466"/>
      <c r="GD71" s="466"/>
      <c r="GE71" s="466"/>
      <c r="GF71" s="466"/>
      <c r="GG71" s="466"/>
      <c r="GH71" s="466"/>
      <c r="GI71" s="466"/>
      <c r="GJ71" s="466"/>
      <c r="GK71" s="466"/>
      <c r="GL71" s="466"/>
      <c r="GM71" s="470"/>
    </row>
    <row r="72" spans="1:234" ht="9" customHeight="1" thickBot="1">
      <c r="A72" s="49"/>
      <c r="B72" s="84"/>
      <c r="C72" s="50"/>
      <c r="D72" s="80"/>
      <c r="E72" s="80"/>
      <c r="F72" s="96"/>
      <c r="G72" s="94"/>
      <c r="H72" s="94"/>
      <c r="I72" s="94"/>
      <c r="J72" s="94"/>
      <c r="K72" s="94"/>
      <c r="L72" s="94"/>
      <c r="M72" s="94"/>
      <c r="N72" s="94"/>
      <c r="O72" s="94"/>
      <c r="P72" s="94"/>
      <c r="Q72" s="94"/>
      <c r="R72" s="94"/>
      <c r="S72" s="94"/>
      <c r="T72" s="94"/>
      <c r="U72" s="94"/>
      <c r="V72" s="94"/>
      <c r="W72" s="94"/>
      <c r="X72" s="94"/>
      <c r="Y72" s="91"/>
      <c r="Z72" s="101"/>
      <c r="AA72" s="91"/>
      <c r="AB72" s="91"/>
      <c r="AC72" s="91"/>
      <c r="AD72" s="91"/>
      <c r="AE72" s="91"/>
      <c r="AF72" s="99"/>
      <c r="AG72" s="50"/>
      <c r="AH72" s="50"/>
      <c r="AI72" s="84"/>
      <c r="AJ72" s="50"/>
      <c r="AK72" s="50"/>
      <c r="AL72" s="87"/>
      <c r="AM72" s="50"/>
      <c r="AN72" s="50"/>
      <c r="AO72" s="73"/>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c r="BP72" s="541"/>
      <c r="BQ72" s="541"/>
      <c r="BR72" s="118"/>
      <c r="BS72" s="61"/>
      <c r="BT72" s="544"/>
      <c r="BU72" s="544"/>
      <c r="BV72" s="544"/>
      <c r="BW72" s="544"/>
      <c r="BX72" s="544"/>
      <c r="BY72" s="544"/>
      <c r="BZ72" s="544"/>
      <c r="CA72" s="544"/>
      <c r="CB72" s="118"/>
      <c r="CC72" s="61"/>
      <c r="CD72" s="547"/>
      <c r="CE72" s="547"/>
      <c r="CF72" s="547"/>
      <c r="CG72" s="547"/>
      <c r="CH72" s="547"/>
      <c r="CI72" s="547"/>
      <c r="CJ72" s="547"/>
      <c r="CK72" s="547"/>
      <c r="CL72" s="118"/>
      <c r="CM72" s="550"/>
      <c r="CN72" s="550"/>
      <c r="CO72" s="550"/>
      <c r="CP72" s="550"/>
      <c r="CQ72" s="550"/>
      <c r="CR72" s="550"/>
      <c r="CS72" s="550"/>
      <c r="CT72" s="550"/>
      <c r="CU72" s="550"/>
      <c r="CV72" s="550"/>
      <c r="CW72" s="550"/>
      <c r="CX72" s="550"/>
      <c r="CY72" s="550"/>
      <c r="CZ72" s="550"/>
      <c r="DA72" s="550"/>
      <c r="DB72" s="550"/>
      <c r="DC72" s="550"/>
      <c r="DD72" s="550"/>
      <c r="DE72" s="550"/>
      <c r="DF72" s="550"/>
      <c r="DG72" s="550"/>
      <c r="DH72" s="550"/>
      <c r="DI72" s="55"/>
      <c r="DJ72" s="50"/>
      <c r="DK72" s="50"/>
      <c r="DL72" s="87"/>
      <c r="DM72" s="50"/>
      <c r="DN72" s="50"/>
      <c r="DO72" s="122"/>
      <c r="DP72" s="557"/>
      <c r="DQ72" s="557"/>
      <c r="DR72" s="557"/>
      <c r="DS72" s="557"/>
      <c r="DT72" s="557"/>
      <c r="DU72" s="557"/>
      <c r="DV72" s="557"/>
      <c r="DW72" s="557"/>
      <c r="DX72" s="557"/>
      <c r="DY72" s="557"/>
      <c r="DZ72" s="557"/>
      <c r="EA72" s="557"/>
      <c r="EB72" s="557"/>
      <c r="EC72" s="557"/>
      <c r="ED72" s="557"/>
      <c r="EE72" s="557"/>
      <c r="EF72" s="557"/>
      <c r="EG72" s="557"/>
      <c r="EH72" s="557"/>
      <c r="EI72" s="557"/>
      <c r="EJ72" s="557"/>
      <c r="EK72" s="557"/>
      <c r="EL72" s="557"/>
      <c r="EM72" s="557"/>
      <c r="EN72" s="557"/>
      <c r="EO72" s="557"/>
      <c r="EP72" s="557"/>
      <c r="EQ72" s="557"/>
      <c r="ER72" s="557"/>
      <c r="ES72" s="557"/>
      <c r="ET72" s="557"/>
      <c r="EU72" s="557"/>
      <c r="EV72" s="557"/>
      <c r="EW72" s="557"/>
      <c r="EX72" s="557"/>
      <c r="EY72" s="557"/>
      <c r="EZ72" s="123"/>
      <c r="FA72" s="50"/>
      <c r="FB72" s="51"/>
      <c r="FH72" s="453" t="s">
        <v>1300</v>
      </c>
      <c r="FI72" s="454"/>
      <c r="FJ72" s="459"/>
      <c r="FK72" s="460"/>
      <c r="FL72" s="460"/>
      <c r="FM72" s="460"/>
      <c r="FN72" s="460"/>
      <c r="FO72" s="460"/>
      <c r="FP72" s="460"/>
      <c r="FQ72" s="460"/>
      <c r="FR72" s="460"/>
      <c r="FS72" s="460"/>
      <c r="FT72" s="460"/>
      <c r="FU72" s="460"/>
      <c r="FV72" s="460"/>
      <c r="FW72" s="460"/>
      <c r="FX72" s="461"/>
      <c r="FY72" s="459"/>
      <c r="FZ72" s="460"/>
      <c r="GA72" s="460"/>
      <c r="GB72" s="460"/>
      <c r="GC72" s="460"/>
      <c r="GD72" s="460"/>
      <c r="GE72" s="460"/>
      <c r="GF72" s="460"/>
      <c r="GG72" s="460"/>
      <c r="GH72" s="460"/>
      <c r="GI72" s="460"/>
      <c r="GJ72" s="460"/>
      <c r="GK72" s="460"/>
      <c r="GL72" s="460"/>
      <c r="GM72" s="468"/>
      <c r="GN72" s="518" t="s">
        <v>1301</v>
      </c>
      <c r="GO72" s="519"/>
      <c r="GP72" s="519"/>
      <c r="GQ72" s="519"/>
      <c r="GR72" s="519"/>
      <c r="GS72" s="519"/>
      <c r="GT72" s="519"/>
      <c r="GU72" s="519"/>
      <c r="GV72" s="519"/>
      <c r="GW72" s="519"/>
      <c r="GX72" s="519"/>
      <c r="GY72" s="519"/>
      <c r="GZ72" s="519"/>
      <c r="HA72" s="519"/>
      <c r="HB72" s="519"/>
      <c r="HC72" s="519"/>
      <c r="HD72" s="519"/>
      <c r="HE72" s="519"/>
      <c r="HF72" s="519"/>
      <c r="HG72" s="519"/>
      <c r="HH72" s="519"/>
      <c r="HI72" s="519"/>
      <c r="HJ72" s="519"/>
      <c r="HK72" s="519"/>
      <c r="HL72" s="519"/>
      <c r="HM72" s="519"/>
      <c r="HN72" s="519"/>
      <c r="HO72" s="519"/>
      <c r="HP72" s="519"/>
      <c r="HQ72" s="519"/>
      <c r="HR72" s="519"/>
      <c r="HS72" s="519"/>
      <c r="HT72" s="519"/>
      <c r="HU72" s="519"/>
      <c r="HV72" s="519"/>
      <c r="HW72" s="519"/>
      <c r="HX72" s="519"/>
      <c r="HY72" s="519"/>
      <c r="HZ72" s="519"/>
    </row>
    <row r="73" spans="1:234" ht="9" customHeight="1" thickTop="1" thickBot="1">
      <c r="A73" s="49"/>
      <c r="B73" s="84"/>
      <c r="C73" s="50"/>
      <c r="D73" s="80"/>
      <c r="E73" s="80"/>
      <c r="F73" s="80"/>
      <c r="G73" s="80"/>
      <c r="H73" s="50"/>
      <c r="I73" s="81"/>
      <c r="J73" s="81"/>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84"/>
      <c r="AJ73" s="50"/>
      <c r="AK73" s="50"/>
      <c r="AL73" s="87"/>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c r="DF73" s="50"/>
      <c r="DG73" s="50"/>
      <c r="DH73" s="50"/>
      <c r="DI73" s="50"/>
      <c r="DJ73" s="50"/>
      <c r="DK73" s="50"/>
      <c r="DL73" s="87"/>
      <c r="DM73" s="50"/>
      <c r="DN73" s="50"/>
      <c r="DO73" s="122"/>
      <c r="DP73" s="557"/>
      <c r="DQ73" s="557"/>
      <c r="DR73" s="557"/>
      <c r="DS73" s="557"/>
      <c r="DT73" s="557"/>
      <c r="DU73" s="557"/>
      <c r="DV73" s="557"/>
      <c r="DW73" s="557"/>
      <c r="DX73" s="557"/>
      <c r="DY73" s="557"/>
      <c r="DZ73" s="557"/>
      <c r="EA73" s="557"/>
      <c r="EB73" s="557"/>
      <c r="EC73" s="557"/>
      <c r="ED73" s="557"/>
      <c r="EE73" s="557"/>
      <c r="EF73" s="557"/>
      <c r="EG73" s="557"/>
      <c r="EH73" s="557"/>
      <c r="EI73" s="557"/>
      <c r="EJ73" s="557"/>
      <c r="EK73" s="557"/>
      <c r="EL73" s="557"/>
      <c r="EM73" s="557"/>
      <c r="EN73" s="557"/>
      <c r="EO73" s="557"/>
      <c r="EP73" s="557"/>
      <c r="EQ73" s="557"/>
      <c r="ER73" s="557"/>
      <c r="ES73" s="557"/>
      <c r="ET73" s="557"/>
      <c r="EU73" s="557"/>
      <c r="EV73" s="557"/>
      <c r="EW73" s="557"/>
      <c r="EX73" s="557"/>
      <c r="EY73" s="557"/>
      <c r="EZ73" s="123"/>
      <c r="FA73" s="50"/>
      <c r="FB73" s="51"/>
      <c r="FH73" s="455"/>
      <c r="FI73" s="456"/>
      <c r="FJ73" s="462"/>
      <c r="FK73" s="463"/>
      <c r="FL73" s="463"/>
      <c r="FM73" s="463"/>
      <c r="FN73" s="463"/>
      <c r="FO73" s="463"/>
      <c r="FP73" s="463"/>
      <c r="FQ73" s="463"/>
      <c r="FR73" s="463"/>
      <c r="FS73" s="463"/>
      <c r="FT73" s="463"/>
      <c r="FU73" s="463"/>
      <c r="FV73" s="463"/>
      <c r="FW73" s="463"/>
      <c r="FX73" s="464"/>
      <c r="FY73" s="462"/>
      <c r="FZ73" s="463"/>
      <c r="GA73" s="463"/>
      <c r="GB73" s="463"/>
      <c r="GC73" s="463"/>
      <c r="GD73" s="463"/>
      <c r="GE73" s="463"/>
      <c r="GF73" s="463"/>
      <c r="GG73" s="463"/>
      <c r="GH73" s="463"/>
      <c r="GI73" s="463"/>
      <c r="GJ73" s="463"/>
      <c r="GK73" s="463"/>
      <c r="GL73" s="463"/>
      <c r="GM73" s="469"/>
      <c r="GN73" s="518"/>
      <c r="GO73" s="519"/>
      <c r="GP73" s="519"/>
      <c r="GQ73" s="519"/>
      <c r="GR73" s="519"/>
      <c r="GS73" s="519"/>
      <c r="GT73" s="519"/>
      <c r="GU73" s="519"/>
      <c r="GV73" s="519"/>
      <c r="GW73" s="519"/>
      <c r="GX73" s="519"/>
      <c r="GY73" s="519"/>
      <c r="GZ73" s="519"/>
      <c r="HA73" s="519"/>
      <c r="HB73" s="519"/>
      <c r="HC73" s="519"/>
      <c r="HD73" s="519"/>
      <c r="HE73" s="519"/>
      <c r="HF73" s="519"/>
      <c r="HG73" s="519"/>
      <c r="HH73" s="519"/>
      <c r="HI73" s="519"/>
      <c r="HJ73" s="519"/>
      <c r="HK73" s="519"/>
      <c r="HL73" s="519"/>
      <c r="HM73" s="519"/>
      <c r="HN73" s="519"/>
      <c r="HO73" s="519"/>
      <c r="HP73" s="519"/>
      <c r="HQ73" s="519"/>
      <c r="HR73" s="519"/>
      <c r="HS73" s="519"/>
      <c r="HT73" s="519"/>
      <c r="HU73" s="519"/>
      <c r="HV73" s="519"/>
      <c r="HW73" s="519"/>
      <c r="HX73" s="519"/>
      <c r="HY73" s="519"/>
      <c r="HZ73" s="519"/>
    </row>
    <row r="74" spans="1:234" ht="9" customHeight="1" thickTop="1" thickBot="1">
      <c r="A74" s="49"/>
      <c r="B74" s="84"/>
      <c r="C74" s="50"/>
      <c r="D74" s="80"/>
      <c r="E74" s="80"/>
      <c r="F74" s="80"/>
      <c r="G74" s="80"/>
      <c r="H74" s="50"/>
      <c r="I74" s="81"/>
      <c r="J74" s="81"/>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84"/>
      <c r="AJ74" s="50"/>
      <c r="AK74" s="50"/>
      <c r="AL74" s="87"/>
      <c r="AM74" s="50"/>
      <c r="AN74" s="50"/>
      <c r="AO74" s="72"/>
      <c r="AP74" s="539" t="str">
        <f>IF(Calc!C11="","",Calc!C11)</f>
        <v/>
      </c>
      <c r="AQ74" s="539"/>
      <c r="AR74" s="539"/>
      <c r="AS74" s="539"/>
      <c r="AT74" s="539"/>
      <c r="AU74" s="539"/>
      <c r="AV74" s="539"/>
      <c r="AW74" s="539"/>
      <c r="AX74" s="539"/>
      <c r="AY74" s="539"/>
      <c r="AZ74" s="539"/>
      <c r="BA74" s="539"/>
      <c r="BB74" s="539"/>
      <c r="BC74" s="539"/>
      <c r="BD74" s="539"/>
      <c r="BE74" s="539"/>
      <c r="BF74" s="539"/>
      <c r="BG74" s="539"/>
      <c r="BH74" s="539"/>
      <c r="BI74" s="539"/>
      <c r="BJ74" s="539"/>
      <c r="BK74" s="539"/>
      <c r="BL74" s="539"/>
      <c r="BM74" s="539"/>
      <c r="BN74" s="539"/>
      <c r="BO74" s="539"/>
      <c r="BP74" s="539"/>
      <c r="BQ74" s="539"/>
      <c r="BR74" s="117"/>
      <c r="BS74" s="58"/>
      <c r="BT74" s="542" t="str">
        <f>IF(Calc!AU11="","",Calc!AU11)</f>
        <v/>
      </c>
      <c r="BU74" s="542"/>
      <c r="BV74" s="542"/>
      <c r="BW74" s="542"/>
      <c r="BX74" s="542"/>
      <c r="BY74" s="542"/>
      <c r="BZ74" s="542"/>
      <c r="CA74" s="542"/>
      <c r="CB74" s="117"/>
      <c r="CC74" s="58"/>
      <c r="CD74" s="545" t="str">
        <f>IF(Calc!T11="","",Calc!T11)</f>
        <v/>
      </c>
      <c r="CE74" s="545"/>
      <c r="CF74" s="545"/>
      <c r="CG74" s="545"/>
      <c r="CH74" s="545"/>
      <c r="CI74" s="545"/>
      <c r="CJ74" s="545"/>
      <c r="CK74" s="545"/>
      <c r="CL74" s="117"/>
      <c r="CM74" s="548" t="str">
        <f>IF(Calc!AY11="","",Calc!AY11)</f>
        <v/>
      </c>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7"/>
      <c r="DJ74" s="50"/>
      <c r="DK74" s="50"/>
      <c r="DL74" s="87"/>
      <c r="DM74" s="50"/>
      <c r="DN74" s="50"/>
      <c r="DO74" s="122"/>
      <c r="DP74" s="557"/>
      <c r="DQ74" s="557"/>
      <c r="DR74" s="557"/>
      <c r="DS74" s="557"/>
      <c r="DT74" s="557"/>
      <c r="DU74" s="557"/>
      <c r="DV74" s="557"/>
      <c r="DW74" s="557"/>
      <c r="DX74" s="557"/>
      <c r="DY74" s="557"/>
      <c r="DZ74" s="557"/>
      <c r="EA74" s="557"/>
      <c r="EB74" s="557"/>
      <c r="EC74" s="557"/>
      <c r="ED74" s="557"/>
      <c r="EE74" s="557"/>
      <c r="EF74" s="557"/>
      <c r="EG74" s="557"/>
      <c r="EH74" s="557"/>
      <c r="EI74" s="557"/>
      <c r="EJ74" s="557"/>
      <c r="EK74" s="557"/>
      <c r="EL74" s="557"/>
      <c r="EM74" s="557"/>
      <c r="EN74" s="557"/>
      <c r="EO74" s="557"/>
      <c r="EP74" s="557"/>
      <c r="EQ74" s="557"/>
      <c r="ER74" s="557"/>
      <c r="ES74" s="557"/>
      <c r="ET74" s="557"/>
      <c r="EU74" s="557"/>
      <c r="EV74" s="557"/>
      <c r="EW74" s="557"/>
      <c r="EX74" s="557"/>
      <c r="EY74" s="557"/>
      <c r="EZ74" s="123"/>
      <c r="FA74" s="50"/>
      <c r="FB74" s="51"/>
      <c r="FH74" s="455"/>
      <c r="FI74" s="456"/>
      <c r="FJ74" s="462"/>
      <c r="FK74" s="463"/>
      <c r="FL74" s="463"/>
      <c r="FM74" s="463"/>
      <c r="FN74" s="463"/>
      <c r="FO74" s="463"/>
      <c r="FP74" s="463"/>
      <c r="FQ74" s="463"/>
      <c r="FR74" s="463"/>
      <c r="FS74" s="463"/>
      <c r="FT74" s="463"/>
      <c r="FU74" s="463"/>
      <c r="FV74" s="463"/>
      <c r="FW74" s="463"/>
      <c r="FX74" s="464"/>
      <c r="FY74" s="462"/>
      <c r="FZ74" s="463"/>
      <c r="GA74" s="463"/>
      <c r="GB74" s="463"/>
      <c r="GC74" s="463"/>
      <c r="GD74" s="463"/>
      <c r="GE74" s="463"/>
      <c r="GF74" s="463"/>
      <c r="GG74" s="463"/>
      <c r="GH74" s="463"/>
      <c r="GI74" s="463"/>
      <c r="GJ74" s="463"/>
      <c r="GK74" s="463"/>
      <c r="GL74" s="463"/>
      <c r="GM74" s="469"/>
      <c r="GN74" s="518"/>
      <c r="GO74" s="519"/>
      <c r="GP74" s="519"/>
      <c r="GQ74" s="519"/>
      <c r="GR74" s="519"/>
      <c r="GS74" s="519"/>
      <c r="GT74" s="519"/>
      <c r="GU74" s="519"/>
      <c r="GV74" s="519"/>
      <c r="GW74" s="519"/>
      <c r="GX74" s="519"/>
      <c r="GY74" s="519"/>
      <c r="GZ74" s="519"/>
      <c r="HA74" s="519"/>
      <c r="HB74" s="519"/>
      <c r="HC74" s="519"/>
      <c r="HD74" s="519"/>
      <c r="HE74" s="519"/>
      <c r="HF74" s="519"/>
      <c r="HG74" s="519"/>
      <c r="HH74" s="519"/>
      <c r="HI74" s="519"/>
      <c r="HJ74" s="519"/>
      <c r="HK74" s="519"/>
      <c r="HL74" s="519"/>
      <c r="HM74" s="519"/>
      <c r="HN74" s="519"/>
      <c r="HO74" s="519"/>
      <c r="HP74" s="519"/>
      <c r="HQ74" s="519"/>
      <c r="HR74" s="519"/>
      <c r="HS74" s="519"/>
      <c r="HT74" s="519"/>
      <c r="HU74" s="519"/>
      <c r="HV74" s="519"/>
      <c r="HW74" s="519"/>
      <c r="HX74" s="519"/>
      <c r="HY74" s="519"/>
      <c r="HZ74" s="519"/>
    </row>
    <row r="75" spans="1:234" ht="9" customHeight="1" thickTop="1">
      <c r="A75" s="49"/>
      <c r="B75" s="84"/>
      <c r="C75" s="50"/>
      <c r="D75" s="80"/>
      <c r="E75" s="80"/>
      <c r="F75" s="95"/>
      <c r="G75" s="93"/>
      <c r="H75" s="93"/>
      <c r="I75" s="93"/>
      <c r="J75" s="93"/>
      <c r="K75" s="93"/>
      <c r="L75" s="93"/>
      <c r="M75" s="93"/>
      <c r="N75" s="93"/>
      <c r="O75" s="93"/>
      <c r="P75" s="93"/>
      <c r="Q75" s="93"/>
      <c r="R75" s="93"/>
      <c r="S75" s="93"/>
      <c r="T75" s="93"/>
      <c r="U75" s="93"/>
      <c r="V75" s="93"/>
      <c r="W75" s="93"/>
      <c r="X75" s="93"/>
      <c r="Y75" s="90"/>
      <c r="Z75" s="100"/>
      <c r="AA75" s="90"/>
      <c r="AB75" s="90"/>
      <c r="AC75" s="90"/>
      <c r="AD75" s="90"/>
      <c r="AE75" s="90"/>
      <c r="AF75" s="98"/>
      <c r="AG75" s="50"/>
      <c r="AH75" s="50"/>
      <c r="AI75" s="84"/>
      <c r="AJ75" s="50"/>
      <c r="AK75" s="50"/>
      <c r="AL75" s="87"/>
      <c r="AM75" s="50"/>
      <c r="AN75" s="50"/>
      <c r="AO75" s="66"/>
      <c r="AP75" s="540"/>
      <c r="AQ75" s="540"/>
      <c r="AR75" s="540"/>
      <c r="AS75" s="540"/>
      <c r="AT75" s="540"/>
      <c r="AU75" s="540"/>
      <c r="AV75" s="540"/>
      <c r="AW75" s="540"/>
      <c r="AX75" s="540"/>
      <c r="AY75" s="540"/>
      <c r="AZ75" s="540"/>
      <c r="BA75" s="540"/>
      <c r="BB75" s="540"/>
      <c r="BC75" s="540"/>
      <c r="BD75" s="540"/>
      <c r="BE75" s="540"/>
      <c r="BF75" s="540"/>
      <c r="BG75" s="540"/>
      <c r="BH75" s="540"/>
      <c r="BI75" s="540"/>
      <c r="BJ75" s="540"/>
      <c r="BK75" s="540"/>
      <c r="BL75" s="540"/>
      <c r="BM75" s="540"/>
      <c r="BN75" s="540"/>
      <c r="BO75" s="540"/>
      <c r="BP75" s="540"/>
      <c r="BQ75" s="540"/>
      <c r="BR75" s="68"/>
      <c r="BS75" s="50"/>
      <c r="BT75" s="543"/>
      <c r="BU75" s="543"/>
      <c r="BV75" s="543"/>
      <c r="BW75" s="543"/>
      <c r="BX75" s="543"/>
      <c r="BY75" s="543"/>
      <c r="BZ75" s="543"/>
      <c r="CA75" s="543"/>
      <c r="CB75" s="68"/>
      <c r="CC75" s="50"/>
      <c r="CD75" s="546"/>
      <c r="CE75" s="546"/>
      <c r="CF75" s="546"/>
      <c r="CG75" s="546"/>
      <c r="CH75" s="546"/>
      <c r="CI75" s="546"/>
      <c r="CJ75" s="546"/>
      <c r="CK75" s="546"/>
      <c r="CL75" s="68"/>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60"/>
      <c r="DJ75" s="50"/>
      <c r="DK75" s="50"/>
      <c r="DL75" s="87"/>
      <c r="DM75" s="50"/>
      <c r="DN75" s="50"/>
      <c r="DO75" s="122"/>
      <c r="DP75" s="557"/>
      <c r="DQ75" s="557"/>
      <c r="DR75" s="557"/>
      <c r="DS75" s="557"/>
      <c r="DT75" s="557"/>
      <c r="DU75" s="557"/>
      <c r="DV75" s="557"/>
      <c r="DW75" s="557"/>
      <c r="DX75" s="557"/>
      <c r="DY75" s="557"/>
      <c r="DZ75" s="557"/>
      <c r="EA75" s="557"/>
      <c r="EB75" s="557"/>
      <c r="EC75" s="557"/>
      <c r="ED75" s="557"/>
      <c r="EE75" s="557"/>
      <c r="EF75" s="557"/>
      <c r="EG75" s="557"/>
      <c r="EH75" s="557"/>
      <c r="EI75" s="557"/>
      <c r="EJ75" s="557"/>
      <c r="EK75" s="557"/>
      <c r="EL75" s="557"/>
      <c r="EM75" s="557"/>
      <c r="EN75" s="557"/>
      <c r="EO75" s="557"/>
      <c r="EP75" s="557"/>
      <c r="EQ75" s="557"/>
      <c r="ER75" s="557"/>
      <c r="ES75" s="557"/>
      <c r="ET75" s="557"/>
      <c r="EU75" s="557"/>
      <c r="EV75" s="557"/>
      <c r="EW75" s="557"/>
      <c r="EX75" s="557"/>
      <c r="EY75" s="557"/>
      <c r="EZ75" s="123"/>
      <c r="FA75" s="50"/>
      <c r="FB75" s="51"/>
      <c r="FH75" s="455"/>
      <c r="FI75" s="456"/>
      <c r="FJ75" s="462"/>
      <c r="FK75" s="463"/>
      <c r="FL75" s="463"/>
      <c r="FM75" s="463"/>
      <c r="FN75" s="463"/>
      <c r="FO75" s="463"/>
      <c r="FP75" s="463"/>
      <c r="FQ75" s="463"/>
      <c r="FR75" s="463"/>
      <c r="FS75" s="463"/>
      <c r="FT75" s="463"/>
      <c r="FU75" s="463"/>
      <c r="FV75" s="463"/>
      <c r="FW75" s="463"/>
      <c r="FX75" s="464"/>
      <c r="FY75" s="462"/>
      <c r="FZ75" s="463"/>
      <c r="GA75" s="463"/>
      <c r="GB75" s="463"/>
      <c r="GC75" s="463"/>
      <c r="GD75" s="463"/>
      <c r="GE75" s="463"/>
      <c r="GF75" s="463"/>
      <c r="GG75" s="463"/>
      <c r="GH75" s="463"/>
      <c r="GI75" s="463"/>
      <c r="GJ75" s="463"/>
      <c r="GK75" s="463"/>
      <c r="GL75" s="463"/>
      <c r="GM75" s="469"/>
      <c r="GN75" s="518"/>
      <c r="GO75" s="519"/>
      <c r="GP75" s="519"/>
      <c r="GQ75" s="519"/>
      <c r="GR75" s="519"/>
      <c r="GS75" s="519"/>
      <c r="GT75" s="519"/>
      <c r="GU75" s="519"/>
      <c r="GV75" s="519"/>
      <c r="GW75" s="519"/>
      <c r="GX75" s="519"/>
      <c r="GY75" s="519"/>
      <c r="GZ75" s="519"/>
      <c r="HA75" s="519"/>
      <c r="HB75" s="519"/>
      <c r="HC75" s="519"/>
      <c r="HD75" s="519"/>
      <c r="HE75" s="519"/>
      <c r="HF75" s="519"/>
      <c r="HG75" s="519"/>
      <c r="HH75" s="519"/>
      <c r="HI75" s="519"/>
      <c r="HJ75" s="519"/>
      <c r="HK75" s="519"/>
      <c r="HL75" s="519"/>
      <c r="HM75" s="519"/>
      <c r="HN75" s="519"/>
      <c r="HO75" s="519"/>
      <c r="HP75" s="519"/>
      <c r="HQ75" s="519"/>
      <c r="HR75" s="519"/>
      <c r="HS75" s="519"/>
      <c r="HT75" s="519"/>
      <c r="HU75" s="519"/>
      <c r="HV75" s="519"/>
      <c r="HW75" s="519"/>
      <c r="HX75" s="519"/>
      <c r="HY75" s="519"/>
      <c r="HZ75" s="519"/>
    </row>
    <row r="76" spans="1:234" ht="9" customHeight="1">
      <c r="A76" s="49"/>
      <c r="B76" s="84"/>
      <c r="C76" s="50"/>
      <c r="D76" s="80"/>
      <c r="E76" s="80"/>
      <c r="F76" s="92"/>
      <c r="G76" s="551" t="s">
        <v>585</v>
      </c>
      <c r="H76" s="551"/>
      <c r="I76" s="551"/>
      <c r="J76" s="551"/>
      <c r="K76" s="551"/>
      <c r="L76" s="551"/>
      <c r="M76" s="551"/>
      <c r="N76" s="551"/>
      <c r="O76" s="551"/>
      <c r="P76" s="551"/>
      <c r="Q76" s="551"/>
      <c r="R76" s="551"/>
      <c r="S76" s="551"/>
      <c r="T76" s="551"/>
      <c r="U76" s="551"/>
      <c r="V76" s="551"/>
      <c r="W76" s="551"/>
      <c r="X76" s="551"/>
      <c r="Y76" s="551"/>
      <c r="Z76" s="56"/>
      <c r="AA76" s="551">
        <f>IF(Abilities!S14="","",Abilities!S14)</f>
        <v>8</v>
      </c>
      <c r="AB76" s="551"/>
      <c r="AC76" s="551"/>
      <c r="AD76" s="551"/>
      <c r="AE76" s="551"/>
      <c r="AF76" s="97"/>
      <c r="AG76" s="50"/>
      <c r="AH76" s="50"/>
      <c r="AI76" s="84"/>
      <c r="AJ76" s="50"/>
      <c r="AK76" s="50"/>
      <c r="AL76" s="87"/>
      <c r="AM76" s="50"/>
      <c r="AN76" s="50"/>
      <c r="AO76" s="66"/>
      <c r="AP76" s="540"/>
      <c r="AQ76" s="540"/>
      <c r="AR76" s="540"/>
      <c r="AS76" s="540"/>
      <c r="AT76" s="540"/>
      <c r="AU76" s="540"/>
      <c r="AV76" s="540"/>
      <c r="AW76" s="540"/>
      <c r="AX76" s="540"/>
      <c r="AY76" s="540"/>
      <c r="AZ76" s="540"/>
      <c r="BA76" s="540"/>
      <c r="BB76" s="540"/>
      <c r="BC76" s="540"/>
      <c r="BD76" s="540"/>
      <c r="BE76" s="540"/>
      <c r="BF76" s="540"/>
      <c r="BG76" s="540"/>
      <c r="BH76" s="540"/>
      <c r="BI76" s="540"/>
      <c r="BJ76" s="540"/>
      <c r="BK76" s="540"/>
      <c r="BL76" s="540"/>
      <c r="BM76" s="540"/>
      <c r="BN76" s="540"/>
      <c r="BO76" s="540"/>
      <c r="BP76" s="540"/>
      <c r="BQ76" s="540"/>
      <c r="BR76" s="68"/>
      <c r="BS76" s="50"/>
      <c r="BT76" s="543"/>
      <c r="BU76" s="543"/>
      <c r="BV76" s="543"/>
      <c r="BW76" s="543"/>
      <c r="BX76" s="543"/>
      <c r="BY76" s="543"/>
      <c r="BZ76" s="543"/>
      <c r="CA76" s="543"/>
      <c r="CB76" s="68"/>
      <c r="CC76" s="50"/>
      <c r="CD76" s="546"/>
      <c r="CE76" s="546"/>
      <c r="CF76" s="546"/>
      <c r="CG76" s="546"/>
      <c r="CH76" s="546"/>
      <c r="CI76" s="546"/>
      <c r="CJ76" s="546"/>
      <c r="CK76" s="546"/>
      <c r="CL76" s="68"/>
      <c r="CM76" s="549"/>
      <c r="CN76" s="549"/>
      <c r="CO76" s="549"/>
      <c r="CP76" s="549"/>
      <c r="CQ76" s="549"/>
      <c r="CR76" s="549"/>
      <c r="CS76" s="549"/>
      <c r="CT76" s="549"/>
      <c r="CU76" s="549"/>
      <c r="CV76" s="549"/>
      <c r="CW76" s="549"/>
      <c r="CX76" s="549"/>
      <c r="CY76" s="549"/>
      <c r="CZ76" s="549"/>
      <c r="DA76" s="549"/>
      <c r="DB76" s="549"/>
      <c r="DC76" s="549"/>
      <c r="DD76" s="549"/>
      <c r="DE76" s="549"/>
      <c r="DF76" s="549"/>
      <c r="DG76" s="549"/>
      <c r="DH76" s="549"/>
      <c r="DI76" s="60"/>
      <c r="DJ76" s="50"/>
      <c r="DK76" s="50"/>
      <c r="DL76" s="87"/>
      <c r="DM76" s="50"/>
      <c r="DN76" s="50"/>
      <c r="DO76" s="122"/>
      <c r="DP76" s="557"/>
      <c r="DQ76" s="557"/>
      <c r="DR76" s="557"/>
      <c r="DS76" s="557"/>
      <c r="DT76" s="557"/>
      <c r="DU76" s="557"/>
      <c r="DV76" s="557"/>
      <c r="DW76" s="557"/>
      <c r="DX76" s="557"/>
      <c r="DY76" s="557"/>
      <c r="DZ76" s="557"/>
      <c r="EA76" s="557"/>
      <c r="EB76" s="557"/>
      <c r="EC76" s="557"/>
      <c r="ED76" s="557"/>
      <c r="EE76" s="557"/>
      <c r="EF76" s="557"/>
      <c r="EG76" s="557"/>
      <c r="EH76" s="557"/>
      <c r="EI76" s="557"/>
      <c r="EJ76" s="557"/>
      <c r="EK76" s="557"/>
      <c r="EL76" s="557"/>
      <c r="EM76" s="557"/>
      <c r="EN76" s="557"/>
      <c r="EO76" s="557"/>
      <c r="EP76" s="557"/>
      <c r="EQ76" s="557"/>
      <c r="ER76" s="557"/>
      <c r="ES76" s="557"/>
      <c r="ET76" s="557"/>
      <c r="EU76" s="557"/>
      <c r="EV76" s="557"/>
      <c r="EW76" s="557"/>
      <c r="EX76" s="557"/>
      <c r="EY76" s="557"/>
      <c r="EZ76" s="123"/>
      <c r="FA76" s="50"/>
      <c r="FB76" s="51"/>
      <c r="FH76" s="457"/>
      <c r="FI76" s="458"/>
      <c r="FJ76" s="465"/>
      <c r="FK76" s="466"/>
      <c r="FL76" s="466"/>
      <c r="FM76" s="466"/>
      <c r="FN76" s="466"/>
      <c r="FO76" s="466"/>
      <c r="FP76" s="466"/>
      <c r="FQ76" s="466"/>
      <c r="FR76" s="466"/>
      <c r="FS76" s="466"/>
      <c r="FT76" s="466"/>
      <c r="FU76" s="466"/>
      <c r="FV76" s="466"/>
      <c r="FW76" s="466"/>
      <c r="FX76" s="467"/>
      <c r="FY76" s="465"/>
      <c r="FZ76" s="466"/>
      <c r="GA76" s="466"/>
      <c r="GB76" s="466"/>
      <c r="GC76" s="466"/>
      <c r="GD76" s="466"/>
      <c r="GE76" s="466"/>
      <c r="GF76" s="466"/>
      <c r="GG76" s="466"/>
      <c r="GH76" s="466"/>
      <c r="GI76" s="466"/>
      <c r="GJ76" s="466"/>
      <c r="GK76" s="466"/>
      <c r="GL76" s="466"/>
      <c r="GM76" s="470"/>
      <c r="GN76" s="518"/>
      <c r="GO76" s="519"/>
      <c r="GP76" s="519"/>
      <c r="GQ76" s="519"/>
      <c r="GR76" s="519"/>
      <c r="GS76" s="519"/>
      <c r="GT76" s="519"/>
      <c r="GU76" s="519"/>
      <c r="GV76" s="519"/>
      <c r="GW76" s="519"/>
      <c r="GX76" s="519"/>
      <c r="GY76" s="519"/>
      <c r="GZ76" s="519"/>
      <c r="HA76" s="519"/>
      <c r="HB76" s="519"/>
      <c r="HC76" s="519"/>
      <c r="HD76" s="519"/>
      <c r="HE76" s="519"/>
      <c r="HF76" s="519"/>
      <c r="HG76" s="519"/>
      <c r="HH76" s="519"/>
      <c r="HI76" s="519"/>
      <c r="HJ76" s="519"/>
      <c r="HK76" s="519"/>
      <c r="HL76" s="519"/>
      <c r="HM76" s="519"/>
      <c r="HN76" s="519"/>
      <c r="HO76" s="519"/>
      <c r="HP76" s="519"/>
      <c r="HQ76" s="519"/>
      <c r="HR76" s="519"/>
      <c r="HS76" s="519"/>
      <c r="HT76" s="519"/>
      <c r="HU76" s="519"/>
      <c r="HV76" s="519"/>
      <c r="HW76" s="519"/>
      <c r="HX76" s="519"/>
      <c r="HY76" s="519"/>
      <c r="HZ76" s="519"/>
    </row>
    <row r="77" spans="1:234" ht="9" customHeight="1" thickBot="1">
      <c r="A77" s="49"/>
      <c r="B77" s="84"/>
      <c r="C77" s="50"/>
      <c r="D77" s="80"/>
      <c r="E77" s="80"/>
      <c r="F77" s="92"/>
      <c r="G77" s="551"/>
      <c r="H77" s="551"/>
      <c r="I77" s="551"/>
      <c r="J77" s="551"/>
      <c r="K77" s="551"/>
      <c r="L77" s="551"/>
      <c r="M77" s="551"/>
      <c r="N77" s="551"/>
      <c r="O77" s="551"/>
      <c r="P77" s="551"/>
      <c r="Q77" s="551"/>
      <c r="R77" s="551"/>
      <c r="S77" s="551"/>
      <c r="T77" s="551"/>
      <c r="U77" s="551"/>
      <c r="V77" s="551"/>
      <c r="W77" s="551"/>
      <c r="X77" s="551"/>
      <c r="Y77" s="551"/>
      <c r="Z77" s="56"/>
      <c r="AA77" s="551"/>
      <c r="AB77" s="551"/>
      <c r="AC77" s="551"/>
      <c r="AD77" s="551"/>
      <c r="AE77" s="551"/>
      <c r="AF77" s="97"/>
      <c r="AG77" s="50"/>
      <c r="AH77" s="50"/>
      <c r="AI77" s="84"/>
      <c r="AJ77" s="50"/>
      <c r="AK77" s="50"/>
      <c r="AL77" s="87"/>
      <c r="AM77" s="50"/>
      <c r="AN77" s="50"/>
      <c r="AO77" s="73"/>
      <c r="AP77" s="541"/>
      <c r="AQ77" s="541"/>
      <c r="AR77" s="541"/>
      <c r="AS77" s="541"/>
      <c r="AT77" s="541"/>
      <c r="AU77" s="541"/>
      <c r="AV77" s="541"/>
      <c r="AW77" s="541"/>
      <c r="AX77" s="541"/>
      <c r="AY77" s="541"/>
      <c r="AZ77" s="541"/>
      <c r="BA77" s="541"/>
      <c r="BB77" s="541"/>
      <c r="BC77" s="541"/>
      <c r="BD77" s="541"/>
      <c r="BE77" s="541"/>
      <c r="BF77" s="541"/>
      <c r="BG77" s="541"/>
      <c r="BH77" s="541"/>
      <c r="BI77" s="541"/>
      <c r="BJ77" s="541"/>
      <c r="BK77" s="541"/>
      <c r="BL77" s="541"/>
      <c r="BM77" s="541"/>
      <c r="BN77" s="541"/>
      <c r="BO77" s="541"/>
      <c r="BP77" s="541"/>
      <c r="BQ77" s="541"/>
      <c r="BR77" s="118"/>
      <c r="BS77" s="61"/>
      <c r="BT77" s="544"/>
      <c r="BU77" s="544"/>
      <c r="BV77" s="544"/>
      <c r="BW77" s="544"/>
      <c r="BX77" s="544"/>
      <c r="BY77" s="544"/>
      <c r="BZ77" s="544"/>
      <c r="CA77" s="544"/>
      <c r="CB77" s="118"/>
      <c r="CC77" s="61"/>
      <c r="CD77" s="547"/>
      <c r="CE77" s="547"/>
      <c r="CF77" s="547"/>
      <c r="CG77" s="547"/>
      <c r="CH77" s="547"/>
      <c r="CI77" s="547"/>
      <c r="CJ77" s="547"/>
      <c r="CK77" s="547"/>
      <c r="CL77" s="118"/>
      <c r="CM77" s="550"/>
      <c r="CN77" s="550"/>
      <c r="CO77" s="550"/>
      <c r="CP77" s="550"/>
      <c r="CQ77" s="550"/>
      <c r="CR77" s="550"/>
      <c r="CS77" s="550"/>
      <c r="CT77" s="550"/>
      <c r="CU77" s="550"/>
      <c r="CV77" s="550"/>
      <c r="CW77" s="550"/>
      <c r="CX77" s="550"/>
      <c r="CY77" s="550"/>
      <c r="CZ77" s="550"/>
      <c r="DA77" s="550"/>
      <c r="DB77" s="550"/>
      <c r="DC77" s="550"/>
      <c r="DD77" s="550"/>
      <c r="DE77" s="550"/>
      <c r="DF77" s="550"/>
      <c r="DG77" s="550"/>
      <c r="DH77" s="550"/>
      <c r="DI77" s="55"/>
      <c r="DJ77" s="50"/>
      <c r="DK77" s="50"/>
      <c r="DL77" s="87"/>
      <c r="DM77" s="50"/>
      <c r="DN77" s="50"/>
      <c r="DO77" s="122"/>
      <c r="DP77" s="557"/>
      <c r="DQ77" s="557"/>
      <c r="DR77" s="557"/>
      <c r="DS77" s="557"/>
      <c r="DT77" s="557"/>
      <c r="DU77" s="557"/>
      <c r="DV77" s="557"/>
      <c r="DW77" s="557"/>
      <c r="DX77" s="557"/>
      <c r="DY77" s="557"/>
      <c r="DZ77" s="557"/>
      <c r="EA77" s="557"/>
      <c r="EB77" s="557"/>
      <c r="EC77" s="557"/>
      <c r="ED77" s="557"/>
      <c r="EE77" s="557"/>
      <c r="EF77" s="557"/>
      <c r="EG77" s="557"/>
      <c r="EH77" s="557"/>
      <c r="EI77" s="557"/>
      <c r="EJ77" s="557"/>
      <c r="EK77" s="557"/>
      <c r="EL77" s="557"/>
      <c r="EM77" s="557"/>
      <c r="EN77" s="557"/>
      <c r="EO77" s="557"/>
      <c r="EP77" s="557"/>
      <c r="EQ77" s="557"/>
      <c r="ER77" s="557"/>
      <c r="ES77" s="557"/>
      <c r="ET77" s="557"/>
      <c r="EU77" s="557"/>
      <c r="EV77" s="557"/>
      <c r="EW77" s="557"/>
      <c r="EX77" s="557"/>
      <c r="EY77" s="557"/>
      <c r="EZ77" s="123"/>
      <c r="FA77" s="50"/>
      <c r="FB77" s="51"/>
      <c r="FH77" s="453" t="s">
        <v>1296</v>
      </c>
      <c r="FI77" s="454"/>
      <c r="FJ77" s="459"/>
      <c r="FK77" s="460"/>
      <c r="FL77" s="460"/>
      <c r="FM77" s="460"/>
      <c r="FN77" s="460"/>
      <c r="FO77" s="460"/>
      <c r="FP77" s="460"/>
      <c r="FQ77" s="460"/>
      <c r="FR77" s="460"/>
      <c r="FS77" s="460"/>
      <c r="FT77" s="460"/>
      <c r="FU77" s="460"/>
      <c r="FV77" s="460"/>
      <c r="FW77" s="460"/>
      <c r="FX77" s="461"/>
      <c r="FY77" s="459"/>
      <c r="FZ77" s="460"/>
      <c r="GA77" s="460"/>
      <c r="GB77" s="460"/>
      <c r="GC77" s="460"/>
      <c r="GD77" s="460"/>
      <c r="GE77" s="460"/>
      <c r="GF77" s="460"/>
      <c r="GG77" s="460"/>
      <c r="GH77" s="460"/>
      <c r="GI77" s="460"/>
      <c r="GJ77" s="460"/>
      <c r="GK77" s="460"/>
      <c r="GL77" s="460"/>
      <c r="GM77" s="468"/>
    </row>
    <row r="78" spans="1:234" ht="9" customHeight="1" thickTop="1" thickBot="1">
      <c r="A78" s="49"/>
      <c r="B78" s="84"/>
      <c r="C78" s="50"/>
      <c r="D78" s="80"/>
      <c r="E78" s="80"/>
      <c r="F78" s="92"/>
      <c r="G78" s="551"/>
      <c r="H78" s="551"/>
      <c r="I78" s="551"/>
      <c r="J78" s="551"/>
      <c r="K78" s="551"/>
      <c r="L78" s="551"/>
      <c r="M78" s="551"/>
      <c r="N78" s="551"/>
      <c r="O78" s="551"/>
      <c r="P78" s="551"/>
      <c r="Q78" s="551"/>
      <c r="R78" s="551"/>
      <c r="S78" s="551"/>
      <c r="T78" s="551"/>
      <c r="U78" s="551"/>
      <c r="V78" s="551"/>
      <c r="W78" s="551"/>
      <c r="X78" s="551"/>
      <c r="Y78" s="551"/>
      <c r="Z78" s="56"/>
      <c r="AA78" s="551"/>
      <c r="AB78" s="551"/>
      <c r="AC78" s="551"/>
      <c r="AD78" s="551"/>
      <c r="AE78" s="551"/>
      <c r="AF78" s="97"/>
      <c r="AG78" s="50"/>
      <c r="AH78" s="50"/>
      <c r="AI78" s="84"/>
      <c r="AJ78" s="50"/>
      <c r="AK78" s="50"/>
      <c r="AL78" s="87"/>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c r="DF78" s="50"/>
      <c r="DG78" s="50"/>
      <c r="DH78" s="50"/>
      <c r="DI78" s="50"/>
      <c r="DJ78" s="50"/>
      <c r="DK78" s="50"/>
      <c r="DL78" s="87"/>
      <c r="DM78" s="50"/>
      <c r="DN78" s="50"/>
      <c r="DO78" s="122"/>
      <c r="DP78" s="557"/>
      <c r="DQ78" s="557"/>
      <c r="DR78" s="557"/>
      <c r="DS78" s="557"/>
      <c r="DT78" s="557"/>
      <c r="DU78" s="557"/>
      <c r="DV78" s="557"/>
      <c r="DW78" s="557"/>
      <c r="DX78" s="557"/>
      <c r="DY78" s="557"/>
      <c r="DZ78" s="557"/>
      <c r="EA78" s="557"/>
      <c r="EB78" s="557"/>
      <c r="EC78" s="557"/>
      <c r="ED78" s="557"/>
      <c r="EE78" s="557"/>
      <c r="EF78" s="557"/>
      <c r="EG78" s="557"/>
      <c r="EH78" s="557"/>
      <c r="EI78" s="557"/>
      <c r="EJ78" s="557"/>
      <c r="EK78" s="557"/>
      <c r="EL78" s="557"/>
      <c r="EM78" s="557"/>
      <c r="EN78" s="557"/>
      <c r="EO78" s="557"/>
      <c r="EP78" s="557"/>
      <c r="EQ78" s="557"/>
      <c r="ER78" s="557"/>
      <c r="ES78" s="557"/>
      <c r="ET78" s="557"/>
      <c r="EU78" s="557"/>
      <c r="EV78" s="557"/>
      <c r="EW78" s="557"/>
      <c r="EX78" s="557"/>
      <c r="EY78" s="557"/>
      <c r="EZ78" s="123"/>
      <c r="FA78" s="50"/>
      <c r="FB78" s="51"/>
      <c r="FH78" s="455"/>
      <c r="FI78" s="456"/>
      <c r="FJ78" s="462"/>
      <c r="FK78" s="463"/>
      <c r="FL78" s="463"/>
      <c r="FM78" s="463"/>
      <c r="FN78" s="463"/>
      <c r="FO78" s="463"/>
      <c r="FP78" s="463"/>
      <c r="FQ78" s="463"/>
      <c r="FR78" s="463"/>
      <c r="FS78" s="463"/>
      <c r="FT78" s="463"/>
      <c r="FU78" s="463"/>
      <c r="FV78" s="463"/>
      <c r="FW78" s="463"/>
      <c r="FX78" s="464"/>
      <c r="FY78" s="462"/>
      <c r="FZ78" s="463"/>
      <c r="GA78" s="463"/>
      <c r="GB78" s="463"/>
      <c r="GC78" s="463"/>
      <c r="GD78" s="463"/>
      <c r="GE78" s="463"/>
      <c r="GF78" s="463"/>
      <c r="GG78" s="463"/>
      <c r="GH78" s="463"/>
      <c r="GI78" s="463"/>
      <c r="GJ78" s="463"/>
      <c r="GK78" s="463"/>
      <c r="GL78" s="463"/>
      <c r="GM78" s="469"/>
    </row>
    <row r="79" spans="1:234" ht="9" customHeight="1" thickTop="1" thickBot="1">
      <c r="A79" s="49"/>
      <c r="B79" s="84"/>
      <c r="C79" s="50"/>
      <c r="D79" s="80"/>
      <c r="E79" s="80"/>
      <c r="F79" s="96"/>
      <c r="G79" s="94"/>
      <c r="H79" s="94"/>
      <c r="I79" s="94"/>
      <c r="J79" s="94"/>
      <c r="K79" s="94"/>
      <c r="L79" s="94"/>
      <c r="M79" s="94"/>
      <c r="N79" s="94"/>
      <c r="O79" s="94"/>
      <c r="P79" s="94"/>
      <c r="Q79" s="94"/>
      <c r="R79" s="94"/>
      <c r="S79" s="94"/>
      <c r="T79" s="94"/>
      <c r="U79" s="94"/>
      <c r="V79" s="94"/>
      <c r="W79" s="94"/>
      <c r="X79" s="94"/>
      <c r="Y79" s="91"/>
      <c r="Z79" s="101"/>
      <c r="AA79" s="91"/>
      <c r="AB79" s="91"/>
      <c r="AC79" s="91"/>
      <c r="AD79" s="91"/>
      <c r="AE79" s="91"/>
      <c r="AF79" s="99"/>
      <c r="AG79" s="50"/>
      <c r="AH79" s="50"/>
      <c r="AI79" s="84"/>
      <c r="AJ79" s="50"/>
      <c r="AK79" s="50"/>
      <c r="AL79" s="87"/>
      <c r="AM79" s="50"/>
      <c r="AN79" s="50"/>
      <c r="AO79" s="72"/>
      <c r="AP79" s="539" t="str">
        <f>IF(Calc!C12="","",Calc!C12)</f>
        <v/>
      </c>
      <c r="AQ79" s="539"/>
      <c r="AR79" s="539"/>
      <c r="AS79" s="539"/>
      <c r="AT79" s="539"/>
      <c r="AU79" s="539"/>
      <c r="AV79" s="539"/>
      <c r="AW79" s="539"/>
      <c r="AX79" s="539"/>
      <c r="AY79" s="539"/>
      <c r="AZ79" s="539"/>
      <c r="BA79" s="539"/>
      <c r="BB79" s="539"/>
      <c r="BC79" s="539"/>
      <c r="BD79" s="539"/>
      <c r="BE79" s="539"/>
      <c r="BF79" s="539"/>
      <c r="BG79" s="539"/>
      <c r="BH79" s="539"/>
      <c r="BI79" s="539"/>
      <c r="BJ79" s="539"/>
      <c r="BK79" s="539"/>
      <c r="BL79" s="539"/>
      <c r="BM79" s="539"/>
      <c r="BN79" s="539"/>
      <c r="BO79" s="539"/>
      <c r="BP79" s="539"/>
      <c r="BQ79" s="539"/>
      <c r="BR79" s="117"/>
      <c r="BS79" s="58"/>
      <c r="BT79" s="542" t="str">
        <f>IF(Calc!AU12="","",Calc!AU12)</f>
        <v/>
      </c>
      <c r="BU79" s="542"/>
      <c r="BV79" s="542"/>
      <c r="BW79" s="542"/>
      <c r="BX79" s="542"/>
      <c r="BY79" s="542"/>
      <c r="BZ79" s="542"/>
      <c r="CA79" s="542"/>
      <c r="CB79" s="117"/>
      <c r="CC79" s="58"/>
      <c r="CD79" s="545" t="str">
        <f>IF(Calc!T12="","",Calc!T12)</f>
        <v/>
      </c>
      <c r="CE79" s="545"/>
      <c r="CF79" s="545"/>
      <c r="CG79" s="545"/>
      <c r="CH79" s="545"/>
      <c r="CI79" s="545"/>
      <c r="CJ79" s="545"/>
      <c r="CK79" s="545"/>
      <c r="CL79" s="117"/>
      <c r="CM79" s="548" t="str">
        <f>IF(Calc!AY12="","",Calc!AY12)</f>
        <v/>
      </c>
      <c r="CN79" s="548"/>
      <c r="CO79" s="548"/>
      <c r="CP79" s="548"/>
      <c r="CQ79" s="548"/>
      <c r="CR79" s="548"/>
      <c r="CS79" s="548"/>
      <c r="CT79" s="548"/>
      <c r="CU79" s="548"/>
      <c r="CV79" s="548"/>
      <c r="CW79" s="548"/>
      <c r="CX79" s="548"/>
      <c r="CY79" s="548"/>
      <c r="CZ79" s="548"/>
      <c r="DA79" s="548"/>
      <c r="DB79" s="548"/>
      <c r="DC79" s="548"/>
      <c r="DD79" s="548"/>
      <c r="DE79" s="548"/>
      <c r="DF79" s="548"/>
      <c r="DG79" s="548"/>
      <c r="DH79" s="548"/>
      <c r="DI79" s="57"/>
      <c r="DJ79" s="50"/>
      <c r="DK79" s="50"/>
      <c r="DL79" s="87"/>
      <c r="DM79" s="50"/>
      <c r="DN79" s="50"/>
      <c r="DO79" s="122"/>
      <c r="DP79" s="557"/>
      <c r="DQ79" s="557"/>
      <c r="DR79" s="557"/>
      <c r="DS79" s="557"/>
      <c r="DT79" s="557"/>
      <c r="DU79" s="557"/>
      <c r="DV79" s="557"/>
      <c r="DW79" s="557"/>
      <c r="DX79" s="557"/>
      <c r="DY79" s="557"/>
      <c r="DZ79" s="557"/>
      <c r="EA79" s="557"/>
      <c r="EB79" s="557"/>
      <c r="EC79" s="557"/>
      <c r="ED79" s="557"/>
      <c r="EE79" s="557"/>
      <c r="EF79" s="557"/>
      <c r="EG79" s="557"/>
      <c r="EH79" s="557"/>
      <c r="EI79" s="557"/>
      <c r="EJ79" s="557"/>
      <c r="EK79" s="557"/>
      <c r="EL79" s="557"/>
      <c r="EM79" s="557"/>
      <c r="EN79" s="557"/>
      <c r="EO79" s="557"/>
      <c r="EP79" s="557"/>
      <c r="EQ79" s="557"/>
      <c r="ER79" s="557"/>
      <c r="ES79" s="557"/>
      <c r="ET79" s="557"/>
      <c r="EU79" s="557"/>
      <c r="EV79" s="557"/>
      <c r="EW79" s="557"/>
      <c r="EX79" s="557"/>
      <c r="EY79" s="557"/>
      <c r="EZ79" s="123"/>
      <c r="FA79" s="50"/>
      <c r="FB79" s="51"/>
      <c r="FH79" s="455"/>
      <c r="FI79" s="456"/>
      <c r="FJ79" s="462"/>
      <c r="FK79" s="463"/>
      <c r="FL79" s="463"/>
      <c r="FM79" s="463"/>
      <c r="FN79" s="463"/>
      <c r="FO79" s="463"/>
      <c r="FP79" s="463"/>
      <c r="FQ79" s="463"/>
      <c r="FR79" s="463"/>
      <c r="FS79" s="463"/>
      <c r="FT79" s="463"/>
      <c r="FU79" s="463"/>
      <c r="FV79" s="463"/>
      <c r="FW79" s="463"/>
      <c r="FX79" s="464"/>
      <c r="FY79" s="462"/>
      <c r="FZ79" s="463"/>
      <c r="GA79" s="463"/>
      <c r="GB79" s="463"/>
      <c r="GC79" s="463"/>
      <c r="GD79" s="463"/>
      <c r="GE79" s="463"/>
      <c r="GF79" s="463"/>
      <c r="GG79" s="463"/>
      <c r="GH79" s="463"/>
      <c r="GI79" s="463"/>
      <c r="GJ79" s="463"/>
      <c r="GK79" s="463"/>
      <c r="GL79" s="463"/>
      <c r="GM79" s="469"/>
    </row>
    <row r="80" spans="1:234" ht="9" customHeight="1" thickTop="1">
      <c r="A80" s="49"/>
      <c r="B80" s="84"/>
      <c r="C80" s="50"/>
      <c r="D80" s="80"/>
      <c r="E80" s="80"/>
      <c r="F80" s="80"/>
      <c r="G80" s="80"/>
      <c r="H80" s="50"/>
      <c r="I80" s="81"/>
      <c r="J80" s="81"/>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84"/>
      <c r="AJ80" s="50"/>
      <c r="AK80" s="50"/>
      <c r="AL80" s="87"/>
      <c r="AM80" s="50"/>
      <c r="AN80" s="50"/>
      <c r="AO80" s="66"/>
      <c r="AP80" s="540"/>
      <c r="AQ80" s="540"/>
      <c r="AR80" s="540"/>
      <c r="AS80" s="540"/>
      <c r="AT80" s="540"/>
      <c r="AU80" s="540"/>
      <c r="AV80" s="540"/>
      <c r="AW80" s="540"/>
      <c r="AX80" s="540"/>
      <c r="AY80" s="540"/>
      <c r="AZ80" s="540"/>
      <c r="BA80" s="540"/>
      <c r="BB80" s="540"/>
      <c r="BC80" s="540"/>
      <c r="BD80" s="540"/>
      <c r="BE80" s="540"/>
      <c r="BF80" s="540"/>
      <c r="BG80" s="540"/>
      <c r="BH80" s="540"/>
      <c r="BI80" s="540"/>
      <c r="BJ80" s="540"/>
      <c r="BK80" s="540"/>
      <c r="BL80" s="540"/>
      <c r="BM80" s="540"/>
      <c r="BN80" s="540"/>
      <c r="BO80" s="540"/>
      <c r="BP80" s="540"/>
      <c r="BQ80" s="540"/>
      <c r="BR80" s="68"/>
      <c r="BS80" s="50"/>
      <c r="BT80" s="543"/>
      <c r="BU80" s="543"/>
      <c r="BV80" s="543"/>
      <c r="BW80" s="543"/>
      <c r="BX80" s="543"/>
      <c r="BY80" s="543"/>
      <c r="BZ80" s="543"/>
      <c r="CA80" s="543"/>
      <c r="CB80" s="68"/>
      <c r="CC80" s="50"/>
      <c r="CD80" s="546"/>
      <c r="CE80" s="546"/>
      <c r="CF80" s="546"/>
      <c r="CG80" s="546"/>
      <c r="CH80" s="546"/>
      <c r="CI80" s="546"/>
      <c r="CJ80" s="546"/>
      <c r="CK80" s="546"/>
      <c r="CL80" s="68"/>
      <c r="CM80" s="549"/>
      <c r="CN80" s="549"/>
      <c r="CO80" s="549"/>
      <c r="CP80" s="549"/>
      <c r="CQ80" s="549"/>
      <c r="CR80" s="549"/>
      <c r="CS80" s="549"/>
      <c r="CT80" s="549"/>
      <c r="CU80" s="549"/>
      <c r="CV80" s="549"/>
      <c r="CW80" s="549"/>
      <c r="CX80" s="549"/>
      <c r="CY80" s="549"/>
      <c r="CZ80" s="549"/>
      <c r="DA80" s="549"/>
      <c r="DB80" s="549"/>
      <c r="DC80" s="549"/>
      <c r="DD80" s="549"/>
      <c r="DE80" s="549"/>
      <c r="DF80" s="549"/>
      <c r="DG80" s="549"/>
      <c r="DH80" s="549"/>
      <c r="DI80" s="60"/>
      <c r="DJ80" s="50"/>
      <c r="DK80" s="50"/>
      <c r="DL80" s="87"/>
      <c r="DM80" s="50"/>
      <c r="DN80" s="50"/>
      <c r="DO80" s="122"/>
      <c r="DP80" s="557"/>
      <c r="DQ80" s="557"/>
      <c r="DR80" s="557"/>
      <c r="DS80" s="557"/>
      <c r="DT80" s="557"/>
      <c r="DU80" s="557"/>
      <c r="DV80" s="557"/>
      <c r="DW80" s="557"/>
      <c r="DX80" s="557"/>
      <c r="DY80" s="557"/>
      <c r="DZ80" s="557"/>
      <c r="EA80" s="557"/>
      <c r="EB80" s="557"/>
      <c r="EC80" s="557"/>
      <c r="ED80" s="557"/>
      <c r="EE80" s="557"/>
      <c r="EF80" s="557"/>
      <c r="EG80" s="557"/>
      <c r="EH80" s="557"/>
      <c r="EI80" s="557"/>
      <c r="EJ80" s="557"/>
      <c r="EK80" s="557"/>
      <c r="EL80" s="557"/>
      <c r="EM80" s="557"/>
      <c r="EN80" s="557"/>
      <c r="EO80" s="557"/>
      <c r="EP80" s="557"/>
      <c r="EQ80" s="557"/>
      <c r="ER80" s="557"/>
      <c r="ES80" s="557"/>
      <c r="ET80" s="557"/>
      <c r="EU80" s="557"/>
      <c r="EV80" s="557"/>
      <c r="EW80" s="557"/>
      <c r="EX80" s="557"/>
      <c r="EY80" s="557"/>
      <c r="EZ80" s="123"/>
      <c r="FA80" s="50"/>
      <c r="FB80" s="51"/>
      <c r="FH80" s="455"/>
      <c r="FI80" s="456"/>
      <c r="FJ80" s="462"/>
      <c r="FK80" s="463"/>
      <c r="FL80" s="463"/>
      <c r="FM80" s="463"/>
      <c r="FN80" s="463"/>
      <c r="FO80" s="463"/>
      <c r="FP80" s="463"/>
      <c r="FQ80" s="463"/>
      <c r="FR80" s="463"/>
      <c r="FS80" s="463"/>
      <c r="FT80" s="463"/>
      <c r="FU80" s="463"/>
      <c r="FV80" s="463"/>
      <c r="FW80" s="463"/>
      <c r="FX80" s="464"/>
      <c r="FY80" s="462"/>
      <c r="FZ80" s="463"/>
      <c r="GA80" s="463"/>
      <c r="GB80" s="463"/>
      <c r="GC80" s="463"/>
      <c r="GD80" s="463"/>
      <c r="GE80" s="463"/>
      <c r="GF80" s="463"/>
      <c r="GG80" s="463"/>
      <c r="GH80" s="463"/>
      <c r="GI80" s="463"/>
      <c r="GJ80" s="463"/>
      <c r="GK80" s="463"/>
      <c r="GL80" s="463"/>
      <c r="GM80" s="469"/>
    </row>
    <row r="81" spans="1:195" ht="9" customHeight="1">
      <c r="A81" s="49"/>
      <c r="B81" s="84"/>
      <c r="C81" s="50"/>
      <c r="D81" s="80"/>
      <c r="E81" s="80"/>
      <c r="F81" s="80"/>
      <c r="G81" s="80"/>
      <c r="H81" s="50"/>
      <c r="I81" s="81"/>
      <c r="J81" s="81"/>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84"/>
      <c r="AJ81" s="50"/>
      <c r="AK81" s="50"/>
      <c r="AL81" s="87"/>
      <c r="AM81" s="50"/>
      <c r="AN81" s="50"/>
      <c r="AO81" s="66"/>
      <c r="AP81" s="540"/>
      <c r="AQ81" s="540"/>
      <c r="AR81" s="540"/>
      <c r="AS81" s="540"/>
      <c r="AT81" s="540"/>
      <c r="AU81" s="540"/>
      <c r="AV81" s="540"/>
      <c r="AW81" s="540"/>
      <c r="AX81" s="540"/>
      <c r="AY81" s="540"/>
      <c r="AZ81" s="540"/>
      <c r="BA81" s="540"/>
      <c r="BB81" s="540"/>
      <c r="BC81" s="540"/>
      <c r="BD81" s="540"/>
      <c r="BE81" s="540"/>
      <c r="BF81" s="540"/>
      <c r="BG81" s="540"/>
      <c r="BH81" s="540"/>
      <c r="BI81" s="540"/>
      <c r="BJ81" s="540"/>
      <c r="BK81" s="540"/>
      <c r="BL81" s="540"/>
      <c r="BM81" s="540"/>
      <c r="BN81" s="540"/>
      <c r="BO81" s="540"/>
      <c r="BP81" s="540"/>
      <c r="BQ81" s="540"/>
      <c r="BR81" s="68"/>
      <c r="BS81" s="50"/>
      <c r="BT81" s="543"/>
      <c r="BU81" s="543"/>
      <c r="BV81" s="543"/>
      <c r="BW81" s="543"/>
      <c r="BX81" s="543"/>
      <c r="BY81" s="543"/>
      <c r="BZ81" s="543"/>
      <c r="CA81" s="543"/>
      <c r="CB81" s="68"/>
      <c r="CC81" s="50"/>
      <c r="CD81" s="546"/>
      <c r="CE81" s="546"/>
      <c r="CF81" s="546"/>
      <c r="CG81" s="546"/>
      <c r="CH81" s="546"/>
      <c r="CI81" s="546"/>
      <c r="CJ81" s="546"/>
      <c r="CK81" s="546"/>
      <c r="CL81" s="68"/>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60"/>
      <c r="DJ81" s="50"/>
      <c r="DK81" s="50"/>
      <c r="DL81" s="87"/>
      <c r="DM81" s="50"/>
      <c r="DN81" s="50"/>
      <c r="DO81" s="122"/>
      <c r="DP81" s="557"/>
      <c r="DQ81" s="557"/>
      <c r="DR81" s="557"/>
      <c r="DS81" s="557"/>
      <c r="DT81" s="557"/>
      <c r="DU81" s="557"/>
      <c r="DV81" s="557"/>
      <c r="DW81" s="557"/>
      <c r="DX81" s="557"/>
      <c r="DY81" s="557"/>
      <c r="DZ81" s="557"/>
      <c r="EA81" s="557"/>
      <c r="EB81" s="557"/>
      <c r="EC81" s="557"/>
      <c r="ED81" s="557"/>
      <c r="EE81" s="557"/>
      <c r="EF81" s="557"/>
      <c r="EG81" s="557"/>
      <c r="EH81" s="557"/>
      <c r="EI81" s="557"/>
      <c r="EJ81" s="557"/>
      <c r="EK81" s="557"/>
      <c r="EL81" s="557"/>
      <c r="EM81" s="557"/>
      <c r="EN81" s="557"/>
      <c r="EO81" s="557"/>
      <c r="EP81" s="557"/>
      <c r="EQ81" s="557"/>
      <c r="ER81" s="557"/>
      <c r="ES81" s="557"/>
      <c r="ET81" s="557"/>
      <c r="EU81" s="557"/>
      <c r="EV81" s="557"/>
      <c r="EW81" s="557"/>
      <c r="EX81" s="557"/>
      <c r="EY81" s="557"/>
      <c r="EZ81" s="123"/>
      <c r="FA81" s="50"/>
      <c r="FB81" s="51"/>
      <c r="FH81" s="457"/>
      <c r="FI81" s="458"/>
      <c r="FJ81" s="465"/>
      <c r="FK81" s="466"/>
      <c r="FL81" s="466"/>
      <c r="FM81" s="466"/>
      <c r="FN81" s="466"/>
      <c r="FO81" s="466"/>
      <c r="FP81" s="466"/>
      <c r="FQ81" s="466"/>
      <c r="FR81" s="466"/>
      <c r="FS81" s="466"/>
      <c r="FT81" s="466"/>
      <c r="FU81" s="466"/>
      <c r="FV81" s="466"/>
      <c r="FW81" s="466"/>
      <c r="FX81" s="467"/>
      <c r="FY81" s="465"/>
      <c r="FZ81" s="466"/>
      <c r="GA81" s="466"/>
      <c r="GB81" s="466"/>
      <c r="GC81" s="466"/>
      <c r="GD81" s="466"/>
      <c r="GE81" s="466"/>
      <c r="GF81" s="466"/>
      <c r="GG81" s="466"/>
      <c r="GH81" s="466"/>
      <c r="GI81" s="466"/>
      <c r="GJ81" s="466"/>
      <c r="GK81" s="466"/>
      <c r="GL81" s="466"/>
      <c r="GM81" s="470"/>
    </row>
    <row r="82" spans="1:195" ht="9" customHeight="1" thickBot="1">
      <c r="A82" s="49"/>
      <c r="B82" s="84"/>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84"/>
      <c r="AJ82" s="50"/>
      <c r="AK82" s="50"/>
      <c r="AL82" s="87"/>
      <c r="AM82" s="50"/>
      <c r="AN82" s="50"/>
      <c r="AO82" s="73"/>
      <c r="AP82" s="541"/>
      <c r="AQ82" s="541"/>
      <c r="AR82" s="541"/>
      <c r="AS82" s="541"/>
      <c r="AT82" s="541"/>
      <c r="AU82" s="541"/>
      <c r="AV82" s="541"/>
      <c r="AW82" s="541"/>
      <c r="AX82" s="541"/>
      <c r="AY82" s="541"/>
      <c r="AZ82" s="541"/>
      <c r="BA82" s="541"/>
      <c r="BB82" s="541"/>
      <c r="BC82" s="541"/>
      <c r="BD82" s="541"/>
      <c r="BE82" s="541"/>
      <c r="BF82" s="541"/>
      <c r="BG82" s="541"/>
      <c r="BH82" s="541"/>
      <c r="BI82" s="541"/>
      <c r="BJ82" s="541"/>
      <c r="BK82" s="541"/>
      <c r="BL82" s="541"/>
      <c r="BM82" s="541"/>
      <c r="BN82" s="541"/>
      <c r="BO82" s="541"/>
      <c r="BP82" s="541"/>
      <c r="BQ82" s="541"/>
      <c r="BR82" s="118"/>
      <c r="BS82" s="61"/>
      <c r="BT82" s="544"/>
      <c r="BU82" s="544"/>
      <c r="BV82" s="544"/>
      <c r="BW82" s="544"/>
      <c r="BX82" s="544"/>
      <c r="BY82" s="544"/>
      <c r="BZ82" s="544"/>
      <c r="CA82" s="544"/>
      <c r="CB82" s="118"/>
      <c r="CC82" s="61"/>
      <c r="CD82" s="547"/>
      <c r="CE82" s="547"/>
      <c r="CF82" s="547"/>
      <c r="CG82" s="547"/>
      <c r="CH82" s="547"/>
      <c r="CI82" s="547"/>
      <c r="CJ82" s="547"/>
      <c r="CK82" s="547"/>
      <c r="CL82" s="118"/>
      <c r="CM82" s="550"/>
      <c r="CN82" s="550"/>
      <c r="CO82" s="550"/>
      <c r="CP82" s="550"/>
      <c r="CQ82" s="550"/>
      <c r="CR82" s="550"/>
      <c r="CS82" s="550"/>
      <c r="CT82" s="550"/>
      <c r="CU82" s="550"/>
      <c r="CV82" s="550"/>
      <c r="CW82" s="550"/>
      <c r="CX82" s="550"/>
      <c r="CY82" s="550"/>
      <c r="CZ82" s="550"/>
      <c r="DA82" s="550"/>
      <c r="DB82" s="550"/>
      <c r="DC82" s="550"/>
      <c r="DD82" s="550"/>
      <c r="DE82" s="550"/>
      <c r="DF82" s="550"/>
      <c r="DG82" s="550"/>
      <c r="DH82" s="550"/>
      <c r="DI82" s="55"/>
      <c r="DJ82" s="50"/>
      <c r="DK82" s="50"/>
      <c r="DL82" s="87"/>
      <c r="DM82" s="50"/>
      <c r="DN82" s="50"/>
      <c r="DO82" s="122"/>
      <c r="DP82" s="557"/>
      <c r="DQ82" s="557"/>
      <c r="DR82" s="557"/>
      <c r="DS82" s="557"/>
      <c r="DT82" s="557"/>
      <c r="DU82" s="557"/>
      <c r="DV82" s="557"/>
      <c r="DW82" s="557"/>
      <c r="DX82" s="557"/>
      <c r="DY82" s="557"/>
      <c r="DZ82" s="557"/>
      <c r="EA82" s="557"/>
      <c r="EB82" s="557"/>
      <c r="EC82" s="557"/>
      <c r="ED82" s="557"/>
      <c r="EE82" s="557"/>
      <c r="EF82" s="557"/>
      <c r="EG82" s="557"/>
      <c r="EH82" s="557"/>
      <c r="EI82" s="557"/>
      <c r="EJ82" s="557"/>
      <c r="EK82" s="557"/>
      <c r="EL82" s="557"/>
      <c r="EM82" s="557"/>
      <c r="EN82" s="557"/>
      <c r="EO82" s="557"/>
      <c r="EP82" s="557"/>
      <c r="EQ82" s="557"/>
      <c r="ER82" s="557"/>
      <c r="ES82" s="557"/>
      <c r="ET82" s="557"/>
      <c r="EU82" s="557"/>
      <c r="EV82" s="557"/>
      <c r="EW82" s="557"/>
      <c r="EX82" s="557"/>
      <c r="EY82" s="557"/>
      <c r="EZ82" s="123"/>
      <c r="FA82" s="50"/>
      <c r="FB82" s="51"/>
      <c r="FH82" s="453" t="s">
        <v>1299</v>
      </c>
      <c r="FI82" s="454"/>
      <c r="FJ82" s="459"/>
      <c r="FK82" s="460"/>
      <c r="FL82" s="460"/>
      <c r="FM82" s="460"/>
      <c r="FN82" s="460"/>
      <c r="FO82" s="460"/>
      <c r="FP82" s="460"/>
      <c r="FQ82" s="460"/>
      <c r="FR82" s="460"/>
      <c r="FS82" s="460"/>
      <c r="FT82" s="460"/>
      <c r="FU82" s="460"/>
      <c r="FV82" s="460"/>
      <c r="FW82" s="460"/>
      <c r="FX82" s="461"/>
      <c r="FY82" s="459"/>
      <c r="FZ82" s="460"/>
      <c r="GA82" s="460"/>
      <c r="GB82" s="460"/>
      <c r="GC82" s="460"/>
      <c r="GD82" s="460"/>
      <c r="GE82" s="460"/>
      <c r="GF82" s="460"/>
      <c r="GG82" s="460"/>
      <c r="GH82" s="460"/>
      <c r="GI82" s="460"/>
      <c r="GJ82" s="460"/>
      <c r="GK82" s="460"/>
      <c r="GL82" s="460"/>
      <c r="GM82" s="468"/>
    </row>
    <row r="83" spans="1:195" ht="9" customHeight="1" thickTop="1" thickBot="1">
      <c r="A83" s="49"/>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50"/>
      <c r="AK83" s="50"/>
      <c r="AL83" s="87"/>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c r="DF83" s="50"/>
      <c r="DG83" s="50"/>
      <c r="DH83" s="50"/>
      <c r="DI83" s="50"/>
      <c r="DJ83" s="50"/>
      <c r="DK83" s="50"/>
      <c r="DL83" s="87"/>
      <c r="DM83" s="50"/>
      <c r="DN83" s="50"/>
      <c r="DO83" s="122"/>
      <c r="DP83" s="557"/>
      <c r="DQ83" s="557"/>
      <c r="DR83" s="557"/>
      <c r="DS83" s="557"/>
      <c r="DT83" s="557"/>
      <c r="DU83" s="557"/>
      <c r="DV83" s="557"/>
      <c r="DW83" s="557"/>
      <c r="DX83" s="557"/>
      <c r="DY83" s="557"/>
      <c r="DZ83" s="557"/>
      <c r="EA83" s="557"/>
      <c r="EB83" s="557"/>
      <c r="EC83" s="557"/>
      <c r="ED83" s="557"/>
      <c r="EE83" s="557"/>
      <c r="EF83" s="557"/>
      <c r="EG83" s="557"/>
      <c r="EH83" s="557"/>
      <c r="EI83" s="557"/>
      <c r="EJ83" s="557"/>
      <c r="EK83" s="557"/>
      <c r="EL83" s="557"/>
      <c r="EM83" s="557"/>
      <c r="EN83" s="557"/>
      <c r="EO83" s="557"/>
      <c r="EP83" s="557"/>
      <c r="EQ83" s="557"/>
      <c r="ER83" s="557"/>
      <c r="ES83" s="557"/>
      <c r="ET83" s="557"/>
      <c r="EU83" s="557"/>
      <c r="EV83" s="557"/>
      <c r="EW83" s="557"/>
      <c r="EX83" s="557"/>
      <c r="EY83" s="557"/>
      <c r="EZ83" s="123"/>
      <c r="FA83" s="50"/>
      <c r="FB83" s="51"/>
      <c r="FH83" s="455"/>
      <c r="FI83" s="456"/>
      <c r="FJ83" s="462"/>
      <c r="FK83" s="463"/>
      <c r="FL83" s="463"/>
      <c r="FM83" s="463"/>
      <c r="FN83" s="463"/>
      <c r="FO83" s="463"/>
      <c r="FP83" s="463"/>
      <c r="FQ83" s="463"/>
      <c r="FR83" s="463"/>
      <c r="FS83" s="463"/>
      <c r="FT83" s="463"/>
      <c r="FU83" s="463"/>
      <c r="FV83" s="463"/>
      <c r="FW83" s="463"/>
      <c r="FX83" s="464"/>
      <c r="FY83" s="462"/>
      <c r="FZ83" s="463"/>
      <c r="GA83" s="463"/>
      <c r="GB83" s="463"/>
      <c r="GC83" s="463"/>
      <c r="GD83" s="463"/>
      <c r="GE83" s="463"/>
      <c r="GF83" s="463"/>
      <c r="GG83" s="463"/>
      <c r="GH83" s="463"/>
      <c r="GI83" s="463"/>
      <c r="GJ83" s="463"/>
      <c r="GK83" s="463"/>
      <c r="GL83" s="463"/>
      <c r="GM83" s="469"/>
    </row>
    <row r="84" spans="1:195" ht="9" customHeight="1" thickTop="1">
      <c r="A84" s="49"/>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87"/>
      <c r="AM84" s="50"/>
      <c r="AN84" s="50"/>
      <c r="AO84" s="72"/>
      <c r="AP84" s="539" t="str">
        <f>IF(Calc!C13="","",Calc!C13)</f>
        <v/>
      </c>
      <c r="AQ84" s="539"/>
      <c r="AR84" s="539"/>
      <c r="AS84" s="539"/>
      <c r="AT84" s="539"/>
      <c r="AU84" s="539"/>
      <c r="AV84" s="539"/>
      <c r="AW84" s="539"/>
      <c r="AX84" s="539"/>
      <c r="AY84" s="539"/>
      <c r="AZ84" s="539"/>
      <c r="BA84" s="539"/>
      <c r="BB84" s="539"/>
      <c r="BC84" s="539"/>
      <c r="BD84" s="539"/>
      <c r="BE84" s="539"/>
      <c r="BF84" s="539"/>
      <c r="BG84" s="539"/>
      <c r="BH84" s="539"/>
      <c r="BI84" s="539"/>
      <c r="BJ84" s="539"/>
      <c r="BK84" s="539"/>
      <c r="BL84" s="539"/>
      <c r="BM84" s="539"/>
      <c r="BN84" s="539"/>
      <c r="BO84" s="539"/>
      <c r="BP84" s="539"/>
      <c r="BQ84" s="539"/>
      <c r="BR84" s="117"/>
      <c r="BS84" s="58"/>
      <c r="BT84" s="542" t="str">
        <f>IF(Calc!AU13="","",Calc!AU13)</f>
        <v/>
      </c>
      <c r="BU84" s="542"/>
      <c r="BV84" s="542"/>
      <c r="BW84" s="542"/>
      <c r="BX84" s="542"/>
      <c r="BY84" s="542"/>
      <c r="BZ84" s="542"/>
      <c r="CA84" s="542"/>
      <c r="CB84" s="117"/>
      <c r="CC84" s="58"/>
      <c r="CD84" s="545" t="str">
        <f>IF(Calc!T13="","",Calc!T13)</f>
        <v/>
      </c>
      <c r="CE84" s="545"/>
      <c r="CF84" s="545"/>
      <c r="CG84" s="545"/>
      <c r="CH84" s="545"/>
      <c r="CI84" s="545"/>
      <c r="CJ84" s="545"/>
      <c r="CK84" s="545"/>
      <c r="CL84" s="117"/>
      <c r="CM84" s="548" t="str">
        <f>IF(Calc!AY13="","",Calc!AY13)</f>
        <v/>
      </c>
      <c r="CN84" s="548"/>
      <c r="CO84" s="548"/>
      <c r="CP84" s="548"/>
      <c r="CQ84" s="548"/>
      <c r="CR84" s="548"/>
      <c r="CS84" s="548"/>
      <c r="CT84" s="548"/>
      <c r="CU84" s="548"/>
      <c r="CV84" s="548"/>
      <c r="CW84" s="548"/>
      <c r="CX84" s="548"/>
      <c r="CY84" s="548"/>
      <c r="CZ84" s="548"/>
      <c r="DA84" s="548"/>
      <c r="DB84" s="548"/>
      <c r="DC84" s="548"/>
      <c r="DD84" s="548"/>
      <c r="DE84" s="548"/>
      <c r="DF84" s="548"/>
      <c r="DG84" s="548"/>
      <c r="DH84" s="548"/>
      <c r="DI84" s="57"/>
      <c r="DJ84" s="50"/>
      <c r="DK84" s="50"/>
      <c r="DL84" s="87"/>
      <c r="DM84" s="50"/>
      <c r="DN84" s="50"/>
      <c r="DO84" s="122"/>
      <c r="DP84" s="557"/>
      <c r="DQ84" s="557"/>
      <c r="DR84" s="557"/>
      <c r="DS84" s="557"/>
      <c r="DT84" s="557"/>
      <c r="DU84" s="557"/>
      <c r="DV84" s="557"/>
      <c r="DW84" s="557"/>
      <c r="DX84" s="557"/>
      <c r="DY84" s="557"/>
      <c r="DZ84" s="557"/>
      <c r="EA84" s="557"/>
      <c r="EB84" s="557"/>
      <c r="EC84" s="557"/>
      <c r="ED84" s="557"/>
      <c r="EE84" s="557"/>
      <c r="EF84" s="557"/>
      <c r="EG84" s="557"/>
      <c r="EH84" s="557"/>
      <c r="EI84" s="557"/>
      <c r="EJ84" s="557"/>
      <c r="EK84" s="557"/>
      <c r="EL84" s="557"/>
      <c r="EM84" s="557"/>
      <c r="EN84" s="557"/>
      <c r="EO84" s="557"/>
      <c r="EP84" s="557"/>
      <c r="EQ84" s="557"/>
      <c r="ER84" s="557"/>
      <c r="ES84" s="557"/>
      <c r="ET84" s="557"/>
      <c r="EU84" s="557"/>
      <c r="EV84" s="557"/>
      <c r="EW84" s="557"/>
      <c r="EX84" s="557"/>
      <c r="EY84" s="557"/>
      <c r="EZ84" s="123"/>
      <c r="FA84" s="50"/>
      <c r="FB84" s="51"/>
      <c r="FH84" s="455"/>
      <c r="FI84" s="456"/>
      <c r="FJ84" s="462"/>
      <c r="FK84" s="463"/>
      <c r="FL84" s="463"/>
      <c r="FM84" s="463"/>
      <c r="FN84" s="463"/>
      <c r="FO84" s="463"/>
      <c r="FP84" s="463"/>
      <c r="FQ84" s="463"/>
      <c r="FR84" s="463"/>
      <c r="FS84" s="463"/>
      <c r="FT84" s="463"/>
      <c r="FU84" s="463"/>
      <c r="FV84" s="463"/>
      <c r="FW84" s="463"/>
      <c r="FX84" s="464"/>
      <c r="FY84" s="462"/>
      <c r="FZ84" s="463"/>
      <c r="GA84" s="463"/>
      <c r="GB84" s="463"/>
      <c r="GC84" s="463"/>
      <c r="GD84" s="463"/>
      <c r="GE84" s="463"/>
      <c r="GF84" s="463"/>
      <c r="GG84" s="463"/>
      <c r="GH84" s="463"/>
      <c r="GI84" s="463"/>
      <c r="GJ84" s="463"/>
      <c r="GK84" s="463"/>
      <c r="GL84" s="463"/>
      <c r="GM84" s="469"/>
    </row>
    <row r="85" spans="1:195" ht="9" customHeight="1">
      <c r="A85" s="49"/>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87"/>
      <c r="AM85" s="50"/>
      <c r="AN85" s="50"/>
      <c r="AO85" s="66"/>
      <c r="AP85" s="540"/>
      <c r="AQ85" s="540"/>
      <c r="AR85" s="540"/>
      <c r="AS85" s="540"/>
      <c r="AT85" s="540"/>
      <c r="AU85" s="540"/>
      <c r="AV85" s="540"/>
      <c r="AW85" s="540"/>
      <c r="AX85" s="540"/>
      <c r="AY85" s="540"/>
      <c r="AZ85" s="540"/>
      <c r="BA85" s="540"/>
      <c r="BB85" s="540"/>
      <c r="BC85" s="540"/>
      <c r="BD85" s="540"/>
      <c r="BE85" s="540"/>
      <c r="BF85" s="540"/>
      <c r="BG85" s="540"/>
      <c r="BH85" s="540"/>
      <c r="BI85" s="540"/>
      <c r="BJ85" s="540"/>
      <c r="BK85" s="540"/>
      <c r="BL85" s="540"/>
      <c r="BM85" s="540"/>
      <c r="BN85" s="540"/>
      <c r="BO85" s="540"/>
      <c r="BP85" s="540"/>
      <c r="BQ85" s="540"/>
      <c r="BR85" s="68"/>
      <c r="BS85" s="50"/>
      <c r="BT85" s="543"/>
      <c r="BU85" s="543"/>
      <c r="BV85" s="543"/>
      <c r="BW85" s="543"/>
      <c r="BX85" s="543"/>
      <c r="BY85" s="543"/>
      <c r="BZ85" s="543"/>
      <c r="CA85" s="543"/>
      <c r="CB85" s="68"/>
      <c r="CC85" s="50"/>
      <c r="CD85" s="546"/>
      <c r="CE85" s="546"/>
      <c r="CF85" s="546"/>
      <c r="CG85" s="546"/>
      <c r="CH85" s="546"/>
      <c r="CI85" s="546"/>
      <c r="CJ85" s="546"/>
      <c r="CK85" s="546"/>
      <c r="CL85" s="68"/>
      <c r="CM85" s="549"/>
      <c r="CN85" s="549"/>
      <c r="CO85" s="549"/>
      <c r="CP85" s="549"/>
      <c r="CQ85" s="549"/>
      <c r="CR85" s="549"/>
      <c r="CS85" s="549"/>
      <c r="CT85" s="549"/>
      <c r="CU85" s="549"/>
      <c r="CV85" s="549"/>
      <c r="CW85" s="549"/>
      <c r="CX85" s="549"/>
      <c r="CY85" s="549"/>
      <c r="CZ85" s="549"/>
      <c r="DA85" s="549"/>
      <c r="DB85" s="549"/>
      <c r="DC85" s="549"/>
      <c r="DD85" s="549"/>
      <c r="DE85" s="549"/>
      <c r="DF85" s="549"/>
      <c r="DG85" s="549"/>
      <c r="DH85" s="549"/>
      <c r="DI85" s="60"/>
      <c r="DJ85" s="50"/>
      <c r="DK85" s="50"/>
      <c r="DL85" s="87"/>
      <c r="DM85" s="50"/>
      <c r="DN85" s="50"/>
      <c r="DO85" s="122"/>
      <c r="DP85" s="557"/>
      <c r="DQ85" s="557"/>
      <c r="DR85" s="557"/>
      <c r="DS85" s="557"/>
      <c r="DT85" s="557"/>
      <c r="DU85" s="557"/>
      <c r="DV85" s="557"/>
      <c r="DW85" s="557"/>
      <c r="DX85" s="557"/>
      <c r="DY85" s="557"/>
      <c r="DZ85" s="557"/>
      <c r="EA85" s="557"/>
      <c r="EB85" s="557"/>
      <c r="EC85" s="557"/>
      <c r="ED85" s="557"/>
      <c r="EE85" s="557"/>
      <c r="EF85" s="557"/>
      <c r="EG85" s="557"/>
      <c r="EH85" s="557"/>
      <c r="EI85" s="557"/>
      <c r="EJ85" s="557"/>
      <c r="EK85" s="557"/>
      <c r="EL85" s="557"/>
      <c r="EM85" s="557"/>
      <c r="EN85" s="557"/>
      <c r="EO85" s="557"/>
      <c r="EP85" s="557"/>
      <c r="EQ85" s="557"/>
      <c r="ER85" s="557"/>
      <c r="ES85" s="557"/>
      <c r="ET85" s="557"/>
      <c r="EU85" s="557"/>
      <c r="EV85" s="557"/>
      <c r="EW85" s="557"/>
      <c r="EX85" s="557"/>
      <c r="EY85" s="557"/>
      <c r="EZ85" s="123"/>
      <c r="FA85" s="50"/>
      <c r="FB85" s="51"/>
      <c r="FH85" s="455"/>
      <c r="FI85" s="456"/>
      <c r="FJ85" s="462"/>
      <c r="FK85" s="463"/>
      <c r="FL85" s="463"/>
      <c r="FM85" s="463"/>
      <c r="FN85" s="463"/>
      <c r="FO85" s="463"/>
      <c r="FP85" s="463"/>
      <c r="FQ85" s="463"/>
      <c r="FR85" s="463"/>
      <c r="FS85" s="463"/>
      <c r="FT85" s="463"/>
      <c r="FU85" s="463"/>
      <c r="FV85" s="463"/>
      <c r="FW85" s="463"/>
      <c r="FX85" s="464"/>
      <c r="FY85" s="462"/>
      <c r="FZ85" s="463"/>
      <c r="GA85" s="463"/>
      <c r="GB85" s="463"/>
      <c r="GC85" s="463"/>
      <c r="GD85" s="463"/>
      <c r="GE85" s="463"/>
      <c r="GF85" s="463"/>
      <c r="GG85" s="463"/>
      <c r="GH85" s="463"/>
      <c r="GI85" s="463"/>
      <c r="GJ85" s="463"/>
      <c r="GK85" s="463"/>
      <c r="GL85" s="463"/>
      <c r="GM85" s="469"/>
    </row>
    <row r="86" spans="1:195" ht="9" customHeight="1">
      <c r="A86" s="49"/>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50"/>
      <c r="AK86" s="50"/>
      <c r="AL86" s="87"/>
      <c r="AM86" s="50"/>
      <c r="AN86" s="50"/>
      <c r="AO86" s="66"/>
      <c r="AP86" s="540"/>
      <c r="AQ86" s="540"/>
      <c r="AR86" s="540"/>
      <c r="AS86" s="540"/>
      <c r="AT86" s="540"/>
      <c r="AU86" s="540"/>
      <c r="AV86" s="540"/>
      <c r="AW86" s="540"/>
      <c r="AX86" s="540"/>
      <c r="AY86" s="540"/>
      <c r="AZ86" s="540"/>
      <c r="BA86" s="540"/>
      <c r="BB86" s="540"/>
      <c r="BC86" s="540"/>
      <c r="BD86" s="540"/>
      <c r="BE86" s="540"/>
      <c r="BF86" s="540"/>
      <c r="BG86" s="540"/>
      <c r="BH86" s="540"/>
      <c r="BI86" s="540"/>
      <c r="BJ86" s="540"/>
      <c r="BK86" s="540"/>
      <c r="BL86" s="540"/>
      <c r="BM86" s="540"/>
      <c r="BN86" s="540"/>
      <c r="BO86" s="540"/>
      <c r="BP86" s="540"/>
      <c r="BQ86" s="540"/>
      <c r="BR86" s="68"/>
      <c r="BS86" s="50"/>
      <c r="BT86" s="543"/>
      <c r="BU86" s="543"/>
      <c r="BV86" s="543"/>
      <c r="BW86" s="543"/>
      <c r="BX86" s="543"/>
      <c r="BY86" s="543"/>
      <c r="BZ86" s="543"/>
      <c r="CA86" s="543"/>
      <c r="CB86" s="68"/>
      <c r="CC86" s="50"/>
      <c r="CD86" s="546"/>
      <c r="CE86" s="546"/>
      <c r="CF86" s="546"/>
      <c r="CG86" s="546"/>
      <c r="CH86" s="546"/>
      <c r="CI86" s="546"/>
      <c r="CJ86" s="546"/>
      <c r="CK86" s="546"/>
      <c r="CL86" s="68"/>
      <c r="CM86" s="549"/>
      <c r="CN86" s="549"/>
      <c r="CO86" s="549"/>
      <c r="CP86" s="549"/>
      <c r="CQ86" s="549"/>
      <c r="CR86" s="549"/>
      <c r="CS86" s="549"/>
      <c r="CT86" s="549"/>
      <c r="CU86" s="549"/>
      <c r="CV86" s="549"/>
      <c r="CW86" s="549"/>
      <c r="CX86" s="549"/>
      <c r="CY86" s="549"/>
      <c r="CZ86" s="549"/>
      <c r="DA86" s="549"/>
      <c r="DB86" s="549"/>
      <c r="DC86" s="549"/>
      <c r="DD86" s="549"/>
      <c r="DE86" s="549"/>
      <c r="DF86" s="549"/>
      <c r="DG86" s="549"/>
      <c r="DH86" s="549"/>
      <c r="DI86" s="60"/>
      <c r="DJ86" s="50"/>
      <c r="DK86" s="50"/>
      <c r="DL86" s="87"/>
      <c r="DM86" s="50"/>
      <c r="DN86" s="50"/>
      <c r="DO86" s="122"/>
      <c r="DP86" s="557"/>
      <c r="DQ86" s="557"/>
      <c r="DR86" s="557"/>
      <c r="DS86" s="557"/>
      <c r="DT86" s="557"/>
      <c r="DU86" s="557"/>
      <c r="DV86" s="557"/>
      <c r="DW86" s="557"/>
      <c r="DX86" s="557"/>
      <c r="DY86" s="557"/>
      <c r="DZ86" s="557"/>
      <c r="EA86" s="557"/>
      <c r="EB86" s="557"/>
      <c r="EC86" s="557"/>
      <c r="ED86" s="557"/>
      <c r="EE86" s="557"/>
      <c r="EF86" s="557"/>
      <c r="EG86" s="557"/>
      <c r="EH86" s="557"/>
      <c r="EI86" s="557"/>
      <c r="EJ86" s="557"/>
      <c r="EK86" s="557"/>
      <c r="EL86" s="557"/>
      <c r="EM86" s="557"/>
      <c r="EN86" s="557"/>
      <c r="EO86" s="557"/>
      <c r="EP86" s="557"/>
      <c r="EQ86" s="557"/>
      <c r="ER86" s="557"/>
      <c r="ES86" s="557"/>
      <c r="ET86" s="557"/>
      <c r="EU86" s="557"/>
      <c r="EV86" s="557"/>
      <c r="EW86" s="557"/>
      <c r="EX86" s="557"/>
      <c r="EY86" s="557"/>
      <c r="EZ86" s="123"/>
      <c r="FA86" s="50"/>
      <c r="FB86" s="51"/>
      <c r="FH86" s="609"/>
      <c r="FI86" s="610"/>
      <c r="FJ86" s="605"/>
      <c r="FK86" s="606"/>
      <c r="FL86" s="606"/>
      <c r="FM86" s="606"/>
      <c r="FN86" s="606"/>
      <c r="FO86" s="606"/>
      <c r="FP86" s="606"/>
      <c r="FQ86" s="606"/>
      <c r="FR86" s="606"/>
      <c r="FS86" s="606"/>
      <c r="FT86" s="606"/>
      <c r="FU86" s="606"/>
      <c r="FV86" s="606"/>
      <c r="FW86" s="606"/>
      <c r="FX86" s="608"/>
      <c r="FY86" s="605"/>
      <c r="FZ86" s="606"/>
      <c r="GA86" s="606"/>
      <c r="GB86" s="606"/>
      <c r="GC86" s="606"/>
      <c r="GD86" s="606"/>
      <c r="GE86" s="606"/>
      <c r="GF86" s="606"/>
      <c r="GG86" s="606"/>
      <c r="GH86" s="606"/>
      <c r="GI86" s="606"/>
      <c r="GJ86" s="606"/>
      <c r="GK86" s="606"/>
      <c r="GL86" s="606"/>
      <c r="GM86" s="607"/>
    </row>
    <row r="87" spans="1:195" ht="9" customHeight="1" thickBot="1">
      <c r="A87" s="49"/>
      <c r="B87" s="102"/>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102"/>
      <c r="AJ87" s="50"/>
      <c r="AK87" s="50"/>
      <c r="AL87" s="87"/>
      <c r="AM87" s="50"/>
      <c r="AN87" s="50"/>
      <c r="AO87" s="73"/>
      <c r="AP87" s="541"/>
      <c r="AQ87" s="541"/>
      <c r="AR87" s="541"/>
      <c r="AS87" s="541"/>
      <c r="AT87" s="541"/>
      <c r="AU87" s="541"/>
      <c r="AV87" s="541"/>
      <c r="AW87" s="541"/>
      <c r="AX87" s="541"/>
      <c r="AY87" s="541"/>
      <c r="AZ87" s="541"/>
      <c r="BA87" s="541"/>
      <c r="BB87" s="541"/>
      <c r="BC87" s="541"/>
      <c r="BD87" s="541"/>
      <c r="BE87" s="541"/>
      <c r="BF87" s="541"/>
      <c r="BG87" s="541"/>
      <c r="BH87" s="541"/>
      <c r="BI87" s="541"/>
      <c r="BJ87" s="541"/>
      <c r="BK87" s="541"/>
      <c r="BL87" s="541"/>
      <c r="BM87" s="541"/>
      <c r="BN87" s="541"/>
      <c r="BO87" s="541"/>
      <c r="BP87" s="541"/>
      <c r="BQ87" s="541"/>
      <c r="BR87" s="118"/>
      <c r="BS87" s="61"/>
      <c r="BT87" s="544"/>
      <c r="BU87" s="544"/>
      <c r="BV87" s="544"/>
      <c r="BW87" s="544"/>
      <c r="BX87" s="544"/>
      <c r="BY87" s="544"/>
      <c r="BZ87" s="544"/>
      <c r="CA87" s="544"/>
      <c r="CB87" s="118"/>
      <c r="CC87" s="61"/>
      <c r="CD87" s="547"/>
      <c r="CE87" s="547"/>
      <c r="CF87" s="547"/>
      <c r="CG87" s="547"/>
      <c r="CH87" s="547"/>
      <c r="CI87" s="547"/>
      <c r="CJ87" s="547"/>
      <c r="CK87" s="547"/>
      <c r="CL87" s="118"/>
      <c r="CM87" s="550"/>
      <c r="CN87" s="550"/>
      <c r="CO87" s="550"/>
      <c r="CP87" s="550"/>
      <c r="CQ87" s="550"/>
      <c r="CR87" s="550"/>
      <c r="CS87" s="550"/>
      <c r="CT87" s="550"/>
      <c r="CU87" s="550"/>
      <c r="CV87" s="550"/>
      <c r="CW87" s="550"/>
      <c r="CX87" s="550"/>
      <c r="CY87" s="550"/>
      <c r="CZ87" s="550"/>
      <c r="DA87" s="550"/>
      <c r="DB87" s="550"/>
      <c r="DC87" s="550"/>
      <c r="DD87" s="550"/>
      <c r="DE87" s="550"/>
      <c r="DF87" s="550"/>
      <c r="DG87" s="550"/>
      <c r="DH87" s="550"/>
      <c r="DI87" s="55"/>
      <c r="DJ87" s="50"/>
      <c r="DK87" s="50"/>
      <c r="DL87" s="87"/>
      <c r="DM87" s="50"/>
      <c r="DN87" s="50"/>
      <c r="DO87" s="122"/>
      <c r="DP87" s="557"/>
      <c r="DQ87" s="557"/>
      <c r="DR87" s="557"/>
      <c r="DS87" s="557"/>
      <c r="DT87" s="557"/>
      <c r="DU87" s="557"/>
      <c r="DV87" s="557"/>
      <c r="DW87" s="557"/>
      <c r="DX87" s="557"/>
      <c r="DY87" s="557"/>
      <c r="DZ87" s="557"/>
      <c r="EA87" s="557"/>
      <c r="EB87" s="557"/>
      <c r="EC87" s="557"/>
      <c r="ED87" s="557"/>
      <c r="EE87" s="557"/>
      <c r="EF87" s="557"/>
      <c r="EG87" s="557"/>
      <c r="EH87" s="557"/>
      <c r="EI87" s="557"/>
      <c r="EJ87" s="557"/>
      <c r="EK87" s="557"/>
      <c r="EL87" s="557"/>
      <c r="EM87" s="557"/>
      <c r="EN87" s="557"/>
      <c r="EO87" s="557"/>
      <c r="EP87" s="557"/>
      <c r="EQ87" s="557"/>
      <c r="ER87" s="557"/>
      <c r="ES87" s="557"/>
      <c r="ET87" s="557"/>
      <c r="EU87" s="557"/>
      <c r="EV87" s="557"/>
      <c r="EW87" s="557"/>
      <c r="EX87" s="557"/>
      <c r="EY87" s="557"/>
      <c r="EZ87" s="123"/>
      <c r="FA87" s="50"/>
      <c r="FB87" s="51"/>
      <c r="FJ87" s="611" t="s">
        <v>1297</v>
      </c>
      <c r="FK87" s="611"/>
      <c r="FL87" s="611"/>
      <c r="FM87" s="611"/>
      <c r="FN87" s="611"/>
      <c r="FO87" s="611"/>
      <c r="FP87" s="611"/>
      <c r="FQ87" s="611"/>
      <c r="FR87" s="611"/>
      <c r="FS87" s="611"/>
      <c r="FT87" s="611"/>
      <c r="FU87" s="611"/>
      <c r="FV87" s="611"/>
      <c r="FW87" s="611"/>
      <c r="FX87" s="611"/>
      <c r="FY87" s="611" t="s">
        <v>1298</v>
      </c>
      <c r="FZ87" s="611"/>
      <c r="GA87" s="611"/>
      <c r="GB87" s="611"/>
      <c r="GC87" s="611"/>
      <c r="GD87" s="611"/>
      <c r="GE87" s="611"/>
      <c r="GF87" s="611"/>
      <c r="GG87" s="611"/>
      <c r="GH87" s="611"/>
      <c r="GI87" s="611"/>
      <c r="GJ87" s="611"/>
      <c r="GK87" s="611"/>
      <c r="GL87" s="611"/>
      <c r="GM87" s="611"/>
    </row>
    <row r="88" spans="1:195" ht="9" customHeight="1" thickTop="1">
      <c r="A88" s="49"/>
      <c r="B88" s="88"/>
      <c r="C88" s="50"/>
      <c r="W88" s="50"/>
      <c r="X88" s="50"/>
      <c r="Y88" s="50"/>
      <c r="Z88" s="50"/>
      <c r="AA88" s="50"/>
      <c r="AB88" s="50"/>
      <c r="AC88" s="50"/>
      <c r="AD88" s="50"/>
      <c r="AE88" s="50"/>
      <c r="AF88" s="50"/>
      <c r="AG88" s="50"/>
      <c r="AH88" s="50"/>
      <c r="AI88" s="88"/>
      <c r="AJ88" s="50"/>
      <c r="AK88" s="50"/>
      <c r="AL88" s="87"/>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c r="DF88" s="50"/>
      <c r="DG88" s="50"/>
      <c r="DH88" s="50"/>
      <c r="DI88" s="50"/>
      <c r="DJ88" s="50"/>
      <c r="DK88" s="50"/>
      <c r="DL88" s="87"/>
      <c r="DM88" s="50"/>
      <c r="DN88" s="50"/>
      <c r="DO88" s="122"/>
      <c r="DP88" s="557"/>
      <c r="DQ88" s="557"/>
      <c r="DR88" s="557"/>
      <c r="DS88" s="557"/>
      <c r="DT88" s="557"/>
      <c r="DU88" s="557"/>
      <c r="DV88" s="557"/>
      <c r="DW88" s="557"/>
      <c r="DX88" s="557"/>
      <c r="DY88" s="557"/>
      <c r="DZ88" s="557"/>
      <c r="EA88" s="557"/>
      <c r="EB88" s="557"/>
      <c r="EC88" s="557"/>
      <c r="ED88" s="557"/>
      <c r="EE88" s="557"/>
      <c r="EF88" s="557"/>
      <c r="EG88" s="557"/>
      <c r="EH88" s="557"/>
      <c r="EI88" s="557"/>
      <c r="EJ88" s="557"/>
      <c r="EK88" s="557"/>
      <c r="EL88" s="557"/>
      <c r="EM88" s="557"/>
      <c r="EN88" s="557"/>
      <c r="EO88" s="557"/>
      <c r="EP88" s="557"/>
      <c r="EQ88" s="557"/>
      <c r="ER88" s="557"/>
      <c r="ES88" s="557"/>
      <c r="ET88" s="557"/>
      <c r="EU88" s="557"/>
      <c r="EV88" s="557"/>
      <c r="EW88" s="557"/>
      <c r="EX88" s="557"/>
      <c r="EY88" s="557"/>
      <c r="EZ88" s="123"/>
      <c r="FA88" s="50"/>
      <c r="FB88" s="51"/>
      <c r="FJ88" s="612"/>
      <c r="FK88" s="612"/>
      <c r="FL88" s="612"/>
      <c r="FM88" s="612"/>
      <c r="FN88" s="612"/>
      <c r="FO88" s="612"/>
      <c r="FP88" s="612"/>
      <c r="FQ88" s="612"/>
      <c r="FR88" s="612"/>
      <c r="FS88" s="612"/>
      <c r="FT88" s="612"/>
      <c r="FU88" s="612"/>
      <c r="FV88" s="612"/>
      <c r="FW88" s="612"/>
      <c r="FX88" s="612"/>
      <c r="FY88" s="612"/>
      <c r="FZ88" s="612"/>
      <c r="GA88" s="612"/>
      <c r="GB88" s="612"/>
      <c r="GC88" s="612"/>
      <c r="GD88" s="612"/>
      <c r="GE88" s="612"/>
      <c r="GF88" s="612"/>
      <c r="GG88" s="612"/>
      <c r="GH88" s="612"/>
      <c r="GI88" s="612"/>
      <c r="GJ88" s="612"/>
      <c r="GK88" s="612"/>
      <c r="GL88" s="612"/>
      <c r="GM88" s="612"/>
    </row>
    <row r="89" spans="1:195" ht="9" customHeight="1">
      <c r="A89" s="49"/>
      <c r="B89" s="87"/>
      <c r="C89" s="50"/>
      <c r="F89" s="551" t="s">
        <v>574</v>
      </c>
      <c r="G89" s="551"/>
      <c r="H89" s="551"/>
      <c r="I89" s="551"/>
      <c r="J89" s="551"/>
      <c r="K89" s="551"/>
      <c r="L89" s="551"/>
      <c r="M89" s="551"/>
      <c r="N89" s="551"/>
      <c r="O89" s="551"/>
      <c r="P89" s="551"/>
      <c r="Q89" s="551"/>
      <c r="R89" s="551"/>
      <c r="S89" s="551"/>
      <c r="T89" s="551"/>
      <c r="U89" s="551"/>
      <c r="V89" s="551"/>
      <c r="W89" s="551"/>
      <c r="X89" s="551"/>
      <c r="Y89" s="50"/>
      <c r="Z89" s="50"/>
      <c r="AA89" s="50"/>
      <c r="AB89" s="50"/>
      <c r="AC89" s="50"/>
      <c r="AD89" s="50"/>
      <c r="AE89" s="50"/>
      <c r="AF89" s="50"/>
      <c r="AG89" s="50"/>
      <c r="AH89" s="50"/>
      <c r="AI89" s="87"/>
      <c r="AJ89" s="50"/>
      <c r="AK89" s="50"/>
      <c r="AL89" s="87"/>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c r="DF89" s="50"/>
      <c r="DG89" s="50"/>
      <c r="DH89" s="50"/>
      <c r="DI89" s="50"/>
      <c r="DJ89" s="50"/>
      <c r="DK89" s="50"/>
      <c r="DL89" s="87"/>
      <c r="DM89" s="50"/>
      <c r="DN89" s="50"/>
      <c r="DO89" s="122"/>
      <c r="DP89" s="557"/>
      <c r="DQ89" s="557"/>
      <c r="DR89" s="557"/>
      <c r="DS89" s="557"/>
      <c r="DT89" s="557"/>
      <c r="DU89" s="557"/>
      <c r="DV89" s="557"/>
      <c r="DW89" s="557"/>
      <c r="DX89" s="557"/>
      <c r="DY89" s="557"/>
      <c r="DZ89" s="557"/>
      <c r="EA89" s="557"/>
      <c r="EB89" s="557"/>
      <c r="EC89" s="557"/>
      <c r="ED89" s="557"/>
      <c r="EE89" s="557"/>
      <c r="EF89" s="557"/>
      <c r="EG89" s="557"/>
      <c r="EH89" s="557"/>
      <c r="EI89" s="557"/>
      <c r="EJ89" s="557"/>
      <c r="EK89" s="557"/>
      <c r="EL89" s="557"/>
      <c r="EM89" s="557"/>
      <c r="EN89" s="557"/>
      <c r="EO89" s="557"/>
      <c r="EP89" s="557"/>
      <c r="EQ89" s="557"/>
      <c r="ER89" s="557"/>
      <c r="ES89" s="557"/>
      <c r="ET89" s="557"/>
      <c r="EU89" s="557"/>
      <c r="EV89" s="557"/>
      <c r="EW89" s="557"/>
      <c r="EX89" s="557"/>
      <c r="EY89" s="557"/>
      <c r="EZ89" s="123"/>
      <c r="FA89" s="50"/>
      <c r="FB89" s="51"/>
      <c r="FJ89" s="612"/>
      <c r="FK89" s="612"/>
      <c r="FL89" s="612"/>
      <c r="FM89" s="612"/>
      <c r="FN89" s="612"/>
      <c r="FO89" s="612"/>
      <c r="FP89" s="612"/>
      <c r="FQ89" s="612"/>
      <c r="FR89" s="612"/>
      <c r="FS89" s="612"/>
      <c r="FT89" s="612"/>
      <c r="FU89" s="612"/>
      <c r="FV89" s="612"/>
      <c r="FW89" s="612"/>
      <c r="FX89" s="612"/>
      <c r="FY89" s="612"/>
      <c r="FZ89" s="612"/>
      <c r="GA89" s="612"/>
      <c r="GB89" s="612"/>
      <c r="GC89" s="612"/>
      <c r="GD89" s="612"/>
      <c r="GE89" s="612"/>
      <c r="GF89" s="612"/>
      <c r="GG89" s="612"/>
      <c r="GH89" s="612"/>
      <c r="GI89" s="612"/>
      <c r="GJ89" s="612"/>
      <c r="GK89" s="612"/>
      <c r="GL89" s="612"/>
      <c r="GM89" s="612"/>
    </row>
    <row r="90" spans="1:195" ht="9" customHeight="1">
      <c r="A90" s="49"/>
      <c r="B90" s="86"/>
      <c r="C90" s="50"/>
      <c r="F90" s="551"/>
      <c r="G90" s="551"/>
      <c r="H90" s="551"/>
      <c r="I90" s="551"/>
      <c r="J90" s="551"/>
      <c r="K90" s="551"/>
      <c r="L90" s="551"/>
      <c r="M90" s="551"/>
      <c r="N90" s="551"/>
      <c r="O90" s="551"/>
      <c r="P90" s="551"/>
      <c r="Q90" s="551"/>
      <c r="R90" s="551"/>
      <c r="S90" s="551"/>
      <c r="T90" s="551"/>
      <c r="U90" s="551"/>
      <c r="V90" s="551"/>
      <c r="W90" s="551"/>
      <c r="X90" s="551"/>
      <c r="Y90" s="50"/>
      <c r="Z90" s="50"/>
      <c r="AA90" s="50"/>
      <c r="AB90" s="50"/>
      <c r="AC90" s="50"/>
      <c r="AD90" s="50"/>
      <c r="AE90" s="50"/>
      <c r="AF90" s="50"/>
      <c r="AG90" s="50"/>
      <c r="AH90" s="50"/>
      <c r="AI90" s="86"/>
      <c r="AJ90" s="50"/>
      <c r="AK90" s="50"/>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50"/>
      <c r="DN90" s="50"/>
      <c r="DO90" s="122"/>
      <c r="DP90" s="557"/>
      <c r="DQ90" s="557"/>
      <c r="DR90" s="557"/>
      <c r="DS90" s="557"/>
      <c r="DT90" s="557"/>
      <c r="DU90" s="557"/>
      <c r="DV90" s="557"/>
      <c r="DW90" s="557"/>
      <c r="DX90" s="557"/>
      <c r="DY90" s="557"/>
      <c r="DZ90" s="557"/>
      <c r="EA90" s="557"/>
      <c r="EB90" s="557"/>
      <c r="EC90" s="557"/>
      <c r="ED90" s="557"/>
      <c r="EE90" s="557"/>
      <c r="EF90" s="557"/>
      <c r="EG90" s="557"/>
      <c r="EH90" s="557"/>
      <c r="EI90" s="557"/>
      <c r="EJ90" s="557"/>
      <c r="EK90" s="557"/>
      <c r="EL90" s="557"/>
      <c r="EM90" s="557"/>
      <c r="EN90" s="557"/>
      <c r="EO90" s="557"/>
      <c r="EP90" s="557"/>
      <c r="EQ90" s="557"/>
      <c r="ER90" s="557"/>
      <c r="ES90" s="557"/>
      <c r="ET90" s="557"/>
      <c r="EU90" s="557"/>
      <c r="EV90" s="557"/>
      <c r="EW90" s="557"/>
      <c r="EX90" s="557"/>
      <c r="EY90" s="557"/>
      <c r="EZ90" s="123"/>
      <c r="FA90" s="50"/>
      <c r="FB90" s="51"/>
    </row>
    <row r="91" spans="1:195" ht="9" customHeight="1">
      <c r="A91" s="49"/>
      <c r="B91" s="84"/>
      <c r="C91" s="50"/>
      <c r="D91" s="50"/>
      <c r="E91" s="50"/>
      <c r="F91" s="551"/>
      <c r="G91" s="551"/>
      <c r="H91" s="551"/>
      <c r="I91" s="551"/>
      <c r="J91" s="551"/>
      <c r="K91" s="551"/>
      <c r="L91" s="551"/>
      <c r="M91" s="551"/>
      <c r="N91" s="551"/>
      <c r="O91" s="551"/>
      <c r="P91" s="551"/>
      <c r="Q91" s="551"/>
      <c r="R91" s="551"/>
      <c r="S91" s="551"/>
      <c r="T91" s="551"/>
      <c r="U91" s="551"/>
      <c r="V91" s="551"/>
      <c r="W91" s="551"/>
      <c r="X91" s="551"/>
      <c r="Y91" s="50"/>
      <c r="Z91" s="50"/>
      <c r="AA91" s="50"/>
      <c r="AB91" s="50"/>
      <c r="AC91" s="50"/>
      <c r="AD91" s="50"/>
      <c r="AE91" s="50"/>
      <c r="AF91" s="50"/>
      <c r="AG91" s="50"/>
      <c r="AH91" s="50"/>
      <c r="AI91" s="84"/>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c r="DF91" s="50"/>
      <c r="DG91" s="50"/>
      <c r="DH91" s="50"/>
      <c r="DI91" s="50"/>
      <c r="DJ91" s="50"/>
      <c r="DK91" s="50"/>
      <c r="DL91" s="50"/>
      <c r="DM91" s="50"/>
      <c r="DN91" s="50"/>
      <c r="DO91" s="122"/>
      <c r="DP91" s="557"/>
      <c r="DQ91" s="557"/>
      <c r="DR91" s="557"/>
      <c r="DS91" s="557"/>
      <c r="DT91" s="557"/>
      <c r="DU91" s="557"/>
      <c r="DV91" s="557"/>
      <c r="DW91" s="557"/>
      <c r="DX91" s="557"/>
      <c r="DY91" s="557"/>
      <c r="DZ91" s="557"/>
      <c r="EA91" s="557"/>
      <c r="EB91" s="557"/>
      <c r="EC91" s="557"/>
      <c r="ED91" s="557"/>
      <c r="EE91" s="557"/>
      <c r="EF91" s="557"/>
      <c r="EG91" s="557"/>
      <c r="EH91" s="557"/>
      <c r="EI91" s="557"/>
      <c r="EJ91" s="557"/>
      <c r="EK91" s="557"/>
      <c r="EL91" s="557"/>
      <c r="EM91" s="557"/>
      <c r="EN91" s="557"/>
      <c r="EO91" s="557"/>
      <c r="EP91" s="557"/>
      <c r="EQ91" s="557"/>
      <c r="ER91" s="557"/>
      <c r="ES91" s="557"/>
      <c r="ET91" s="557"/>
      <c r="EU91" s="557"/>
      <c r="EV91" s="557"/>
      <c r="EW91" s="557"/>
      <c r="EX91" s="557"/>
      <c r="EY91" s="557"/>
      <c r="EZ91" s="123"/>
      <c r="FA91" s="50"/>
      <c r="FB91" s="51"/>
    </row>
    <row r="92" spans="1:195" ht="9" customHeight="1">
      <c r="A92" s="49"/>
      <c r="B92" s="89"/>
      <c r="C92" s="50"/>
      <c r="D92"/>
      <c r="E92"/>
      <c r="F92"/>
      <c r="G92"/>
      <c r="H92"/>
      <c r="I92"/>
      <c r="J92"/>
      <c r="K92"/>
      <c r="L92" s="50"/>
      <c r="M92" s="50"/>
      <c r="N92" s="50"/>
      <c r="O92" s="50"/>
      <c r="P92" s="50"/>
      <c r="Q92" s="50"/>
      <c r="R92" s="50"/>
      <c r="S92" s="50"/>
      <c r="T92" s="50"/>
      <c r="U92" s="50"/>
      <c r="V92" s="50"/>
      <c r="W92" s="50"/>
      <c r="X92" s="50"/>
      <c r="Y92" s="50"/>
      <c r="Z92" s="50"/>
      <c r="AA92" s="50"/>
      <c r="AB92" s="50"/>
      <c r="AC92" s="50"/>
      <c r="AD92" s="50"/>
      <c r="AE92" s="50"/>
      <c r="AF92" s="50"/>
      <c r="AG92" s="50"/>
      <c r="AH92" s="50"/>
      <c r="AI92" s="89"/>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c r="DF92" s="50"/>
      <c r="DG92" s="50"/>
      <c r="DH92" s="50"/>
      <c r="DI92" s="50"/>
      <c r="DJ92" s="50"/>
      <c r="DK92" s="50"/>
      <c r="DL92" s="50"/>
      <c r="DM92" s="50"/>
      <c r="DN92" s="50"/>
      <c r="DO92" s="122"/>
      <c r="DP92" s="557"/>
      <c r="DQ92" s="557"/>
      <c r="DR92" s="557"/>
      <c r="DS92" s="557"/>
      <c r="DT92" s="557"/>
      <c r="DU92" s="557"/>
      <c r="DV92" s="557"/>
      <c r="DW92" s="557"/>
      <c r="DX92" s="557"/>
      <c r="DY92" s="557"/>
      <c r="DZ92" s="557"/>
      <c r="EA92" s="557"/>
      <c r="EB92" s="557"/>
      <c r="EC92" s="557"/>
      <c r="ED92" s="557"/>
      <c r="EE92" s="557"/>
      <c r="EF92" s="557"/>
      <c r="EG92" s="557"/>
      <c r="EH92" s="557"/>
      <c r="EI92" s="557"/>
      <c r="EJ92" s="557"/>
      <c r="EK92" s="557"/>
      <c r="EL92" s="557"/>
      <c r="EM92" s="557"/>
      <c r="EN92" s="557"/>
      <c r="EO92" s="557"/>
      <c r="EP92" s="557"/>
      <c r="EQ92" s="557"/>
      <c r="ER92" s="557"/>
      <c r="ES92" s="557"/>
      <c r="ET92" s="557"/>
      <c r="EU92" s="557"/>
      <c r="EV92" s="557"/>
      <c r="EW92" s="557"/>
      <c r="EX92" s="557"/>
      <c r="EY92" s="557"/>
      <c r="EZ92" s="123"/>
      <c r="FA92" s="50"/>
      <c r="FB92" s="51"/>
    </row>
    <row r="93" spans="1:195" ht="9" customHeight="1">
      <c r="A93" s="49"/>
      <c r="B93" s="81"/>
      <c r="C93" s="50"/>
      <c r="D93"/>
      <c r="E93"/>
      <c r="F93"/>
      <c r="G93"/>
      <c r="H93"/>
      <c r="I93"/>
      <c r="J93"/>
      <c r="K93"/>
      <c r="L93" s="50"/>
      <c r="M93" s="50"/>
      <c r="N93" s="50"/>
      <c r="O93" s="50"/>
      <c r="P93" s="50"/>
      <c r="Q93" s="50"/>
      <c r="R93" s="50"/>
      <c r="S93" s="50"/>
      <c r="T93" s="50"/>
      <c r="U93" s="50"/>
      <c r="V93" s="50"/>
      <c r="W93" s="50"/>
      <c r="X93" s="50"/>
      <c r="Y93" s="50"/>
      <c r="Z93" s="50"/>
      <c r="AA93" s="50"/>
      <c r="AB93" s="50"/>
      <c r="AC93" s="50"/>
      <c r="AD93" s="50"/>
      <c r="AE93" s="50"/>
      <c r="AF93" s="50"/>
      <c r="AG93" s="50"/>
      <c r="AH93" s="50"/>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50"/>
      <c r="DN93" s="50"/>
      <c r="DO93" s="122"/>
      <c r="DP93" s="557"/>
      <c r="DQ93" s="557"/>
      <c r="DR93" s="557"/>
      <c r="DS93" s="557"/>
      <c r="DT93" s="557"/>
      <c r="DU93" s="557"/>
      <c r="DV93" s="557"/>
      <c r="DW93" s="557"/>
      <c r="DX93" s="557"/>
      <c r="DY93" s="557"/>
      <c r="DZ93" s="557"/>
      <c r="EA93" s="557"/>
      <c r="EB93" s="557"/>
      <c r="EC93" s="557"/>
      <c r="ED93" s="557"/>
      <c r="EE93" s="557"/>
      <c r="EF93" s="557"/>
      <c r="EG93" s="557"/>
      <c r="EH93" s="557"/>
      <c r="EI93" s="557"/>
      <c r="EJ93" s="557"/>
      <c r="EK93" s="557"/>
      <c r="EL93" s="557"/>
      <c r="EM93" s="557"/>
      <c r="EN93" s="557"/>
      <c r="EO93" s="557"/>
      <c r="EP93" s="557"/>
      <c r="EQ93" s="557"/>
      <c r="ER93" s="557"/>
      <c r="ES93" s="557"/>
      <c r="ET93" s="557"/>
      <c r="EU93" s="557"/>
      <c r="EV93" s="557"/>
      <c r="EW93" s="557"/>
      <c r="EX93" s="557"/>
      <c r="EY93" s="557"/>
      <c r="EZ93" s="123"/>
      <c r="FA93" s="50"/>
      <c r="FB93" s="51"/>
    </row>
    <row r="94" spans="1:195" ht="9" customHeight="1">
      <c r="A94" s="49"/>
      <c r="B94" s="81"/>
      <c r="C94" s="50"/>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s="50"/>
      <c r="DL94" s="81"/>
      <c r="DM94" s="50"/>
      <c r="DN94" s="50"/>
      <c r="DO94" s="122"/>
      <c r="DP94" s="557"/>
      <c r="DQ94" s="557"/>
      <c r="DR94" s="557"/>
      <c r="DS94" s="557"/>
      <c r="DT94" s="557"/>
      <c r="DU94" s="557"/>
      <c r="DV94" s="557"/>
      <c r="DW94" s="557"/>
      <c r="DX94" s="557"/>
      <c r="DY94" s="557"/>
      <c r="DZ94" s="557"/>
      <c r="EA94" s="557"/>
      <c r="EB94" s="557"/>
      <c r="EC94" s="557"/>
      <c r="ED94" s="557"/>
      <c r="EE94" s="557"/>
      <c r="EF94" s="557"/>
      <c r="EG94" s="557"/>
      <c r="EH94" s="557"/>
      <c r="EI94" s="557"/>
      <c r="EJ94" s="557"/>
      <c r="EK94" s="557"/>
      <c r="EL94" s="557"/>
      <c r="EM94" s="557"/>
      <c r="EN94" s="557"/>
      <c r="EO94" s="557"/>
      <c r="EP94" s="557"/>
      <c r="EQ94" s="557"/>
      <c r="ER94" s="557"/>
      <c r="ES94" s="557"/>
      <c r="ET94" s="557"/>
      <c r="EU94" s="557"/>
      <c r="EV94" s="557"/>
      <c r="EW94" s="557"/>
      <c r="EX94" s="557"/>
      <c r="EY94" s="557"/>
      <c r="EZ94" s="123"/>
      <c r="FA94" s="50"/>
      <c r="FB94" s="51"/>
    </row>
    <row r="95" spans="1:195" ht="9" customHeight="1">
      <c r="A95" s="49"/>
      <c r="B95" s="81"/>
      <c r="C95" s="50"/>
      <c r="D95"/>
      <c r="E95" s="555" t="str">
        <f>Powers!BX24&amp;Powers!BX41&amp;Powers!BX58&amp;Powers!BX75&amp;Powers!BX92&amp;Powers!BX109&amp;Powers!BX126&amp;Powers!BX143&amp;Powers!BX160</f>
        <v/>
      </c>
      <c r="F95" s="555"/>
      <c r="G95" s="555"/>
      <c r="H95" s="555"/>
      <c r="I95" s="555"/>
      <c r="J95" s="555"/>
      <c r="K95" s="555"/>
      <c r="L95" s="555"/>
      <c r="M95" s="555"/>
      <c r="N95" s="555"/>
      <c r="O95" s="555"/>
      <c r="P95" s="555"/>
      <c r="Q95" s="555"/>
      <c r="R95" s="555"/>
      <c r="S95" s="555"/>
      <c r="T95" s="555"/>
      <c r="U95" s="555"/>
      <c r="V95" s="555"/>
      <c r="W95" s="555"/>
      <c r="X95" s="555"/>
      <c r="Y95" s="555"/>
      <c r="Z95" s="555"/>
      <c r="AA95" s="555"/>
      <c r="AB95" s="555"/>
      <c r="AC95" s="555"/>
      <c r="AD95" s="555"/>
      <c r="AE95" s="555"/>
      <c r="AF95" s="555"/>
      <c r="AG95" s="555"/>
      <c r="AH95" s="555"/>
      <c r="AI95" s="555"/>
      <c r="AJ95" s="555"/>
      <c r="AK95" s="555"/>
      <c r="AL95" s="555"/>
      <c r="AM95" s="555"/>
      <c r="AN95" s="555"/>
      <c r="AO95" s="555"/>
      <c r="AP95" s="555"/>
      <c r="AQ95" s="555"/>
      <c r="AR95" s="555"/>
      <c r="AS95" s="555"/>
      <c r="AT95" s="555"/>
      <c r="AU95" s="555"/>
      <c r="AV95" s="555"/>
      <c r="AW95" s="555"/>
      <c r="AX95" s="555"/>
      <c r="AY95" s="555"/>
      <c r="AZ95" s="555"/>
      <c r="BA95" s="555"/>
      <c r="BB95" s="555"/>
      <c r="BC95" s="555"/>
      <c r="BD95" s="555"/>
      <c r="BE95" s="555"/>
      <c r="BF95" s="555"/>
      <c r="BG95" s="555"/>
      <c r="BH95" s="555"/>
      <c r="BI95" s="555"/>
      <c r="BJ95" s="555"/>
      <c r="BK95" s="555"/>
      <c r="BL95" s="555"/>
      <c r="BM95" s="555"/>
      <c r="BN95" s="555"/>
      <c r="BO95" s="555"/>
      <c r="BP95" s="555"/>
      <c r="BQ95" s="555"/>
      <c r="BR95" s="555"/>
      <c r="BS95" s="555"/>
      <c r="BT95" s="555"/>
      <c r="BU95" s="555"/>
      <c r="BV95" s="555"/>
      <c r="BW95" s="555"/>
      <c r="BX95" s="555"/>
      <c r="BY95" s="555"/>
      <c r="BZ95" s="555"/>
      <c r="CA95" s="555"/>
      <c r="CB95" s="555"/>
      <c r="CC95" s="555"/>
      <c r="CD95" s="555"/>
      <c r="CE95" s="555"/>
      <c r="CF95" s="555"/>
      <c r="CG95" s="555"/>
      <c r="CH95" s="555"/>
      <c r="CI95" s="555"/>
      <c r="CJ95" s="555"/>
      <c r="CK95" s="555"/>
      <c r="CL95" s="555"/>
      <c r="CM95" s="555"/>
      <c r="CN95" s="555"/>
      <c r="CO95" s="555"/>
      <c r="CP95" s="555"/>
      <c r="CQ95" s="555"/>
      <c r="CR95" s="555"/>
      <c r="CS95" s="555"/>
      <c r="CT95" s="555"/>
      <c r="CU95" s="555"/>
      <c r="CV95" s="555"/>
      <c r="CW95" s="555"/>
      <c r="CX95" s="555"/>
      <c r="CY95" s="555"/>
      <c r="CZ95" s="555"/>
      <c r="DA95" s="555"/>
      <c r="DB95" s="555"/>
      <c r="DC95" s="555"/>
      <c r="DD95" s="555"/>
      <c r="DE95" s="555"/>
      <c r="DF95" s="555"/>
      <c r="DG95" s="555"/>
      <c r="DH95" s="555"/>
      <c r="DI95" s="555"/>
      <c r="DJ95"/>
      <c r="DK95" s="50"/>
      <c r="DL95" s="81"/>
      <c r="DM95" s="50"/>
      <c r="DN95" s="50"/>
      <c r="DO95" s="122"/>
      <c r="DP95" s="557"/>
      <c r="DQ95" s="557"/>
      <c r="DR95" s="557"/>
      <c r="DS95" s="557"/>
      <c r="DT95" s="557"/>
      <c r="DU95" s="557"/>
      <c r="DV95" s="557"/>
      <c r="DW95" s="557"/>
      <c r="DX95" s="557"/>
      <c r="DY95" s="557"/>
      <c r="DZ95" s="557"/>
      <c r="EA95" s="557"/>
      <c r="EB95" s="557"/>
      <c r="EC95" s="557"/>
      <c r="ED95" s="557"/>
      <c r="EE95" s="557"/>
      <c r="EF95" s="557"/>
      <c r="EG95" s="557"/>
      <c r="EH95" s="557"/>
      <c r="EI95" s="557"/>
      <c r="EJ95" s="557"/>
      <c r="EK95" s="557"/>
      <c r="EL95" s="557"/>
      <c r="EM95" s="557"/>
      <c r="EN95" s="557"/>
      <c r="EO95" s="557"/>
      <c r="EP95" s="557"/>
      <c r="EQ95" s="557"/>
      <c r="ER95" s="557"/>
      <c r="ES95" s="557"/>
      <c r="ET95" s="557"/>
      <c r="EU95" s="557"/>
      <c r="EV95" s="557"/>
      <c r="EW95" s="557"/>
      <c r="EX95" s="557"/>
      <c r="EY95" s="557"/>
      <c r="EZ95" s="123"/>
      <c r="FA95" s="50"/>
      <c r="FB95" s="51"/>
    </row>
    <row r="96" spans="1:195" ht="9" customHeight="1">
      <c r="A96" s="49"/>
      <c r="B96" s="81"/>
      <c r="C96" s="50"/>
      <c r="D96"/>
      <c r="E96" s="555"/>
      <c r="F96" s="555"/>
      <c r="G96" s="555"/>
      <c r="H96" s="555"/>
      <c r="I96" s="555"/>
      <c r="J96" s="555"/>
      <c r="K96" s="555"/>
      <c r="L96" s="555"/>
      <c r="M96" s="555"/>
      <c r="N96" s="555"/>
      <c r="O96" s="555"/>
      <c r="P96" s="555"/>
      <c r="Q96" s="555"/>
      <c r="R96" s="555"/>
      <c r="S96" s="555"/>
      <c r="T96" s="555"/>
      <c r="U96" s="555"/>
      <c r="V96" s="555"/>
      <c r="W96" s="555"/>
      <c r="X96" s="555"/>
      <c r="Y96" s="555"/>
      <c r="Z96" s="555"/>
      <c r="AA96" s="555"/>
      <c r="AB96" s="555"/>
      <c r="AC96" s="555"/>
      <c r="AD96" s="555"/>
      <c r="AE96" s="555"/>
      <c r="AF96" s="555"/>
      <c r="AG96" s="555"/>
      <c r="AH96" s="555"/>
      <c r="AI96" s="555"/>
      <c r="AJ96" s="555"/>
      <c r="AK96" s="555"/>
      <c r="AL96" s="555"/>
      <c r="AM96" s="555"/>
      <c r="AN96" s="555"/>
      <c r="AO96" s="555"/>
      <c r="AP96" s="555"/>
      <c r="AQ96" s="555"/>
      <c r="AR96" s="555"/>
      <c r="AS96" s="555"/>
      <c r="AT96" s="555"/>
      <c r="AU96" s="555"/>
      <c r="AV96" s="555"/>
      <c r="AW96" s="555"/>
      <c r="AX96" s="555"/>
      <c r="AY96" s="555"/>
      <c r="AZ96" s="555"/>
      <c r="BA96" s="555"/>
      <c r="BB96" s="555"/>
      <c r="BC96" s="555"/>
      <c r="BD96" s="555"/>
      <c r="BE96" s="555"/>
      <c r="BF96" s="555"/>
      <c r="BG96" s="555"/>
      <c r="BH96" s="555"/>
      <c r="BI96" s="555"/>
      <c r="BJ96" s="555"/>
      <c r="BK96" s="555"/>
      <c r="BL96" s="555"/>
      <c r="BM96" s="555"/>
      <c r="BN96" s="555"/>
      <c r="BO96" s="555"/>
      <c r="BP96" s="555"/>
      <c r="BQ96" s="555"/>
      <c r="BR96" s="555"/>
      <c r="BS96" s="555"/>
      <c r="BT96" s="555"/>
      <c r="BU96" s="555"/>
      <c r="BV96" s="555"/>
      <c r="BW96" s="555"/>
      <c r="BX96" s="555"/>
      <c r="BY96" s="555"/>
      <c r="BZ96" s="555"/>
      <c r="CA96" s="555"/>
      <c r="CB96" s="555"/>
      <c r="CC96" s="555"/>
      <c r="CD96" s="555"/>
      <c r="CE96" s="555"/>
      <c r="CF96" s="555"/>
      <c r="CG96" s="555"/>
      <c r="CH96" s="555"/>
      <c r="CI96" s="555"/>
      <c r="CJ96" s="555"/>
      <c r="CK96" s="555"/>
      <c r="CL96" s="555"/>
      <c r="CM96" s="555"/>
      <c r="CN96" s="555"/>
      <c r="CO96" s="555"/>
      <c r="CP96" s="555"/>
      <c r="CQ96" s="555"/>
      <c r="CR96" s="555"/>
      <c r="CS96" s="555"/>
      <c r="CT96" s="555"/>
      <c r="CU96" s="555"/>
      <c r="CV96" s="555"/>
      <c r="CW96" s="555"/>
      <c r="CX96" s="555"/>
      <c r="CY96" s="555"/>
      <c r="CZ96" s="555"/>
      <c r="DA96" s="555"/>
      <c r="DB96" s="555"/>
      <c r="DC96" s="555"/>
      <c r="DD96" s="555"/>
      <c r="DE96" s="555"/>
      <c r="DF96" s="555"/>
      <c r="DG96" s="555"/>
      <c r="DH96" s="555"/>
      <c r="DI96" s="555"/>
      <c r="DJ96"/>
      <c r="DK96" s="50"/>
      <c r="DL96" s="81"/>
      <c r="DM96" s="50"/>
      <c r="DN96" s="50"/>
      <c r="DO96" s="122"/>
      <c r="DP96" s="557"/>
      <c r="DQ96" s="557"/>
      <c r="DR96" s="557"/>
      <c r="DS96" s="557"/>
      <c r="DT96" s="557"/>
      <c r="DU96" s="557"/>
      <c r="DV96" s="557"/>
      <c r="DW96" s="557"/>
      <c r="DX96" s="557"/>
      <c r="DY96" s="557"/>
      <c r="DZ96" s="557"/>
      <c r="EA96" s="557"/>
      <c r="EB96" s="557"/>
      <c r="EC96" s="557"/>
      <c r="ED96" s="557"/>
      <c r="EE96" s="557"/>
      <c r="EF96" s="557"/>
      <c r="EG96" s="557"/>
      <c r="EH96" s="557"/>
      <c r="EI96" s="557"/>
      <c r="EJ96" s="557"/>
      <c r="EK96" s="557"/>
      <c r="EL96" s="557"/>
      <c r="EM96" s="557"/>
      <c r="EN96" s="557"/>
      <c r="EO96" s="557"/>
      <c r="EP96" s="557"/>
      <c r="EQ96" s="557"/>
      <c r="ER96" s="557"/>
      <c r="ES96" s="557"/>
      <c r="ET96" s="557"/>
      <c r="EU96" s="557"/>
      <c r="EV96" s="557"/>
      <c r="EW96" s="557"/>
      <c r="EX96" s="557"/>
      <c r="EY96" s="557"/>
      <c r="EZ96" s="123"/>
      <c r="FA96" s="50"/>
      <c r="FB96" s="51"/>
    </row>
    <row r="97" spans="1:158" ht="9" customHeight="1">
      <c r="A97" s="49"/>
      <c r="B97" s="81"/>
      <c r="C97" s="50"/>
      <c r="D97"/>
      <c r="E97" s="555"/>
      <c r="F97" s="555"/>
      <c r="G97" s="555"/>
      <c r="H97" s="555"/>
      <c r="I97" s="555"/>
      <c r="J97" s="555"/>
      <c r="K97" s="555"/>
      <c r="L97" s="555"/>
      <c r="M97" s="555"/>
      <c r="N97" s="555"/>
      <c r="O97" s="555"/>
      <c r="P97" s="555"/>
      <c r="Q97" s="555"/>
      <c r="R97" s="555"/>
      <c r="S97" s="555"/>
      <c r="T97" s="555"/>
      <c r="U97" s="555"/>
      <c r="V97" s="555"/>
      <c r="W97" s="555"/>
      <c r="X97" s="555"/>
      <c r="Y97" s="555"/>
      <c r="Z97" s="555"/>
      <c r="AA97" s="555"/>
      <c r="AB97" s="555"/>
      <c r="AC97" s="555"/>
      <c r="AD97" s="555"/>
      <c r="AE97" s="555"/>
      <c r="AF97" s="555"/>
      <c r="AG97" s="555"/>
      <c r="AH97" s="555"/>
      <c r="AI97" s="555"/>
      <c r="AJ97" s="555"/>
      <c r="AK97" s="555"/>
      <c r="AL97" s="555"/>
      <c r="AM97" s="555"/>
      <c r="AN97" s="555"/>
      <c r="AO97" s="555"/>
      <c r="AP97" s="555"/>
      <c r="AQ97" s="555"/>
      <c r="AR97" s="555"/>
      <c r="AS97" s="555"/>
      <c r="AT97" s="555"/>
      <c r="AU97" s="555"/>
      <c r="AV97" s="555"/>
      <c r="AW97" s="555"/>
      <c r="AX97" s="555"/>
      <c r="AY97" s="555"/>
      <c r="AZ97" s="555"/>
      <c r="BA97" s="555"/>
      <c r="BB97" s="555"/>
      <c r="BC97" s="555"/>
      <c r="BD97" s="555"/>
      <c r="BE97" s="555"/>
      <c r="BF97" s="555"/>
      <c r="BG97" s="555"/>
      <c r="BH97" s="555"/>
      <c r="BI97" s="555"/>
      <c r="BJ97" s="555"/>
      <c r="BK97" s="555"/>
      <c r="BL97" s="555"/>
      <c r="BM97" s="555"/>
      <c r="BN97" s="555"/>
      <c r="BO97" s="555"/>
      <c r="BP97" s="555"/>
      <c r="BQ97" s="555"/>
      <c r="BR97" s="555"/>
      <c r="BS97" s="555"/>
      <c r="BT97" s="555"/>
      <c r="BU97" s="555"/>
      <c r="BV97" s="555"/>
      <c r="BW97" s="555"/>
      <c r="BX97" s="555"/>
      <c r="BY97" s="555"/>
      <c r="BZ97" s="555"/>
      <c r="CA97" s="555"/>
      <c r="CB97" s="555"/>
      <c r="CC97" s="555"/>
      <c r="CD97" s="555"/>
      <c r="CE97" s="555"/>
      <c r="CF97" s="555"/>
      <c r="CG97" s="555"/>
      <c r="CH97" s="555"/>
      <c r="CI97" s="555"/>
      <c r="CJ97" s="555"/>
      <c r="CK97" s="555"/>
      <c r="CL97" s="555"/>
      <c r="CM97" s="555"/>
      <c r="CN97" s="555"/>
      <c r="CO97" s="555"/>
      <c r="CP97" s="555"/>
      <c r="CQ97" s="555"/>
      <c r="CR97" s="555"/>
      <c r="CS97" s="555"/>
      <c r="CT97" s="555"/>
      <c r="CU97" s="555"/>
      <c r="CV97" s="555"/>
      <c r="CW97" s="555"/>
      <c r="CX97" s="555"/>
      <c r="CY97" s="555"/>
      <c r="CZ97" s="555"/>
      <c r="DA97" s="555"/>
      <c r="DB97" s="555"/>
      <c r="DC97" s="555"/>
      <c r="DD97" s="555"/>
      <c r="DE97" s="555"/>
      <c r="DF97" s="555"/>
      <c r="DG97" s="555"/>
      <c r="DH97" s="555"/>
      <c r="DI97" s="555"/>
      <c r="DJ97"/>
      <c r="DK97" s="50"/>
      <c r="DL97" s="81"/>
      <c r="DM97" s="50"/>
      <c r="DN97" s="50"/>
      <c r="DO97" s="122"/>
      <c r="DP97" s="557"/>
      <c r="DQ97" s="557"/>
      <c r="DR97" s="557"/>
      <c r="DS97" s="557"/>
      <c r="DT97" s="557"/>
      <c r="DU97" s="557"/>
      <c r="DV97" s="557"/>
      <c r="DW97" s="557"/>
      <c r="DX97" s="557"/>
      <c r="DY97" s="557"/>
      <c r="DZ97" s="557"/>
      <c r="EA97" s="557"/>
      <c r="EB97" s="557"/>
      <c r="EC97" s="557"/>
      <c r="ED97" s="557"/>
      <c r="EE97" s="557"/>
      <c r="EF97" s="557"/>
      <c r="EG97" s="557"/>
      <c r="EH97" s="557"/>
      <c r="EI97" s="557"/>
      <c r="EJ97" s="557"/>
      <c r="EK97" s="557"/>
      <c r="EL97" s="557"/>
      <c r="EM97" s="557"/>
      <c r="EN97" s="557"/>
      <c r="EO97" s="557"/>
      <c r="EP97" s="557"/>
      <c r="EQ97" s="557"/>
      <c r="ER97" s="557"/>
      <c r="ES97" s="557"/>
      <c r="ET97" s="557"/>
      <c r="EU97" s="557"/>
      <c r="EV97" s="557"/>
      <c r="EW97" s="557"/>
      <c r="EX97" s="557"/>
      <c r="EY97" s="557"/>
      <c r="EZ97" s="123"/>
      <c r="FA97" s="50"/>
      <c r="FB97" s="51"/>
    </row>
    <row r="98" spans="1:158" ht="9" customHeight="1">
      <c r="A98" s="49"/>
      <c r="B98" s="81"/>
      <c r="C98" s="50"/>
      <c r="D98"/>
      <c r="E98" s="555"/>
      <c r="F98" s="555"/>
      <c r="G98" s="555"/>
      <c r="H98" s="555"/>
      <c r="I98" s="555"/>
      <c r="J98" s="555"/>
      <c r="K98" s="555"/>
      <c r="L98" s="555"/>
      <c r="M98" s="555"/>
      <c r="N98" s="555"/>
      <c r="O98" s="555"/>
      <c r="P98" s="555"/>
      <c r="Q98" s="555"/>
      <c r="R98" s="555"/>
      <c r="S98" s="555"/>
      <c r="T98" s="555"/>
      <c r="U98" s="555"/>
      <c r="V98" s="555"/>
      <c r="W98" s="555"/>
      <c r="X98" s="555"/>
      <c r="Y98" s="555"/>
      <c r="Z98" s="555"/>
      <c r="AA98" s="555"/>
      <c r="AB98" s="555"/>
      <c r="AC98" s="555"/>
      <c r="AD98" s="555"/>
      <c r="AE98" s="555"/>
      <c r="AF98" s="555"/>
      <c r="AG98" s="555"/>
      <c r="AH98" s="555"/>
      <c r="AI98" s="555"/>
      <c r="AJ98" s="555"/>
      <c r="AK98" s="555"/>
      <c r="AL98" s="555"/>
      <c r="AM98" s="555"/>
      <c r="AN98" s="555"/>
      <c r="AO98" s="555"/>
      <c r="AP98" s="555"/>
      <c r="AQ98" s="555"/>
      <c r="AR98" s="555"/>
      <c r="AS98" s="555"/>
      <c r="AT98" s="555"/>
      <c r="AU98" s="555"/>
      <c r="AV98" s="555"/>
      <c r="AW98" s="555"/>
      <c r="AX98" s="555"/>
      <c r="AY98" s="555"/>
      <c r="AZ98" s="555"/>
      <c r="BA98" s="555"/>
      <c r="BB98" s="555"/>
      <c r="BC98" s="555"/>
      <c r="BD98" s="555"/>
      <c r="BE98" s="555"/>
      <c r="BF98" s="555"/>
      <c r="BG98" s="555"/>
      <c r="BH98" s="555"/>
      <c r="BI98" s="555"/>
      <c r="BJ98" s="555"/>
      <c r="BK98" s="555"/>
      <c r="BL98" s="555"/>
      <c r="BM98" s="555"/>
      <c r="BN98" s="555"/>
      <c r="BO98" s="555"/>
      <c r="BP98" s="555"/>
      <c r="BQ98" s="555"/>
      <c r="BR98" s="555"/>
      <c r="BS98" s="555"/>
      <c r="BT98" s="555"/>
      <c r="BU98" s="555"/>
      <c r="BV98" s="555"/>
      <c r="BW98" s="555"/>
      <c r="BX98" s="555"/>
      <c r="BY98" s="555"/>
      <c r="BZ98" s="555"/>
      <c r="CA98" s="555"/>
      <c r="CB98" s="555"/>
      <c r="CC98" s="555"/>
      <c r="CD98" s="555"/>
      <c r="CE98" s="555"/>
      <c r="CF98" s="555"/>
      <c r="CG98" s="555"/>
      <c r="CH98" s="555"/>
      <c r="CI98" s="555"/>
      <c r="CJ98" s="555"/>
      <c r="CK98" s="555"/>
      <c r="CL98" s="555"/>
      <c r="CM98" s="555"/>
      <c r="CN98" s="555"/>
      <c r="CO98" s="555"/>
      <c r="CP98" s="555"/>
      <c r="CQ98" s="555"/>
      <c r="CR98" s="555"/>
      <c r="CS98" s="555"/>
      <c r="CT98" s="555"/>
      <c r="CU98" s="555"/>
      <c r="CV98" s="555"/>
      <c r="CW98" s="555"/>
      <c r="CX98" s="555"/>
      <c r="CY98" s="555"/>
      <c r="CZ98" s="555"/>
      <c r="DA98" s="555"/>
      <c r="DB98" s="555"/>
      <c r="DC98" s="555"/>
      <c r="DD98" s="555"/>
      <c r="DE98" s="555"/>
      <c r="DF98" s="555"/>
      <c r="DG98" s="555"/>
      <c r="DH98" s="555"/>
      <c r="DI98" s="555"/>
      <c r="DJ98"/>
      <c r="DK98" s="50"/>
      <c r="DL98" s="81"/>
      <c r="DM98" s="50"/>
      <c r="DN98" s="50"/>
      <c r="DO98" s="122"/>
      <c r="DP98" s="557"/>
      <c r="DQ98" s="557"/>
      <c r="DR98" s="557"/>
      <c r="DS98" s="557"/>
      <c r="DT98" s="557"/>
      <c r="DU98" s="557"/>
      <c r="DV98" s="557"/>
      <c r="DW98" s="557"/>
      <c r="DX98" s="557"/>
      <c r="DY98" s="557"/>
      <c r="DZ98" s="557"/>
      <c r="EA98" s="557"/>
      <c r="EB98" s="557"/>
      <c r="EC98" s="557"/>
      <c r="ED98" s="557"/>
      <c r="EE98" s="557"/>
      <c r="EF98" s="557"/>
      <c r="EG98" s="557"/>
      <c r="EH98" s="557"/>
      <c r="EI98" s="557"/>
      <c r="EJ98" s="557"/>
      <c r="EK98" s="557"/>
      <c r="EL98" s="557"/>
      <c r="EM98" s="557"/>
      <c r="EN98" s="557"/>
      <c r="EO98" s="557"/>
      <c r="EP98" s="557"/>
      <c r="EQ98" s="557"/>
      <c r="ER98" s="557"/>
      <c r="ES98" s="557"/>
      <c r="ET98" s="557"/>
      <c r="EU98" s="557"/>
      <c r="EV98" s="557"/>
      <c r="EW98" s="557"/>
      <c r="EX98" s="557"/>
      <c r="EY98" s="557"/>
      <c r="EZ98" s="123"/>
      <c r="FA98" s="50"/>
      <c r="FB98" s="51"/>
    </row>
    <row r="99" spans="1:158" ht="9" customHeight="1">
      <c r="A99" s="49"/>
      <c r="B99" s="81"/>
      <c r="C99" s="50"/>
      <c r="D99"/>
      <c r="E99" s="555"/>
      <c r="F99" s="555"/>
      <c r="G99" s="555"/>
      <c r="H99" s="555"/>
      <c r="I99" s="555"/>
      <c r="J99" s="555"/>
      <c r="K99" s="555"/>
      <c r="L99" s="555"/>
      <c r="M99" s="555"/>
      <c r="N99" s="555"/>
      <c r="O99" s="555"/>
      <c r="P99" s="555"/>
      <c r="Q99" s="555"/>
      <c r="R99" s="555"/>
      <c r="S99" s="555"/>
      <c r="T99" s="555"/>
      <c r="U99" s="555"/>
      <c r="V99" s="555"/>
      <c r="W99" s="555"/>
      <c r="X99" s="555"/>
      <c r="Y99" s="555"/>
      <c r="Z99" s="555"/>
      <c r="AA99" s="555"/>
      <c r="AB99" s="555"/>
      <c r="AC99" s="555"/>
      <c r="AD99" s="555"/>
      <c r="AE99" s="555"/>
      <c r="AF99" s="555"/>
      <c r="AG99" s="555"/>
      <c r="AH99" s="555"/>
      <c r="AI99" s="555"/>
      <c r="AJ99" s="555"/>
      <c r="AK99" s="555"/>
      <c r="AL99" s="555"/>
      <c r="AM99" s="555"/>
      <c r="AN99" s="555"/>
      <c r="AO99" s="555"/>
      <c r="AP99" s="555"/>
      <c r="AQ99" s="555"/>
      <c r="AR99" s="555"/>
      <c r="AS99" s="555"/>
      <c r="AT99" s="555"/>
      <c r="AU99" s="555"/>
      <c r="AV99" s="555"/>
      <c r="AW99" s="555"/>
      <c r="AX99" s="555"/>
      <c r="AY99" s="555"/>
      <c r="AZ99" s="555"/>
      <c r="BA99" s="555"/>
      <c r="BB99" s="555"/>
      <c r="BC99" s="555"/>
      <c r="BD99" s="555"/>
      <c r="BE99" s="555"/>
      <c r="BF99" s="555"/>
      <c r="BG99" s="555"/>
      <c r="BH99" s="555"/>
      <c r="BI99" s="555"/>
      <c r="BJ99" s="555"/>
      <c r="BK99" s="555"/>
      <c r="BL99" s="555"/>
      <c r="BM99" s="555"/>
      <c r="BN99" s="555"/>
      <c r="BO99" s="555"/>
      <c r="BP99" s="555"/>
      <c r="BQ99" s="555"/>
      <c r="BR99" s="555"/>
      <c r="BS99" s="555"/>
      <c r="BT99" s="555"/>
      <c r="BU99" s="555"/>
      <c r="BV99" s="555"/>
      <c r="BW99" s="555"/>
      <c r="BX99" s="555"/>
      <c r="BY99" s="555"/>
      <c r="BZ99" s="555"/>
      <c r="CA99" s="555"/>
      <c r="CB99" s="555"/>
      <c r="CC99" s="555"/>
      <c r="CD99" s="555"/>
      <c r="CE99" s="555"/>
      <c r="CF99" s="555"/>
      <c r="CG99" s="555"/>
      <c r="CH99" s="555"/>
      <c r="CI99" s="555"/>
      <c r="CJ99" s="555"/>
      <c r="CK99" s="555"/>
      <c r="CL99" s="555"/>
      <c r="CM99" s="555"/>
      <c r="CN99" s="555"/>
      <c r="CO99" s="555"/>
      <c r="CP99" s="555"/>
      <c r="CQ99" s="555"/>
      <c r="CR99" s="555"/>
      <c r="CS99" s="555"/>
      <c r="CT99" s="555"/>
      <c r="CU99" s="555"/>
      <c r="CV99" s="555"/>
      <c r="CW99" s="555"/>
      <c r="CX99" s="555"/>
      <c r="CY99" s="555"/>
      <c r="CZ99" s="555"/>
      <c r="DA99" s="555"/>
      <c r="DB99" s="555"/>
      <c r="DC99" s="555"/>
      <c r="DD99" s="555"/>
      <c r="DE99" s="555"/>
      <c r="DF99" s="555"/>
      <c r="DG99" s="555"/>
      <c r="DH99" s="555"/>
      <c r="DI99" s="555"/>
      <c r="DJ99"/>
      <c r="DK99" s="50"/>
      <c r="DL99" s="81"/>
      <c r="DM99" s="50"/>
      <c r="DN99" s="50"/>
      <c r="DO99" s="122"/>
      <c r="DP99" s="557"/>
      <c r="DQ99" s="557"/>
      <c r="DR99" s="557"/>
      <c r="DS99" s="557"/>
      <c r="DT99" s="557"/>
      <c r="DU99" s="557"/>
      <c r="DV99" s="557"/>
      <c r="DW99" s="557"/>
      <c r="DX99" s="557"/>
      <c r="DY99" s="557"/>
      <c r="DZ99" s="557"/>
      <c r="EA99" s="557"/>
      <c r="EB99" s="557"/>
      <c r="EC99" s="557"/>
      <c r="ED99" s="557"/>
      <c r="EE99" s="557"/>
      <c r="EF99" s="557"/>
      <c r="EG99" s="557"/>
      <c r="EH99" s="557"/>
      <c r="EI99" s="557"/>
      <c r="EJ99" s="557"/>
      <c r="EK99" s="557"/>
      <c r="EL99" s="557"/>
      <c r="EM99" s="557"/>
      <c r="EN99" s="557"/>
      <c r="EO99" s="557"/>
      <c r="EP99" s="557"/>
      <c r="EQ99" s="557"/>
      <c r="ER99" s="557"/>
      <c r="ES99" s="557"/>
      <c r="ET99" s="557"/>
      <c r="EU99" s="557"/>
      <c r="EV99" s="557"/>
      <c r="EW99" s="557"/>
      <c r="EX99" s="557"/>
      <c r="EY99" s="557"/>
      <c r="EZ99" s="123"/>
      <c r="FA99" s="50"/>
      <c r="FB99" s="51"/>
    </row>
    <row r="100" spans="1:158" ht="9" customHeight="1">
      <c r="A100" s="49"/>
      <c r="B100" s="81"/>
      <c r="C100" s="50"/>
      <c r="D100"/>
      <c r="E100" s="555"/>
      <c r="F100" s="555"/>
      <c r="G100" s="555"/>
      <c r="H100" s="555"/>
      <c r="I100" s="555"/>
      <c r="J100" s="555"/>
      <c r="K100" s="555"/>
      <c r="L100" s="555"/>
      <c r="M100" s="555"/>
      <c r="N100" s="555"/>
      <c r="O100" s="555"/>
      <c r="P100" s="555"/>
      <c r="Q100" s="555"/>
      <c r="R100" s="555"/>
      <c r="S100" s="555"/>
      <c r="T100" s="555"/>
      <c r="U100" s="555"/>
      <c r="V100" s="555"/>
      <c r="W100" s="555"/>
      <c r="X100" s="555"/>
      <c r="Y100" s="555"/>
      <c r="Z100" s="555"/>
      <c r="AA100" s="555"/>
      <c r="AB100" s="555"/>
      <c r="AC100" s="555"/>
      <c r="AD100" s="555"/>
      <c r="AE100" s="555"/>
      <c r="AF100" s="555"/>
      <c r="AG100" s="555"/>
      <c r="AH100" s="555"/>
      <c r="AI100" s="555"/>
      <c r="AJ100" s="555"/>
      <c r="AK100" s="555"/>
      <c r="AL100" s="555"/>
      <c r="AM100" s="555"/>
      <c r="AN100" s="555"/>
      <c r="AO100" s="555"/>
      <c r="AP100" s="555"/>
      <c r="AQ100" s="555"/>
      <c r="AR100" s="555"/>
      <c r="AS100" s="555"/>
      <c r="AT100" s="555"/>
      <c r="AU100" s="555"/>
      <c r="AV100" s="555"/>
      <c r="AW100" s="555"/>
      <c r="AX100" s="555"/>
      <c r="AY100" s="555"/>
      <c r="AZ100" s="555"/>
      <c r="BA100" s="555"/>
      <c r="BB100" s="555"/>
      <c r="BC100" s="555"/>
      <c r="BD100" s="555"/>
      <c r="BE100" s="555"/>
      <c r="BF100" s="555"/>
      <c r="BG100" s="555"/>
      <c r="BH100" s="555"/>
      <c r="BI100" s="555"/>
      <c r="BJ100" s="555"/>
      <c r="BK100" s="555"/>
      <c r="BL100" s="555"/>
      <c r="BM100" s="555"/>
      <c r="BN100" s="555"/>
      <c r="BO100" s="555"/>
      <c r="BP100" s="555"/>
      <c r="BQ100" s="555"/>
      <c r="BR100" s="555"/>
      <c r="BS100" s="555"/>
      <c r="BT100" s="555"/>
      <c r="BU100" s="555"/>
      <c r="BV100" s="555"/>
      <c r="BW100" s="555"/>
      <c r="BX100" s="555"/>
      <c r="BY100" s="555"/>
      <c r="BZ100" s="555"/>
      <c r="CA100" s="555"/>
      <c r="CB100" s="555"/>
      <c r="CC100" s="555"/>
      <c r="CD100" s="555"/>
      <c r="CE100" s="555"/>
      <c r="CF100" s="555"/>
      <c r="CG100" s="555"/>
      <c r="CH100" s="555"/>
      <c r="CI100" s="555"/>
      <c r="CJ100" s="555"/>
      <c r="CK100" s="555"/>
      <c r="CL100" s="555"/>
      <c r="CM100" s="555"/>
      <c r="CN100" s="555"/>
      <c r="CO100" s="555"/>
      <c r="CP100" s="555"/>
      <c r="CQ100" s="555"/>
      <c r="CR100" s="555"/>
      <c r="CS100" s="555"/>
      <c r="CT100" s="555"/>
      <c r="CU100" s="555"/>
      <c r="CV100" s="555"/>
      <c r="CW100" s="555"/>
      <c r="CX100" s="555"/>
      <c r="CY100" s="555"/>
      <c r="CZ100" s="555"/>
      <c r="DA100" s="555"/>
      <c r="DB100" s="555"/>
      <c r="DC100" s="555"/>
      <c r="DD100" s="555"/>
      <c r="DE100" s="555"/>
      <c r="DF100" s="555"/>
      <c r="DG100" s="555"/>
      <c r="DH100" s="555"/>
      <c r="DI100" s="555"/>
      <c r="DJ100"/>
      <c r="DK100" s="50"/>
      <c r="DL100" s="81"/>
      <c r="DM100" s="50"/>
      <c r="DN100" s="50"/>
      <c r="DO100" s="122"/>
      <c r="DP100" s="557"/>
      <c r="DQ100" s="557"/>
      <c r="DR100" s="557"/>
      <c r="DS100" s="557"/>
      <c r="DT100" s="557"/>
      <c r="DU100" s="557"/>
      <c r="DV100" s="557"/>
      <c r="DW100" s="557"/>
      <c r="DX100" s="557"/>
      <c r="DY100" s="557"/>
      <c r="DZ100" s="557"/>
      <c r="EA100" s="557"/>
      <c r="EB100" s="557"/>
      <c r="EC100" s="557"/>
      <c r="ED100" s="557"/>
      <c r="EE100" s="557"/>
      <c r="EF100" s="557"/>
      <c r="EG100" s="557"/>
      <c r="EH100" s="557"/>
      <c r="EI100" s="557"/>
      <c r="EJ100" s="557"/>
      <c r="EK100" s="557"/>
      <c r="EL100" s="557"/>
      <c r="EM100" s="557"/>
      <c r="EN100" s="557"/>
      <c r="EO100" s="557"/>
      <c r="EP100" s="557"/>
      <c r="EQ100" s="557"/>
      <c r="ER100" s="557"/>
      <c r="ES100" s="557"/>
      <c r="ET100" s="557"/>
      <c r="EU100" s="557"/>
      <c r="EV100" s="557"/>
      <c r="EW100" s="557"/>
      <c r="EX100" s="557"/>
      <c r="EY100" s="557"/>
      <c r="EZ100" s="123"/>
      <c r="FA100" s="50"/>
      <c r="FB100" s="51"/>
    </row>
    <row r="101" spans="1:158" ht="9" customHeight="1">
      <c r="A101" s="49"/>
      <c r="B101" s="81"/>
      <c r="C101" s="50"/>
      <c r="D101"/>
      <c r="E101" s="555"/>
      <c r="F101" s="555"/>
      <c r="G101" s="555"/>
      <c r="H101" s="555"/>
      <c r="I101" s="555"/>
      <c r="J101" s="555"/>
      <c r="K101" s="555"/>
      <c r="L101" s="555"/>
      <c r="M101" s="555"/>
      <c r="N101" s="555"/>
      <c r="O101" s="555"/>
      <c r="P101" s="555"/>
      <c r="Q101" s="555"/>
      <c r="R101" s="555"/>
      <c r="S101" s="555"/>
      <c r="T101" s="555"/>
      <c r="U101" s="555"/>
      <c r="V101" s="555"/>
      <c r="W101" s="555"/>
      <c r="X101" s="555"/>
      <c r="Y101" s="555"/>
      <c r="Z101" s="555"/>
      <c r="AA101" s="555"/>
      <c r="AB101" s="555"/>
      <c r="AC101" s="555"/>
      <c r="AD101" s="555"/>
      <c r="AE101" s="555"/>
      <c r="AF101" s="555"/>
      <c r="AG101" s="555"/>
      <c r="AH101" s="555"/>
      <c r="AI101" s="555"/>
      <c r="AJ101" s="555"/>
      <c r="AK101" s="555"/>
      <c r="AL101" s="555"/>
      <c r="AM101" s="555"/>
      <c r="AN101" s="555"/>
      <c r="AO101" s="555"/>
      <c r="AP101" s="555"/>
      <c r="AQ101" s="555"/>
      <c r="AR101" s="555"/>
      <c r="AS101" s="555"/>
      <c r="AT101" s="555"/>
      <c r="AU101" s="555"/>
      <c r="AV101" s="555"/>
      <c r="AW101" s="555"/>
      <c r="AX101" s="555"/>
      <c r="AY101" s="555"/>
      <c r="AZ101" s="555"/>
      <c r="BA101" s="555"/>
      <c r="BB101" s="555"/>
      <c r="BC101" s="555"/>
      <c r="BD101" s="555"/>
      <c r="BE101" s="555"/>
      <c r="BF101" s="555"/>
      <c r="BG101" s="555"/>
      <c r="BH101" s="555"/>
      <c r="BI101" s="555"/>
      <c r="BJ101" s="555"/>
      <c r="BK101" s="555"/>
      <c r="BL101" s="555"/>
      <c r="BM101" s="555"/>
      <c r="BN101" s="555"/>
      <c r="BO101" s="555"/>
      <c r="BP101" s="555"/>
      <c r="BQ101" s="555"/>
      <c r="BR101" s="555"/>
      <c r="BS101" s="555"/>
      <c r="BT101" s="555"/>
      <c r="BU101" s="555"/>
      <c r="BV101" s="555"/>
      <c r="BW101" s="555"/>
      <c r="BX101" s="555"/>
      <c r="BY101" s="555"/>
      <c r="BZ101" s="555"/>
      <c r="CA101" s="555"/>
      <c r="CB101" s="555"/>
      <c r="CC101" s="555"/>
      <c r="CD101" s="555"/>
      <c r="CE101" s="555"/>
      <c r="CF101" s="555"/>
      <c r="CG101" s="555"/>
      <c r="CH101" s="555"/>
      <c r="CI101" s="555"/>
      <c r="CJ101" s="555"/>
      <c r="CK101" s="555"/>
      <c r="CL101" s="555"/>
      <c r="CM101" s="555"/>
      <c r="CN101" s="555"/>
      <c r="CO101" s="555"/>
      <c r="CP101" s="555"/>
      <c r="CQ101" s="555"/>
      <c r="CR101" s="555"/>
      <c r="CS101" s="555"/>
      <c r="CT101" s="555"/>
      <c r="CU101" s="555"/>
      <c r="CV101" s="555"/>
      <c r="CW101" s="555"/>
      <c r="CX101" s="555"/>
      <c r="CY101" s="555"/>
      <c r="CZ101" s="555"/>
      <c r="DA101" s="555"/>
      <c r="DB101" s="555"/>
      <c r="DC101" s="555"/>
      <c r="DD101" s="555"/>
      <c r="DE101" s="555"/>
      <c r="DF101" s="555"/>
      <c r="DG101" s="555"/>
      <c r="DH101" s="555"/>
      <c r="DI101" s="555"/>
      <c r="DJ101"/>
      <c r="DK101" s="50"/>
      <c r="DL101" s="81"/>
      <c r="DM101" s="50"/>
      <c r="DN101" s="50"/>
      <c r="DO101" s="122"/>
      <c r="DP101" s="557"/>
      <c r="DQ101" s="557"/>
      <c r="DR101" s="557"/>
      <c r="DS101" s="557"/>
      <c r="DT101" s="557"/>
      <c r="DU101" s="557"/>
      <c r="DV101" s="557"/>
      <c r="DW101" s="557"/>
      <c r="DX101" s="557"/>
      <c r="DY101" s="557"/>
      <c r="DZ101" s="557"/>
      <c r="EA101" s="557"/>
      <c r="EB101" s="557"/>
      <c r="EC101" s="557"/>
      <c r="ED101" s="557"/>
      <c r="EE101" s="557"/>
      <c r="EF101" s="557"/>
      <c r="EG101" s="557"/>
      <c r="EH101" s="557"/>
      <c r="EI101" s="557"/>
      <c r="EJ101" s="557"/>
      <c r="EK101" s="557"/>
      <c r="EL101" s="557"/>
      <c r="EM101" s="557"/>
      <c r="EN101" s="557"/>
      <c r="EO101" s="557"/>
      <c r="EP101" s="557"/>
      <c r="EQ101" s="557"/>
      <c r="ER101" s="557"/>
      <c r="ES101" s="557"/>
      <c r="ET101" s="557"/>
      <c r="EU101" s="557"/>
      <c r="EV101" s="557"/>
      <c r="EW101" s="557"/>
      <c r="EX101" s="557"/>
      <c r="EY101" s="557"/>
      <c r="EZ101" s="123"/>
      <c r="FA101" s="50"/>
      <c r="FB101" s="51"/>
    </row>
    <row r="102" spans="1:158" ht="9" customHeight="1">
      <c r="A102" s="49"/>
      <c r="B102" s="81"/>
      <c r="C102" s="50"/>
      <c r="D102"/>
      <c r="E102" s="555"/>
      <c r="F102" s="555"/>
      <c r="G102" s="555"/>
      <c r="H102" s="555"/>
      <c r="I102" s="555"/>
      <c r="J102" s="555"/>
      <c r="K102" s="555"/>
      <c r="L102" s="555"/>
      <c r="M102" s="555"/>
      <c r="N102" s="555"/>
      <c r="O102" s="555"/>
      <c r="P102" s="555"/>
      <c r="Q102" s="555"/>
      <c r="R102" s="555"/>
      <c r="S102" s="555"/>
      <c r="T102" s="555"/>
      <c r="U102" s="555"/>
      <c r="V102" s="555"/>
      <c r="W102" s="555"/>
      <c r="X102" s="555"/>
      <c r="Y102" s="555"/>
      <c r="Z102" s="555"/>
      <c r="AA102" s="555"/>
      <c r="AB102" s="555"/>
      <c r="AC102" s="555"/>
      <c r="AD102" s="555"/>
      <c r="AE102" s="555"/>
      <c r="AF102" s="555"/>
      <c r="AG102" s="555"/>
      <c r="AH102" s="555"/>
      <c r="AI102" s="555"/>
      <c r="AJ102" s="555"/>
      <c r="AK102" s="555"/>
      <c r="AL102" s="555"/>
      <c r="AM102" s="555"/>
      <c r="AN102" s="555"/>
      <c r="AO102" s="555"/>
      <c r="AP102" s="555"/>
      <c r="AQ102" s="555"/>
      <c r="AR102" s="555"/>
      <c r="AS102" s="555"/>
      <c r="AT102" s="555"/>
      <c r="AU102" s="555"/>
      <c r="AV102" s="555"/>
      <c r="AW102" s="555"/>
      <c r="AX102" s="555"/>
      <c r="AY102" s="555"/>
      <c r="AZ102" s="555"/>
      <c r="BA102" s="555"/>
      <c r="BB102" s="555"/>
      <c r="BC102" s="555"/>
      <c r="BD102" s="555"/>
      <c r="BE102" s="555"/>
      <c r="BF102" s="555"/>
      <c r="BG102" s="555"/>
      <c r="BH102" s="555"/>
      <c r="BI102" s="555"/>
      <c r="BJ102" s="555"/>
      <c r="BK102" s="555"/>
      <c r="BL102" s="555"/>
      <c r="BM102" s="555"/>
      <c r="BN102" s="555"/>
      <c r="BO102" s="555"/>
      <c r="BP102" s="555"/>
      <c r="BQ102" s="555"/>
      <c r="BR102" s="555"/>
      <c r="BS102" s="555"/>
      <c r="BT102" s="555"/>
      <c r="BU102" s="555"/>
      <c r="BV102" s="555"/>
      <c r="BW102" s="555"/>
      <c r="BX102" s="555"/>
      <c r="BY102" s="555"/>
      <c r="BZ102" s="555"/>
      <c r="CA102" s="555"/>
      <c r="CB102" s="555"/>
      <c r="CC102" s="555"/>
      <c r="CD102" s="555"/>
      <c r="CE102" s="555"/>
      <c r="CF102" s="555"/>
      <c r="CG102" s="555"/>
      <c r="CH102" s="555"/>
      <c r="CI102" s="555"/>
      <c r="CJ102" s="555"/>
      <c r="CK102" s="555"/>
      <c r="CL102" s="555"/>
      <c r="CM102" s="555"/>
      <c r="CN102" s="555"/>
      <c r="CO102" s="555"/>
      <c r="CP102" s="555"/>
      <c r="CQ102" s="555"/>
      <c r="CR102" s="555"/>
      <c r="CS102" s="555"/>
      <c r="CT102" s="555"/>
      <c r="CU102" s="555"/>
      <c r="CV102" s="555"/>
      <c r="CW102" s="555"/>
      <c r="CX102" s="555"/>
      <c r="CY102" s="555"/>
      <c r="CZ102" s="555"/>
      <c r="DA102" s="555"/>
      <c r="DB102" s="555"/>
      <c r="DC102" s="555"/>
      <c r="DD102" s="555"/>
      <c r="DE102" s="555"/>
      <c r="DF102" s="555"/>
      <c r="DG102" s="555"/>
      <c r="DH102" s="555"/>
      <c r="DI102" s="555"/>
      <c r="DJ102"/>
      <c r="DK102" s="50"/>
      <c r="DL102" s="81"/>
      <c r="DM102" s="50"/>
      <c r="DN102" s="50"/>
      <c r="DO102" s="122"/>
      <c r="DP102" s="557"/>
      <c r="DQ102" s="557"/>
      <c r="DR102" s="557"/>
      <c r="DS102" s="557"/>
      <c r="DT102" s="557"/>
      <c r="DU102" s="557"/>
      <c r="DV102" s="557"/>
      <c r="DW102" s="557"/>
      <c r="DX102" s="557"/>
      <c r="DY102" s="557"/>
      <c r="DZ102" s="557"/>
      <c r="EA102" s="557"/>
      <c r="EB102" s="557"/>
      <c r="EC102" s="557"/>
      <c r="ED102" s="557"/>
      <c r="EE102" s="557"/>
      <c r="EF102" s="557"/>
      <c r="EG102" s="557"/>
      <c r="EH102" s="557"/>
      <c r="EI102" s="557"/>
      <c r="EJ102" s="557"/>
      <c r="EK102" s="557"/>
      <c r="EL102" s="557"/>
      <c r="EM102" s="557"/>
      <c r="EN102" s="557"/>
      <c r="EO102" s="557"/>
      <c r="EP102" s="557"/>
      <c r="EQ102" s="557"/>
      <c r="ER102" s="557"/>
      <c r="ES102" s="557"/>
      <c r="ET102" s="557"/>
      <c r="EU102" s="557"/>
      <c r="EV102" s="557"/>
      <c r="EW102" s="557"/>
      <c r="EX102" s="557"/>
      <c r="EY102" s="557"/>
      <c r="EZ102" s="123"/>
      <c r="FA102" s="50"/>
      <c r="FB102" s="51"/>
    </row>
    <row r="103" spans="1:158" ht="9" customHeight="1">
      <c r="A103" s="49"/>
      <c r="B103" s="81"/>
      <c r="C103" s="50"/>
      <c r="D103"/>
      <c r="E103" s="555"/>
      <c r="F103" s="555"/>
      <c r="G103" s="555"/>
      <c r="H103" s="555"/>
      <c r="I103" s="555"/>
      <c r="J103" s="555"/>
      <c r="K103" s="555"/>
      <c r="L103" s="555"/>
      <c r="M103" s="555"/>
      <c r="N103" s="555"/>
      <c r="O103" s="555"/>
      <c r="P103" s="555"/>
      <c r="Q103" s="555"/>
      <c r="R103" s="555"/>
      <c r="S103" s="555"/>
      <c r="T103" s="555"/>
      <c r="U103" s="555"/>
      <c r="V103" s="555"/>
      <c r="W103" s="555"/>
      <c r="X103" s="555"/>
      <c r="Y103" s="555"/>
      <c r="Z103" s="555"/>
      <c r="AA103" s="555"/>
      <c r="AB103" s="555"/>
      <c r="AC103" s="555"/>
      <c r="AD103" s="555"/>
      <c r="AE103" s="555"/>
      <c r="AF103" s="555"/>
      <c r="AG103" s="555"/>
      <c r="AH103" s="555"/>
      <c r="AI103" s="555"/>
      <c r="AJ103" s="555"/>
      <c r="AK103" s="555"/>
      <c r="AL103" s="555"/>
      <c r="AM103" s="555"/>
      <c r="AN103" s="555"/>
      <c r="AO103" s="555"/>
      <c r="AP103" s="555"/>
      <c r="AQ103" s="555"/>
      <c r="AR103" s="555"/>
      <c r="AS103" s="555"/>
      <c r="AT103" s="555"/>
      <c r="AU103" s="555"/>
      <c r="AV103" s="555"/>
      <c r="AW103" s="555"/>
      <c r="AX103" s="555"/>
      <c r="AY103" s="555"/>
      <c r="AZ103" s="555"/>
      <c r="BA103" s="555"/>
      <c r="BB103" s="555"/>
      <c r="BC103" s="555"/>
      <c r="BD103" s="555"/>
      <c r="BE103" s="555"/>
      <c r="BF103" s="555"/>
      <c r="BG103" s="555"/>
      <c r="BH103" s="555"/>
      <c r="BI103" s="555"/>
      <c r="BJ103" s="555"/>
      <c r="BK103" s="555"/>
      <c r="BL103" s="555"/>
      <c r="BM103" s="555"/>
      <c r="BN103" s="555"/>
      <c r="BO103" s="555"/>
      <c r="BP103" s="555"/>
      <c r="BQ103" s="555"/>
      <c r="BR103" s="555"/>
      <c r="BS103" s="555"/>
      <c r="BT103" s="555"/>
      <c r="BU103" s="555"/>
      <c r="BV103" s="555"/>
      <c r="BW103" s="555"/>
      <c r="BX103" s="555"/>
      <c r="BY103" s="555"/>
      <c r="BZ103" s="555"/>
      <c r="CA103" s="555"/>
      <c r="CB103" s="555"/>
      <c r="CC103" s="555"/>
      <c r="CD103" s="555"/>
      <c r="CE103" s="555"/>
      <c r="CF103" s="555"/>
      <c r="CG103" s="555"/>
      <c r="CH103" s="555"/>
      <c r="CI103" s="555"/>
      <c r="CJ103" s="555"/>
      <c r="CK103" s="555"/>
      <c r="CL103" s="555"/>
      <c r="CM103" s="555"/>
      <c r="CN103" s="555"/>
      <c r="CO103" s="555"/>
      <c r="CP103" s="555"/>
      <c r="CQ103" s="555"/>
      <c r="CR103" s="555"/>
      <c r="CS103" s="555"/>
      <c r="CT103" s="555"/>
      <c r="CU103" s="555"/>
      <c r="CV103" s="555"/>
      <c r="CW103" s="555"/>
      <c r="CX103" s="555"/>
      <c r="CY103" s="555"/>
      <c r="CZ103" s="555"/>
      <c r="DA103" s="555"/>
      <c r="DB103" s="555"/>
      <c r="DC103" s="555"/>
      <c r="DD103" s="555"/>
      <c r="DE103" s="555"/>
      <c r="DF103" s="555"/>
      <c r="DG103" s="555"/>
      <c r="DH103" s="555"/>
      <c r="DI103" s="555"/>
      <c r="DJ103"/>
      <c r="DK103" s="50"/>
      <c r="DL103" s="81"/>
      <c r="DM103" s="50"/>
      <c r="DN103" s="50"/>
      <c r="DO103" s="122"/>
      <c r="DP103" s="557"/>
      <c r="DQ103" s="557"/>
      <c r="DR103" s="557"/>
      <c r="DS103" s="557"/>
      <c r="DT103" s="557"/>
      <c r="DU103" s="557"/>
      <c r="DV103" s="557"/>
      <c r="DW103" s="557"/>
      <c r="DX103" s="557"/>
      <c r="DY103" s="557"/>
      <c r="DZ103" s="557"/>
      <c r="EA103" s="557"/>
      <c r="EB103" s="557"/>
      <c r="EC103" s="557"/>
      <c r="ED103" s="557"/>
      <c r="EE103" s="557"/>
      <c r="EF103" s="557"/>
      <c r="EG103" s="557"/>
      <c r="EH103" s="557"/>
      <c r="EI103" s="557"/>
      <c r="EJ103" s="557"/>
      <c r="EK103" s="557"/>
      <c r="EL103" s="557"/>
      <c r="EM103" s="557"/>
      <c r="EN103" s="557"/>
      <c r="EO103" s="557"/>
      <c r="EP103" s="557"/>
      <c r="EQ103" s="557"/>
      <c r="ER103" s="557"/>
      <c r="ES103" s="557"/>
      <c r="ET103" s="557"/>
      <c r="EU103" s="557"/>
      <c r="EV103" s="557"/>
      <c r="EW103" s="557"/>
      <c r="EX103" s="557"/>
      <c r="EY103" s="557"/>
      <c r="EZ103" s="123"/>
      <c r="FA103" s="50"/>
      <c r="FB103" s="51"/>
    </row>
    <row r="104" spans="1:158" ht="9" customHeight="1">
      <c r="A104" s="49"/>
      <c r="B104" s="81"/>
      <c r="C104" s="50"/>
      <c r="D104"/>
      <c r="E104" s="555"/>
      <c r="F104" s="555"/>
      <c r="G104" s="555"/>
      <c r="H104" s="555"/>
      <c r="I104" s="555"/>
      <c r="J104" s="555"/>
      <c r="K104" s="555"/>
      <c r="L104" s="555"/>
      <c r="M104" s="555"/>
      <c r="N104" s="555"/>
      <c r="O104" s="555"/>
      <c r="P104" s="555"/>
      <c r="Q104" s="555"/>
      <c r="R104" s="555"/>
      <c r="S104" s="555"/>
      <c r="T104" s="555"/>
      <c r="U104" s="555"/>
      <c r="V104" s="555"/>
      <c r="W104" s="555"/>
      <c r="X104" s="555"/>
      <c r="Y104" s="555"/>
      <c r="Z104" s="555"/>
      <c r="AA104" s="555"/>
      <c r="AB104" s="555"/>
      <c r="AC104" s="555"/>
      <c r="AD104" s="555"/>
      <c r="AE104" s="555"/>
      <c r="AF104" s="555"/>
      <c r="AG104" s="555"/>
      <c r="AH104" s="555"/>
      <c r="AI104" s="555"/>
      <c r="AJ104" s="555"/>
      <c r="AK104" s="555"/>
      <c r="AL104" s="555"/>
      <c r="AM104" s="555"/>
      <c r="AN104" s="555"/>
      <c r="AO104" s="555"/>
      <c r="AP104" s="555"/>
      <c r="AQ104" s="555"/>
      <c r="AR104" s="555"/>
      <c r="AS104" s="555"/>
      <c r="AT104" s="555"/>
      <c r="AU104" s="555"/>
      <c r="AV104" s="555"/>
      <c r="AW104" s="555"/>
      <c r="AX104" s="555"/>
      <c r="AY104" s="555"/>
      <c r="AZ104" s="555"/>
      <c r="BA104" s="555"/>
      <c r="BB104" s="555"/>
      <c r="BC104" s="555"/>
      <c r="BD104" s="555"/>
      <c r="BE104" s="555"/>
      <c r="BF104" s="555"/>
      <c r="BG104" s="555"/>
      <c r="BH104" s="555"/>
      <c r="BI104" s="555"/>
      <c r="BJ104" s="555"/>
      <c r="BK104" s="555"/>
      <c r="BL104" s="555"/>
      <c r="BM104" s="555"/>
      <c r="BN104" s="555"/>
      <c r="BO104" s="555"/>
      <c r="BP104" s="555"/>
      <c r="BQ104" s="555"/>
      <c r="BR104" s="555"/>
      <c r="BS104" s="555"/>
      <c r="BT104" s="555"/>
      <c r="BU104" s="555"/>
      <c r="BV104" s="555"/>
      <c r="BW104" s="555"/>
      <c r="BX104" s="555"/>
      <c r="BY104" s="555"/>
      <c r="BZ104" s="555"/>
      <c r="CA104" s="555"/>
      <c r="CB104" s="555"/>
      <c r="CC104" s="555"/>
      <c r="CD104" s="555"/>
      <c r="CE104" s="555"/>
      <c r="CF104" s="555"/>
      <c r="CG104" s="555"/>
      <c r="CH104" s="555"/>
      <c r="CI104" s="555"/>
      <c r="CJ104" s="555"/>
      <c r="CK104" s="555"/>
      <c r="CL104" s="555"/>
      <c r="CM104" s="555"/>
      <c r="CN104" s="555"/>
      <c r="CO104" s="555"/>
      <c r="CP104" s="555"/>
      <c r="CQ104" s="555"/>
      <c r="CR104" s="555"/>
      <c r="CS104" s="555"/>
      <c r="CT104" s="555"/>
      <c r="CU104" s="555"/>
      <c r="CV104" s="555"/>
      <c r="CW104" s="555"/>
      <c r="CX104" s="555"/>
      <c r="CY104" s="555"/>
      <c r="CZ104" s="555"/>
      <c r="DA104" s="555"/>
      <c r="DB104" s="555"/>
      <c r="DC104" s="555"/>
      <c r="DD104" s="555"/>
      <c r="DE104" s="555"/>
      <c r="DF104" s="555"/>
      <c r="DG104" s="555"/>
      <c r="DH104" s="555"/>
      <c r="DI104" s="555"/>
      <c r="DJ104"/>
      <c r="DK104" s="50"/>
      <c r="DL104" s="81"/>
      <c r="DM104" s="50"/>
      <c r="DN104" s="50"/>
      <c r="DO104" s="122"/>
      <c r="DP104" s="557"/>
      <c r="DQ104" s="557"/>
      <c r="DR104" s="557"/>
      <c r="DS104" s="557"/>
      <c r="DT104" s="557"/>
      <c r="DU104" s="557"/>
      <c r="DV104" s="557"/>
      <c r="DW104" s="557"/>
      <c r="DX104" s="557"/>
      <c r="DY104" s="557"/>
      <c r="DZ104" s="557"/>
      <c r="EA104" s="557"/>
      <c r="EB104" s="557"/>
      <c r="EC104" s="557"/>
      <c r="ED104" s="557"/>
      <c r="EE104" s="557"/>
      <c r="EF104" s="557"/>
      <c r="EG104" s="557"/>
      <c r="EH104" s="557"/>
      <c r="EI104" s="557"/>
      <c r="EJ104" s="557"/>
      <c r="EK104" s="557"/>
      <c r="EL104" s="557"/>
      <c r="EM104" s="557"/>
      <c r="EN104" s="557"/>
      <c r="EO104" s="557"/>
      <c r="EP104" s="557"/>
      <c r="EQ104" s="557"/>
      <c r="ER104" s="557"/>
      <c r="ES104" s="557"/>
      <c r="ET104" s="557"/>
      <c r="EU104" s="557"/>
      <c r="EV104" s="557"/>
      <c r="EW104" s="557"/>
      <c r="EX104" s="557"/>
      <c r="EY104" s="557"/>
      <c r="EZ104" s="123"/>
      <c r="FA104" s="50"/>
      <c r="FB104" s="51"/>
    </row>
    <row r="105" spans="1:158" ht="9" customHeight="1">
      <c r="A105" s="49"/>
      <c r="B105" s="81"/>
      <c r="C105" s="50"/>
      <c r="D105"/>
      <c r="E105" s="555"/>
      <c r="F105" s="555"/>
      <c r="G105" s="555"/>
      <c r="H105" s="555"/>
      <c r="I105" s="555"/>
      <c r="J105" s="555"/>
      <c r="K105" s="555"/>
      <c r="L105" s="555"/>
      <c r="M105" s="555"/>
      <c r="N105" s="555"/>
      <c r="O105" s="555"/>
      <c r="P105" s="555"/>
      <c r="Q105" s="555"/>
      <c r="R105" s="555"/>
      <c r="S105" s="555"/>
      <c r="T105" s="555"/>
      <c r="U105" s="555"/>
      <c r="V105" s="555"/>
      <c r="W105" s="555"/>
      <c r="X105" s="555"/>
      <c r="Y105" s="555"/>
      <c r="Z105" s="555"/>
      <c r="AA105" s="555"/>
      <c r="AB105" s="555"/>
      <c r="AC105" s="555"/>
      <c r="AD105" s="555"/>
      <c r="AE105" s="555"/>
      <c r="AF105" s="555"/>
      <c r="AG105" s="555"/>
      <c r="AH105" s="555"/>
      <c r="AI105" s="555"/>
      <c r="AJ105" s="555"/>
      <c r="AK105" s="555"/>
      <c r="AL105" s="555"/>
      <c r="AM105" s="555"/>
      <c r="AN105" s="555"/>
      <c r="AO105" s="555"/>
      <c r="AP105" s="555"/>
      <c r="AQ105" s="555"/>
      <c r="AR105" s="555"/>
      <c r="AS105" s="555"/>
      <c r="AT105" s="555"/>
      <c r="AU105" s="555"/>
      <c r="AV105" s="555"/>
      <c r="AW105" s="555"/>
      <c r="AX105" s="555"/>
      <c r="AY105" s="555"/>
      <c r="AZ105" s="555"/>
      <c r="BA105" s="555"/>
      <c r="BB105" s="555"/>
      <c r="BC105" s="555"/>
      <c r="BD105" s="555"/>
      <c r="BE105" s="555"/>
      <c r="BF105" s="555"/>
      <c r="BG105" s="555"/>
      <c r="BH105" s="555"/>
      <c r="BI105" s="555"/>
      <c r="BJ105" s="555"/>
      <c r="BK105" s="555"/>
      <c r="BL105" s="555"/>
      <c r="BM105" s="555"/>
      <c r="BN105" s="555"/>
      <c r="BO105" s="555"/>
      <c r="BP105" s="555"/>
      <c r="BQ105" s="555"/>
      <c r="BR105" s="555"/>
      <c r="BS105" s="555"/>
      <c r="BT105" s="555"/>
      <c r="BU105" s="555"/>
      <c r="BV105" s="555"/>
      <c r="BW105" s="555"/>
      <c r="BX105" s="555"/>
      <c r="BY105" s="555"/>
      <c r="BZ105" s="555"/>
      <c r="CA105" s="555"/>
      <c r="CB105" s="555"/>
      <c r="CC105" s="555"/>
      <c r="CD105" s="555"/>
      <c r="CE105" s="555"/>
      <c r="CF105" s="555"/>
      <c r="CG105" s="555"/>
      <c r="CH105" s="555"/>
      <c r="CI105" s="555"/>
      <c r="CJ105" s="555"/>
      <c r="CK105" s="555"/>
      <c r="CL105" s="555"/>
      <c r="CM105" s="555"/>
      <c r="CN105" s="555"/>
      <c r="CO105" s="555"/>
      <c r="CP105" s="555"/>
      <c r="CQ105" s="555"/>
      <c r="CR105" s="555"/>
      <c r="CS105" s="555"/>
      <c r="CT105" s="555"/>
      <c r="CU105" s="555"/>
      <c r="CV105" s="555"/>
      <c r="CW105" s="555"/>
      <c r="CX105" s="555"/>
      <c r="CY105" s="555"/>
      <c r="CZ105" s="555"/>
      <c r="DA105" s="555"/>
      <c r="DB105" s="555"/>
      <c r="DC105" s="555"/>
      <c r="DD105" s="555"/>
      <c r="DE105" s="555"/>
      <c r="DF105" s="555"/>
      <c r="DG105" s="555"/>
      <c r="DH105" s="555"/>
      <c r="DI105" s="555"/>
      <c r="DJ105"/>
      <c r="DK105" s="50"/>
      <c r="DL105" s="81"/>
      <c r="DM105" s="50"/>
      <c r="DN105" s="50"/>
      <c r="DO105" s="122"/>
      <c r="DP105" s="557"/>
      <c r="DQ105" s="557"/>
      <c r="DR105" s="557"/>
      <c r="DS105" s="557"/>
      <c r="DT105" s="557"/>
      <c r="DU105" s="557"/>
      <c r="DV105" s="557"/>
      <c r="DW105" s="557"/>
      <c r="DX105" s="557"/>
      <c r="DY105" s="557"/>
      <c r="DZ105" s="557"/>
      <c r="EA105" s="557"/>
      <c r="EB105" s="557"/>
      <c r="EC105" s="557"/>
      <c r="ED105" s="557"/>
      <c r="EE105" s="557"/>
      <c r="EF105" s="557"/>
      <c r="EG105" s="557"/>
      <c r="EH105" s="557"/>
      <c r="EI105" s="557"/>
      <c r="EJ105" s="557"/>
      <c r="EK105" s="557"/>
      <c r="EL105" s="557"/>
      <c r="EM105" s="557"/>
      <c r="EN105" s="557"/>
      <c r="EO105" s="557"/>
      <c r="EP105" s="557"/>
      <c r="EQ105" s="557"/>
      <c r="ER105" s="557"/>
      <c r="ES105" s="557"/>
      <c r="ET105" s="557"/>
      <c r="EU105" s="557"/>
      <c r="EV105" s="557"/>
      <c r="EW105" s="557"/>
      <c r="EX105" s="557"/>
      <c r="EY105" s="557"/>
      <c r="EZ105" s="123"/>
      <c r="FA105" s="50"/>
      <c r="FB105" s="51"/>
    </row>
    <row r="106" spans="1:158" ht="9" customHeight="1">
      <c r="A106" s="49"/>
      <c r="B106" s="81"/>
      <c r="C106" s="50"/>
      <c r="D106"/>
      <c r="E106" s="555"/>
      <c r="F106" s="555"/>
      <c r="G106" s="555"/>
      <c r="H106" s="555"/>
      <c r="I106" s="555"/>
      <c r="J106" s="555"/>
      <c r="K106" s="555"/>
      <c r="L106" s="555"/>
      <c r="M106" s="555"/>
      <c r="N106" s="555"/>
      <c r="O106" s="555"/>
      <c r="P106" s="555"/>
      <c r="Q106" s="555"/>
      <c r="R106" s="555"/>
      <c r="S106" s="555"/>
      <c r="T106" s="555"/>
      <c r="U106" s="555"/>
      <c r="V106" s="555"/>
      <c r="W106" s="555"/>
      <c r="X106" s="555"/>
      <c r="Y106" s="555"/>
      <c r="Z106" s="555"/>
      <c r="AA106" s="555"/>
      <c r="AB106" s="555"/>
      <c r="AC106" s="555"/>
      <c r="AD106" s="555"/>
      <c r="AE106" s="555"/>
      <c r="AF106" s="555"/>
      <c r="AG106" s="555"/>
      <c r="AH106" s="555"/>
      <c r="AI106" s="555"/>
      <c r="AJ106" s="555"/>
      <c r="AK106" s="555"/>
      <c r="AL106" s="555"/>
      <c r="AM106" s="555"/>
      <c r="AN106" s="555"/>
      <c r="AO106" s="555"/>
      <c r="AP106" s="555"/>
      <c r="AQ106" s="555"/>
      <c r="AR106" s="555"/>
      <c r="AS106" s="555"/>
      <c r="AT106" s="555"/>
      <c r="AU106" s="555"/>
      <c r="AV106" s="555"/>
      <c r="AW106" s="555"/>
      <c r="AX106" s="555"/>
      <c r="AY106" s="555"/>
      <c r="AZ106" s="555"/>
      <c r="BA106" s="555"/>
      <c r="BB106" s="555"/>
      <c r="BC106" s="555"/>
      <c r="BD106" s="555"/>
      <c r="BE106" s="555"/>
      <c r="BF106" s="555"/>
      <c r="BG106" s="555"/>
      <c r="BH106" s="555"/>
      <c r="BI106" s="555"/>
      <c r="BJ106" s="555"/>
      <c r="BK106" s="555"/>
      <c r="BL106" s="555"/>
      <c r="BM106" s="555"/>
      <c r="BN106" s="555"/>
      <c r="BO106" s="555"/>
      <c r="BP106" s="555"/>
      <c r="BQ106" s="555"/>
      <c r="BR106" s="555"/>
      <c r="BS106" s="555"/>
      <c r="BT106" s="555"/>
      <c r="BU106" s="555"/>
      <c r="BV106" s="555"/>
      <c r="BW106" s="555"/>
      <c r="BX106" s="555"/>
      <c r="BY106" s="555"/>
      <c r="BZ106" s="555"/>
      <c r="CA106" s="555"/>
      <c r="CB106" s="555"/>
      <c r="CC106" s="555"/>
      <c r="CD106" s="555"/>
      <c r="CE106" s="555"/>
      <c r="CF106" s="555"/>
      <c r="CG106" s="555"/>
      <c r="CH106" s="555"/>
      <c r="CI106" s="555"/>
      <c r="CJ106" s="555"/>
      <c r="CK106" s="555"/>
      <c r="CL106" s="555"/>
      <c r="CM106" s="555"/>
      <c r="CN106" s="555"/>
      <c r="CO106" s="555"/>
      <c r="CP106" s="555"/>
      <c r="CQ106" s="555"/>
      <c r="CR106" s="555"/>
      <c r="CS106" s="555"/>
      <c r="CT106" s="555"/>
      <c r="CU106" s="555"/>
      <c r="CV106" s="555"/>
      <c r="CW106" s="555"/>
      <c r="CX106" s="555"/>
      <c r="CY106" s="555"/>
      <c r="CZ106" s="555"/>
      <c r="DA106" s="555"/>
      <c r="DB106" s="555"/>
      <c r="DC106" s="555"/>
      <c r="DD106" s="555"/>
      <c r="DE106" s="555"/>
      <c r="DF106" s="555"/>
      <c r="DG106" s="555"/>
      <c r="DH106" s="555"/>
      <c r="DI106" s="555"/>
      <c r="DJ106"/>
      <c r="DK106" s="50"/>
      <c r="DL106" s="81"/>
      <c r="DM106" s="50"/>
      <c r="DN106" s="50"/>
      <c r="DO106" s="122"/>
      <c r="DP106" s="557"/>
      <c r="DQ106" s="557"/>
      <c r="DR106" s="557"/>
      <c r="DS106" s="557"/>
      <c r="DT106" s="557"/>
      <c r="DU106" s="557"/>
      <c r="DV106" s="557"/>
      <c r="DW106" s="557"/>
      <c r="DX106" s="557"/>
      <c r="DY106" s="557"/>
      <c r="DZ106" s="557"/>
      <c r="EA106" s="557"/>
      <c r="EB106" s="557"/>
      <c r="EC106" s="557"/>
      <c r="ED106" s="557"/>
      <c r="EE106" s="557"/>
      <c r="EF106" s="557"/>
      <c r="EG106" s="557"/>
      <c r="EH106" s="557"/>
      <c r="EI106" s="557"/>
      <c r="EJ106" s="557"/>
      <c r="EK106" s="557"/>
      <c r="EL106" s="557"/>
      <c r="EM106" s="557"/>
      <c r="EN106" s="557"/>
      <c r="EO106" s="557"/>
      <c r="EP106" s="557"/>
      <c r="EQ106" s="557"/>
      <c r="ER106" s="557"/>
      <c r="ES106" s="557"/>
      <c r="ET106" s="557"/>
      <c r="EU106" s="557"/>
      <c r="EV106" s="557"/>
      <c r="EW106" s="557"/>
      <c r="EX106" s="557"/>
      <c r="EY106" s="557"/>
      <c r="EZ106" s="123"/>
      <c r="FA106" s="50"/>
      <c r="FB106" s="51"/>
    </row>
    <row r="107" spans="1:158" ht="9" customHeight="1">
      <c r="A107" s="49"/>
      <c r="B107" s="81"/>
      <c r="C107" s="50"/>
      <c r="D107"/>
      <c r="E107" s="555"/>
      <c r="F107" s="555"/>
      <c r="G107" s="555"/>
      <c r="H107" s="555"/>
      <c r="I107" s="555"/>
      <c r="J107" s="555"/>
      <c r="K107" s="555"/>
      <c r="L107" s="555"/>
      <c r="M107" s="555"/>
      <c r="N107" s="555"/>
      <c r="O107" s="555"/>
      <c r="P107" s="555"/>
      <c r="Q107" s="555"/>
      <c r="R107" s="555"/>
      <c r="S107" s="555"/>
      <c r="T107" s="555"/>
      <c r="U107" s="555"/>
      <c r="V107" s="555"/>
      <c r="W107" s="555"/>
      <c r="X107" s="555"/>
      <c r="Y107" s="555"/>
      <c r="Z107" s="555"/>
      <c r="AA107" s="555"/>
      <c r="AB107" s="555"/>
      <c r="AC107" s="555"/>
      <c r="AD107" s="555"/>
      <c r="AE107" s="555"/>
      <c r="AF107" s="555"/>
      <c r="AG107" s="555"/>
      <c r="AH107" s="555"/>
      <c r="AI107" s="555"/>
      <c r="AJ107" s="555"/>
      <c r="AK107" s="555"/>
      <c r="AL107" s="555"/>
      <c r="AM107" s="555"/>
      <c r="AN107" s="555"/>
      <c r="AO107" s="555"/>
      <c r="AP107" s="555"/>
      <c r="AQ107" s="555"/>
      <c r="AR107" s="555"/>
      <c r="AS107" s="555"/>
      <c r="AT107" s="555"/>
      <c r="AU107" s="555"/>
      <c r="AV107" s="555"/>
      <c r="AW107" s="555"/>
      <c r="AX107" s="555"/>
      <c r="AY107" s="555"/>
      <c r="AZ107" s="555"/>
      <c r="BA107" s="555"/>
      <c r="BB107" s="555"/>
      <c r="BC107" s="555"/>
      <c r="BD107" s="555"/>
      <c r="BE107" s="555"/>
      <c r="BF107" s="555"/>
      <c r="BG107" s="555"/>
      <c r="BH107" s="555"/>
      <c r="BI107" s="555"/>
      <c r="BJ107" s="555"/>
      <c r="BK107" s="555"/>
      <c r="BL107" s="555"/>
      <c r="BM107" s="555"/>
      <c r="BN107" s="555"/>
      <c r="BO107" s="555"/>
      <c r="BP107" s="555"/>
      <c r="BQ107" s="555"/>
      <c r="BR107" s="555"/>
      <c r="BS107" s="555"/>
      <c r="BT107" s="555"/>
      <c r="BU107" s="555"/>
      <c r="BV107" s="555"/>
      <c r="BW107" s="555"/>
      <c r="BX107" s="555"/>
      <c r="BY107" s="555"/>
      <c r="BZ107" s="555"/>
      <c r="CA107" s="555"/>
      <c r="CB107" s="555"/>
      <c r="CC107" s="555"/>
      <c r="CD107" s="555"/>
      <c r="CE107" s="555"/>
      <c r="CF107" s="555"/>
      <c r="CG107" s="555"/>
      <c r="CH107" s="555"/>
      <c r="CI107" s="555"/>
      <c r="CJ107" s="555"/>
      <c r="CK107" s="555"/>
      <c r="CL107" s="555"/>
      <c r="CM107" s="555"/>
      <c r="CN107" s="555"/>
      <c r="CO107" s="555"/>
      <c r="CP107" s="555"/>
      <c r="CQ107" s="555"/>
      <c r="CR107" s="555"/>
      <c r="CS107" s="555"/>
      <c r="CT107" s="555"/>
      <c r="CU107" s="555"/>
      <c r="CV107" s="555"/>
      <c r="CW107" s="555"/>
      <c r="CX107" s="555"/>
      <c r="CY107" s="555"/>
      <c r="CZ107" s="555"/>
      <c r="DA107" s="555"/>
      <c r="DB107" s="555"/>
      <c r="DC107" s="555"/>
      <c r="DD107" s="555"/>
      <c r="DE107" s="555"/>
      <c r="DF107" s="555"/>
      <c r="DG107" s="555"/>
      <c r="DH107" s="555"/>
      <c r="DI107" s="555"/>
      <c r="DJ107"/>
      <c r="DK107" s="50"/>
      <c r="DL107" s="81"/>
      <c r="DM107" s="50"/>
      <c r="DN107" s="50"/>
      <c r="DO107" s="122"/>
      <c r="DP107" s="557"/>
      <c r="DQ107" s="557"/>
      <c r="DR107" s="557"/>
      <c r="DS107" s="557"/>
      <c r="DT107" s="557"/>
      <c r="DU107" s="557"/>
      <c r="DV107" s="557"/>
      <c r="DW107" s="557"/>
      <c r="DX107" s="557"/>
      <c r="DY107" s="557"/>
      <c r="DZ107" s="557"/>
      <c r="EA107" s="557"/>
      <c r="EB107" s="557"/>
      <c r="EC107" s="557"/>
      <c r="ED107" s="557"/>
      <c r="EE107" s="557"/>
      <c r="EF107" s="557"/>
      <c r="EG107" s="557"/>
      <c r="EH107" s="557"/>
      <c r="EI107" s="557"/>
      <c r="EJ107" s="557"/>
      <c r="EK107" s="557"/>
      <c r="EL107" s="557"/>
      <c r="EM107" s="557"/>
      <c r="EN107" s="557"/>
      <c r="EO107" s="557"/>
      <c r="EP107" s="557"/>
      <c r="EQ107" s="557"/>
      <c r="ER107" s="557"/>
      <c r="ES107" s="557"/>
      <c r="ET107" s="557"/>
      <c r="EU107" s="557"/>
      <c r="EV107" s="557"/>
      <c r="EW107" s="557"/>
      <c r="EX107" s="557"/>
      <c r="EY107" s="557"/>
      <c r="EZ107" s="123"/>
      <c r="FA107" s="50"/>
      <c r="FB107" s="51"/>
    </row>
    <row r="108" spans="1:158" ht="9" customHeight="1">
      <c r="A108" s="49"/>
      <c r="B108" s="81"/>
      <c r="C108" s="50"/>
      <c r="D108"/>
      <c r="E108" s="555"/>
      <c r="F108" s="555"/>
      <c r="G108" s="555"/>
      <c r="H108" s="555"/>
      <c r="I108" s="555"/>
      <c r="J108" s="555"/>
      <c r="K108" s="555"/>
      <c r="L108" s="555"/>
      <c r="M108" s="555"/>
      <c r="N108" s="555"/>
      <c r="O108" s="555"/>
      <c r="P108" s="555"/>
      <c r="Q108" s="555"/>
      <c r="R108" s="555"/>
      <c r="S108" s="555"/>
      <c r="T108" s="555"/>
      <c r="U108" s="555"/>
      <c r="V108" s="555"/>
      <c r="W108" s="555"/>
      <c r="X108" s="555"/>
      <c r="Y108" s="555"/>
      <c r="Z108" s="555"/>
      <c r="AA108" s="555"/>
      <c r="AB108" s="555"/>
      <c r="AC108" s="555"/>
      <c r="AD108" s="555"/>
      <c r="AE108" s="555"/>
      <c r="AF108" s="555"/>
      <c r="AG108" s="555"/>
      <c r="AH108" s="555"/>
      <c r="AI108" s="555"/>
      <c r="AJ108" s="555"/>
      <c r="AK108" s="555"/>
      <c r="AL108" s="555"/>
      <c r="AM108" s="555"/>
      <c r="AN108" s="555"/>
      <c r="AO108" s="555"/>
      <c r="AP108" s="555"/>
      <c r="AQ108" s="555"/>
      <c r="AR108" s="555"/>
      <c r="AS108" s="555"/>
      <c r="AT108" s="555"/>
      <c r="AU108" s="555"/>
      <c r="AV108" s="555"/>
      <c r="AW108" s="555"/>
      <c r="AX108" s="555"/>
      <c r="AY108" s="555"/>
      <c r="AZ108" s="555"/>
      <c r="BA108" s="555"/>
      <c r="BB108" s="555"/>
      <c r="BC108" s="555"/>
      <c r="BD108" s="555"/>
      <c r="BE108" s="555"/>
      <c r="BF108" s="555"/>
      <c r="BG108" s="555"/>
      <c r="BH108" s="555"/>
      <c r="BI108" s="555"/>
      <c r="BJ108" s="555"/>
      <c r="BK108" s="555"/>
      <c r="BL108" s="555"/>
      <c r="BM108" s="555"/>
      <c r="BN108" s="555"/>
      <c r="BO108" s="555"/>
      <c r="BP108" s="555"/>
      <c r="BQ108" s="555"/>
      <c r="BR108" s="555"/>
      <c r="BS108" s="555"/>
      <c r="BT108" s="555"/>
      <c r="BU108" s="555"/>
      <c r="BV108" s="555"/>
      <c r="BW108" s="555"/>
      <c r="BX108" s="555"/>
      <c r="BY108" s="555"/>
      <c r="BZ108" s="555"/>
      <c r="CA108" s="555"/>
      <c r="CB108" s="555"/>
      <c r="CC108" s="555"/>
      <c r="CD108" s="555"/>
      <c r="CE108" s="555"/>
      <c r="CF108" s="555"/>
      <c r="CG108" s="555"/>
      <c r="CH108" s="555"/>
      <c r="CI108" s="555"/>
      <c r="CJ108" s="555"/>
      <c r="CK108" s="555"/>
      <c r="CL108" s="555"/>
      <c r="CM108" s="555"/>
      <c r="CN108" s="555"/>
      <c r="CO108" s="555"/>
      <c r="CP108" s="555"/>
      <c r="CQ108" s="555"/>
      <c r="CR108" s="555"/>
      <c r="CS108" s="555"/>
      <c r="CT108" s="555"/>
      <c r="CU108" s="555"/>
      <c r="CV108" s="555"/>
      <c r="CW108" s="555"/>
      <c r="CX108" s="555"/>
      <c r="CY108" s="555"/>
      <c r="CZ108" s="555"/>
      <c r="DA108" s="555"/>
      <c r="DB108" s="555"/>
      <c r="DC108" s="555"/>
      <c r="DD108" s="555"/>
      <c r="DE108" s="555"/>
      <c r="DF108" s="555"/>
      <c r="DG108" s="555"/>
      <c r="DH108" s="555"/>
      <c r="DI108" s="555"/>
      <c r="DJ108"/>
      <c r="DK108" s="50"/>
      <c r="DL108" s="81"/>
      <c r="DM108" s="50"/>
      <c r="DN108" s="50"/>
      <c r="DO108" s="122"/>
      <c r="DP108" s="557"/>
      <c r="DQ108" s="557"/>
      <c r="DR108" s="557"/>
      <c r="DS108" s="557"/>
      <c r="DT108" s="557"/>
      <c r="DU108" s="557"/>
      <c r="DV108" s="557"/>
      <c r="DW108" s="557"/>
      <c r="DX108" s="557"/>
      <c r="DY108" s="557"/>
      <c r="DZ108" s="557"/>
      <c r="EA108" s="557"/>
      <c r="EB108" s="557"/>
      <c r="EC108" s="557"/>
      <c r="ED108" s="557"/>
      <c r="EE108" s="557"/>
      <c r="EF108" s="557"/>
      <c r="EG108" s="557"/>
      <c r="EH108" s="557"/>
      <c r="EI108" s="557"/>
      <c r="EJ108" s="557"/>
      <c r="EK108" s="557"/>
      <c r="EL108" s="557"/>
      <c r="EM108" s="557"/>
      <c r="EN108" s="557"/>
      <c r="EO108" s="557"/>
      <c r="EP108" s="557"/>
      <c r="EQ108" s="557"/>
      <c r="ER108" s="557"/>
      <c r="ES108" s="557"/>
      <c r="ET108" s="557"/>
      <c r="EU108" s="557"/>
      <c r="EV108" s="557"/>
      <c r="EW108" s="557"/>
      <c r="EX108" s="557"/>
      <c r="EY108" s="557"/>
      <c r="EZ108" s="123"/>
      <c r="FA108" s="50"/>
      <c r="FB108" s="51"/>
    </row>
    <row r="109" spans="1:158" ht="9" customHeight="1">
      <c r="A109" s="49"/>
      <c r="B109" s="81"/>
      <c r="C109" s="50"/>
      <c r="D109"/>
      <c r="E109" s="555"/>
      <c r="F109" s="555"/>
      <c r="G109" s="555"/>
      <c r="H109" s="555"/>
      <c r="I109" s="555"/>
      <c r="J109" s="555"/>
      <c r="K109" s="555"/>
      <c r="L109" s="555"/>
      <c r="M109" s="555"/>
      <c r="N109" s="555"/>
      <c r="O109" s="555"/>
      <c r="P109" s="555"/>
      <c r="Q109" s="555"/>
      <c r="R109" s="555"/>
      <c r="S109" s="555"/>
      <c r="T109" s="555"/>
      <c r="U109" s="555"/>
      <c r="V109" s="555"/>
      <c r="W109" s="555"/>
      <c r="X109" s="555"/>
      <c r="Y109" s="555"/>
      <c r="Z109" s="555"/>
      <c r="AA109" s="555"/>
      <c r="AB109" s="555"/>
      <c r="AC109" s="555"/>
      <c r="AD109" s="555"/>
      <c r="AE109" s="555"/>
      <c r="AF109" s="555"/>
      <c r="AG109" s="555"/>
      <c r="AH109" s="555"/>
      <c r="AI109" s="555"/>
      <c r="AJ109" s="555"/>
      <c r="AK109" s="555"/>
      <c r="AL109" s="555"/>
      <c r="AM109" s="555"/>
      <c r="AN109" s="555"/>
      <c r="AO109" s="555"/>
      <c r="AP109" s="555"/>
      <c r="AQ109" s="555"/>
      <c r="AR109" s="555"/>
      <c r="AS109" s="555"/>
      <c r="AT109" s="555"/>
      <c r="AU109" s="555"/>
      <c r="AV109" s="555"/>
      <c r="AW109" s="555"/>
      <c r="AX109" s="555"/>
      <c r="AY109" s="555"/>
      <c r="AZ109" s="555"/>
      <c r="BA109" s="555"/>
      <c r="BB109" s="555"/>
      <c r="BC109" s="555"/>
      <c r="BD109" s="555"/>
      <c r="BE109" s="555"/>
      <c r="BF109" s="555"/>
      <c r="BG109" s="555"/>
      <c r="BH109" s="555"/>
      <c r="BI109" s="555"/>
      <c r="BJ109" s="555"/>
      <c r="BK109" s="555"/>
      <c r="BL109" s="555"/>
      <c r="BM109" s="555"/>
      <c r="BN109" s="555"/>
      <c r="BO109" s="555"/>
      <c r="BP109" s="555"/>
      <c r="BQ109" s="555"/>
      <c r="BR109" s="555"/>
      <c r="BS109" s="555"/>
      <c r="BT109" s="555"/>
      <c r="BU109" s="555"/>
      <c r="BV109" s="555"/>
      <c r="BW109" s="555"/>
      <c r="BX109" s="555"/>
      <c r="BY109" s="555"/>
      <c r="BZ109" s="555"/>
      <c r="CA109" s="555"/>
      <c r="CB109" s="555"/>
      <c r="CC109" s="555"/>
      <c r="CD109" s="555"/>
      <c r="CE109" s="555"/>
      <c r="CF109" s="555"/>
      <c r="CG109" s="555"/>
      <c r="CH109" s="555"/>
      <c r="CI109" s="555"/>
      <c r="CJ109" s="555"/>
      <c r="CK109" s="555"/>
      <c r="CL109" s="555"/>
      <c r="CM109" s="555"/>
      <c r="CN109" s="555"/>
      <c r="CO109" s="555"/>
      <c r="CP109" s="555"/>
      <c r="CQ109" s="555"/>
      <c r="CR109" s="555"/>
      <c r="CS109" s="555"/>
      <c r="CT109" s="555"/>
      <c r="CU109" s="555"/>
      <c r="CV109" s="555"/>
      <c r="CW109" s="555"/>
      <c r="CX109" s="555"/>
      <c r="CY109" s="555"/>
      <c r="CZ109" s="555"/>
      <c r="DA109" s="555"/>
      <c r="DB109" s="555"/>
      <c r="DC109" s="555"/>
      <c r="DD109" s="555"/>
      <c r="DE109" s="555"/>
      <c r="DF109" s="555"/>
      <c r="DG109" s="555"/>
      <c r="DH109" s="555"/>
      <c r="DI109" s="555"/>
      <c r="DJ109"/>
      <c r="DK109" s="50"/>
      <c r="DL109" s="81"/>
      <c r="DM109" s="50"/>
      <c r="DN109" s="50"/>
      <c r="DO109" s="122"/>
      <c r="DP109" s="557"/>
      <c r="DQ109" s="557"/>
      <c r="DR109" s="557"/>
      <c r="DS109" s="557"/>
      <c r="DT109" s="557"/>
      <c r="DU109" s="557"/>
      <c r="DV109" s="557"/>
      <c r="DW109" s="557"/>
      <c r="DX109" s="557"/>
      <c r="DY109" s="557"/>
      <c r="DZ109" s="557"/>
      <c r="EA109" s="557"/>
      <c r="EB109" s="557"/>
      <c r="EC109" s="557"/>
      <c r="ED109" s="557"/>
      <c r="EE109" s="557"/>
      <c r="EF109" s="557"/>
      <c r="EG109" s="557"/>
      <c r="EH109" s="557"/>
      <c r="EI109" s="557"/>
      <c r="EJ109" s="557"/>
      <c r="EK109" s="557"/>
      <c r="EL109" s="557"/>
      <c r="EM109" s="557"/>
      <c r="EN109" s="557"/>
      <c r="EO109" s="557"/>
      <c r="EP109" s="557"/>
      <c r="EQ109" s="557"/>
      <c r="ER109" s="557"/>
      <c r="ES109" s="557"/>
      <c r="ET109" s="557"/>
      <c r="EU109" s="557"/>
      <c r="EV109" s="557"/>
      <c r="EW109" s="557"/>
      <c r="EX109" s="557"/>
      <c r="EY109" s="557"/>
      <c r="EZ109" s="123"/>
      <c r="FA109" s="50"/>
      <c r="FB109" s="51"/>
    </row>
    <row r="110" spans="1:158" ht="9" customHeight="1">
      <c r="A110" s="49"/>
      <c r="B110" s="81"/>
      <c r="C110" s="50"/>
      <c r="D110"/>
      <c r="E110" s="555"/>
      <c r="F110" s="555"/>
      <c r="G110" s="555"/>
      <c r="H110" s="555"/>
      <c r="I110" s="555"/>
      <c r="J110" s="555"/>
      <c r="K110" s="555"/>
      <c r="L110" s="555"/>
      <c r="M110" s="555"/>
      <c r="N110" s="555"/>
      <c r="O110" s="555"/>
      <c r="P110" s="555"/>
      <c r="Q110" s="555"/>
      <c r="R110" s="555"/>
      <c r="S110" s="555"/>
      <c r="T110" s="555"/>
      <c r="U110" s="555"/>
      <c r="V110" s="555"/>
      <c r="W110" s="555"/>
      <c r="X110" s="555"/>
      <c r="Y110" s="555"/>
      <c r="Z110" s="555"/>
      <c r="AA110" s="555"/>
      <c r="AB110" s="555"/>
      <c r="AC110" s="555"/>
      <c r="AD110" s="555"/>
      <c r="AE110" s="555"/>
      <c r="AF110" s="555"/>
      <c r="AG110" s="555"/>
      <c r="AH110" s="555"/>
      <c r="AI110" s="555"/>
      <c r="AJ110" s="555"/>
      <c r="AK110" s="555"/>
      <c r="AL110" s="555"/>
      <c r="AM110" s="555"/>
      <c r="AN110" s="555"/>
      <c r="AO110" s="555"/>
      <c r="AP110" s="555"/>
      <c r="AQ110" s="555"/>
      <c r="AR110" s="555"/>
      <c r="AS110" s="555"/>
      <c r="AT110" s="555"/>
      <c r="AU110" s="555"/>
      <c r="AV110" s="555"/>
      <c r="AW110" s="555"/>
      <c r="AX110" s="555"/>
      <c r="AY110" s="555"/>
      <c r="AZ110" s="555"/>
      <c r="BA110" s="555"/>
      <c r="BB110" s="555"/>
      <c r="BC110" s="555"/>
      <c r="BD110" s="555"/>
      <c r="BE110" s="555"/>
      <c r="BF110" s="555"/>
      <c r="BG110" s="555"/>
      <c r="BH110" s="555"/>
      <c r="BI110" s="555"/>
      <c r="BJ110" s="555"/>
      <c r="BK110" s="555"/>
      <c r="BL110" s="555"/>
      <c r="BM110" s="555"/>
      <c r="BN110" s="555"/>
      <c r="BO110" s="555"/>
      <c r="BP110" s="555"/>
      <c r="BQ110" s="555"/>
      <c r="BR110" s="555"/>
      <c r="BS110" s="555"/>
      <c r="BT110" s="555"/>
      <c r="BU110" s="555"/>
      <c r="BV110" s="555"/>
      <c r="BW110" s="555"/>
      <c r="BX110" s="555"/>
      <c r="BY110" s="555"/>
      <c r="BZ110" s="555"/>
      <c r="CA110" s="555"/>
      <c r="CB110" s="555"/>
      <c r="CC110" s="555"/>
      <c r="CD110" s="555"/>
      <c r="CE110" s="555"/>
      <c r="CF110" s="555"/>
      <c r="CG110" s="555"/>
      <c r="CH110" s="555"/>
      <c r="CI110" s="555"/>
      <c r="CJ110" s="555"/>
      <c r="CK110" s="555"/>
      <c r="CL110" s="555"/>
      <c r="CM110" s="555"/>
      <c r="CN110" s="555"/>
      <c r="CO110" s="555"/>
      <c r="CP110" s="555"/>
      <c r="CQ110" s="555"/>
      <c r="CR110" s="555"/>
      <c r="CS110" s="555"/>
      <c r="CT110" s="555"/>
      <c r="CU110" s="555"/>
      <c r="CV110" s="555"/>
      <c r="CW110" s="555"/>
      <c r="CX110" s="555"/>
      <c r="CY110" s="555"/>
      <c r="CZ110" s="555"/>
      <c r="DA110" s="555"/>
      <c r="DB110" s="555"/>
      <c r="DC110" s="555"/>
      <c r="DD110" s="555"/>
      <c r="DE110" s="555"/>
      <c r="DF110" s="555"/>
      <c r="DG110" s="555"/>
      <c r="DH110" s="555"/>
      <c r="DI110" s="555"/>
      <c r="DJ110"/>
      <c r="DK110" s="50"/>
      <c r="DL110" s="81"/>
      <c r="DM110" s="50"/>
      <c r="DN110" s="50"/>
      <c r="DO110" s="122"/>
      <c r="DP110" s="557"/>
      <c r="DQ110" s="557"/>
      <c r="DR110" s="557"/>
      <c r="DS110" s="557"/>
      <c r="DT110" s="557"/>
      <c r="DU110" s="557"/>
      <c r="DV110" s="557"/>
      <c r="DW110" s="557"/>
      <c r="DX110" s="557"/>
      <c r="DY110" s="557"/>
      <c r="DZ110" s="557"/>
      <c r="EA110" s="557"/>
      <c r="EB110" s="557"/>
      <c r="EC110" s="557"/>
      <c r="ED110" s="557"/>
      <c r="EE110" s="557"/>
      <c r="EF110" s="557"/>
      <c r="EG110" s="557"/>
      <c r="EH110" s="557"/>
      <c r="EI110" s="557"/>
      <c r="EJ110" s="557"/>
      <c r="EK110" s="557"/>
      <c r="EL110" s="557"/>
      <c r="EM110" s="557"/>
      <c r="EN110" s="557"/>
      <c r="EO110" s="557"/>
      <c r="EP110" s="557"/>
      <c r="EQ110" s="557"/>
      <c r="ER110" s="557"/>
      <c r="ES110" s="557"/>
      <c r="ET110" s="557"/>
      <c r="EU110" s="557"/>
      <c r="EV110" s="557"/>
      <c r="EW110" s="557"/>
      <c r="EX110" s="557"/>
      <c r="EY110" s="557"/>
      <c r="EZ110" s="123"/>
      <c r="FA110" s="50"/>
      <c r="FB110" s="51"/>
    </row>
    <row r="111" spans="1:158" ht="9" customHeight="1">
      <c r="A111" s="49"/>
      <c r="B111" s="81"/>
      <c r="C111" s="50"/>
      <c r="D111"/>
      <c r="E111" s="555"/>
      <c r="F111" s="555"/>
      <c r="G111" s="555"/>
      <c r="H111" s="555"/>
      <c r="I111" s="555"/>
      <c r="J111" s="555"/>
      <c r="K111" s="555"/>
      <c r="L111" s="555"/>
      <c r="M111" s="555"/>
      <c r="N111" s="555"/>
      <c r="O111" s="555"/>
      <c r="P111" s="555"/>
      <c r="Q111" s="555"/>
      <c r="R111" s="555"/>
      <c r="S111" s="555"/>
      <c r="T111" s="555"/>
      <c r="U111" s="555"/>
      <c r="V111" s="555"/>
      <c r="W111" s="555"/>
      <c r="X111" s="555"/>
      <c r="Y111" s="555"/>
      <c r="Z111" s="555"/>
      <c r="AA111" s="555"/>
      <c r="AB111" s="555"/>
      <c r="AC111" s="555"/>
      <c r="AD111" s="555"/>
      <c r="AE111" s="555"/>
      <c r="AF111" s="555"/>
      <c r="AG111" s="555"/>
      <c r="AH111" s="555"/>
      <c r="AI111" s="555"/>
      <c r="AJ111" s="555"/>
      <c r="AK111" s="555"/>
      <c r="AL111" s="555"/>
      <c r="AM111" s="555"/>
      <c r="AN111" s="555"/>
      <c r="AO111" s="555"/>
      <c r="AP111" s="555"/>
      <c r="AQ111" s="555"/>
      <c r="AR111" s="555"/>
      <c r="AS111" s="555"/>
      <c r="AT111" s="555"/>
      <c r="AU111" s="555"/>
      <c r="AV111" s="555"/>
      <c r="AW111" s="555"/>
      <c r="AX111" s="555"/>
      <c r="AY111" s="555"/>
      <c r="AZ111" s="555"/>
      <c r="BA111" s="555"/>
      <c r="BB111" s="555"/>
      <c r="BC111" s="555"/>
      <c r="BD111" s="555"/>
      <c r="BE111" s="555"/>
      <c r="BF111" s="555"/>
      <c r="BG111" s="555"/>
      <c r="BH111" s="555"/>
      <c r="BI111" s="555"/>
      <c r="BJ111" s="555"/>
      <c r="BK111" s="555"/>
      <c r="BL111" s="555"/>
      <c r="BM111" s="555"/>
      <c r="BN111" s="555"/>
      <c r="BO111" s="555"/>
      <c r="BP111" s="555"/>
      <c r="BQ111" s="555"/>
      <c r="BR111" s="555"/>
      <c r="BS111" s="555"/>
      <c r="BT111" s="555"/>
      <c r="BU111" s="555"/>
      <c r="BV111" s="555"/>
      <c r="BW111" s="555"/>
      <c r="BX111" s="555"/>
      <c r="BY111" s="555"/>
      <c r="BZ111" s="555"/>
      <c r="CA111" s="555"/>
      <c r="CB111" s="555"/>
      <c r="CC111" s="555"/>
      <c r="CD111" s="555"/>
      <c r="CE111" s="555"/>
      <c r="CF111" s="555"/>
      <c r="CG111" s="555"/>
      <c r="CH111" s="555"/>
      <c r="CI111" s="555"/>
      <c r="CJ111" s="555"/>
      <c r="CK111" s="555"/>
      <c r="CL111" s="555"/>
      <c r="CM111" s="555"/>
      <c r="CN111" s="555"/>
      <c r="CO111" s="555"/>
      <c r="CP111" s="555"/>
      <c r="CQ111" s="555"/>
      <c r="CR111" s="555"/>
      <c r="CS111" s="555"/>
      <c r="CT111" s="555"/>
      <c r="CU111" s="555"/>
      <c r="CV111" s="555"/>
      <c r="CW111" s="555"/>
      <c r="CX111" s="555"/>
      <c r="CY111" s="555"/>
      <c r="CZ111" s="555"/>
      <c r="DA111" s="555"/>
      <c r="DB111" s="555"/>
      <c r="DC111" s="555"/>
      <c r="DD111" s="555"/>
      <c r="DE111" s="555"/>
      <c r="DF111" s="555"/>
      <c r="DG111" s="555"/>
      <c r="DH111" s="555"/>
      <c r="DI111" s="555"/>
      <c r="DJ111"/>
      <c r="DK111" s="50"/>
      <c r="DL111" s="81"/>
      <c r="DM111" s="50"/>
      <c r="DN111" s="50"/>
      <c r="DO111" s="122"/>
      <c r="DP111" s="557"/>
      <c r="DQ111" s="557"/>
      <c r="DR111" s="557"/>
      <c r="DS111" s="557"/>
      <c r="DT111" s="557"/>
      <c r="DU111" s="557"/>
      <c r="DV111" s="557"/>
      <c r="DW111" s="557"/>
      <c r="DX111" s="557"/>
      <c r="DY111" s="557"/>
      <c r="DZ111" s="557"/>
      <c r="EA111" s="557"/>
      <c r="EB111" s="557"/>
      <c r="EC111" s="557"/>
      <c r="ED111" s="557"/>
      <c r="EE111" s="557"/>
      <c r="EF111" s="557"/>
      <c r="EG111" s="557"/>
      <c r="EH111" s="557"/>
      <c r="EI111" s="557"/>
      <c r="EJ111" s="557"/>
      <c r="EK111" s="557"/>
      <c r="EL111" s="557"/>
      <c r="EM111" s="557"/>
      <c r="EN111" s="557"/>
      <c r="EO111" s="557"/>
      <c r="EP111" s="557"/>
      <c r="EQ111" s="557"/>
      <c r="ER111" s="557"/>
      <c r="ES111" s="557"/>
      <c r="ET111" s="557"/>
      <c r="EU111" s="557"/>
      <c r="EV111" s="557"/>
      <c r="EW111" s="557"/>
      <c r="EX111" s="557"/>
      <c r="EY111" s="557"/>
      <c r="EZ111" s="123"/>
      <c r="FA111" s="50"/>
      <c r="FB111" s="51"/>
    </row>
    <row r="112" spans="1:158" ht="9" customHeight="1">
      <c r="A112" s="49"/>
      <c r="B112" s="81"/>
      <c r="C112" s="50"/>
      <c r="D112"/>
      <c r="E112" s="555"/>
      <c r="F112" s="555"/>
      <c r="G112" s="555"/>
      <c r="H112" s="555"/>
      <c r="I112" s="555"/>
      <c r="J112" s="555"/>
      <c r="K112" s="555"/>
      <c r="L112" s="555"/>
      <c r="M112" s="555"/>
      <c r="N112" s="555"/>
      <c r="O112" s="555"/>
      <c r="P112" s="555"/>
      <c r="Q112" s="555"/>
      <c r="R112" s="555"/>
      <c r="S112" s="555"/>
      <c r="T112" s="555"/>
      <c r="U112" s="555"/>
      <c r="V112" s="555"/>
      <c r="W112" s="555"/>
      <c r="X112" s="555"/>
      <c r="Y112" s="555"/>
      <c r="Z112" s="555"/>
      <c r="AA112" s="555"/>
      <c r="AB112" s="555"/>
      <c r="AC112" s="555"/>
      <c r="AD112" s="555"/>
      <c r="AE112" s="555"/>
      <c r="AF112" s="555"/>
      <c r="AG112" s="555"/>
      <c r="AH112" s="555"/>
      <c r="AI112" s="555"/>
      <c r="AJ112" s="555"/>
      <c r="AK112" s="555"/>
      <c r="AL112" s="555"/>
      <c r="AM112" s="555"/>
      <c r="AN112" s="555"/>
      <c r="AO112" s="555"/>
      <c r="AP112" s="555"/>
      <c r="AQ112" s="555"/>
      <c r="AR112" s="555"/>
      <c r="AS112" s="555"/>
      <c r="AT112" s="555"/>
      <c r="AU112" s="555"/>
      <c r="AV112" s="555"/>
      <c r="AW112" s="555"/>
      <c r="AX112" s="555"/>
      <c r="AY112" s="555"/>
      <c r="AZ112" s="555"/>
      <c r="BA112" s="555"/>
      <c r="BB112" s="555"/>
      <c r="BC112" s="555"/>
      <c r="BD112" s="555"/>
      <c r="BE112" s="555"/>
      <c r="BF112" s="555"/>
      <c r="BG112" s="555"/>
      <c r="BH112" s="555"/>
      <c r="BI112" s="555"/>
      <c r="BJ112" s="555"/>
      <c r="BK112" s="555"/>
      <c r="BL112" s="555"/>
      <c r="BM112" s="555"/>
      <c r="BN112" s="555"/>
      <c r="BO112" s="555"/>
      <c r="BP112" s="555"/>
      <c r="BQ112" s="555"/>
      <c r="BR112" s="555"/>
      <c r="BS112" s="555"/>
      <c r="BT112" s="555"/>
      <c r="BU112" s="555"/>
      <c r="BV112" s="555"/>
      <c r="BW112" s="555"/>
      <c r="BX112" s="555"/>
      <c r="BY112" s="555"/>
      <c r="BZ112" s="555"/>
      <c r="CA112" s="555"/>
      <c r="CB112" s="555"/>
      <c r="CC112" s="555"/>
      <c r="CD112" s="555"/>
      <c r="CE112" s="555"/>
      <c r="CF112" s="555"/>
      <c r="CG112" s="555"/>
      <c r="CH112" s="555"/>
      <c r="CI112" s="555"/>
      <c r="CJ112" s="555"/>
      <c r="CK112" s="555"/>
      <c r="CL112" s="555"/>
      <c r="CM112" s="555"/>
      <c r="CN112" s="555"/>
      <c r="CO112" s="555"/>
      <c r="CP112" s="555"/>
      <c r="CQ112" s="555"/>
      <c r="CR112" s="555"/>
      <c r="CS112" s="555"/>
      <c r="CT112" s="555"/>
      <c r="CU112" s="555"/>
      <c r="CV112" s="555"/>
      <c r="CW112" s="555"/>
      <c r="CX112" s="555"/>
      <c r="CY112" s="555"/>
      <c r="CZ112" s="555"/>
      <c r="DA112" s="555"/>
      <c r="DB112" s="555"/>
      <c r="DC112" s="555"/>
      <c r="DD112" s="555"/>
      <c r="DE112" s="555"/>
      <c r="DF112" s="555"/>
      <c r="DG112" s="555"/>
      <c r="DH112" s="555"/>
      <c r="DI112" s="555"/>
      <c r="DJ112"/>
      <c r="DK112" s="50"/>
      <c r="DL112" s="81"/>
      <c r="DM112" s="50"/>
      <c r="DN112" s="50"/>
      <c r="DO112" s="122"/>
      <c r="DP112" s="557"/>
      <c r="DQ112" s="557"/>
      <c r="DR112" s="557"/>
      <c r="DS112" s="557"/>
      <c r="DT112" s="557"/>
      <c r="DU112" s="557"/>
      <c r="DV112" s="557"/>
      <c r="DW112" s="557"/>
      <c r="DX112" s="557"/>
      <c r="DY112" s="557"/>
      <c r="DZ112" s="557"/>
      <c r="EA112" s="557"/>
      <c r="EB112" s="557"/>
      <c r="EC112" s="557"/>
      <c r="ED112" s="557"/>
      <c r="EE112" s="557"/>
      <c r="EF112" s="557"/>
      <c r="EG112" s="557"/>
      <c r="EH112" s="557"/>
      <c r="EI112" s="557"/>
      <c r="EJ112" s="557"/>
      <c r="EK112" s="557"/>
      <c r="EL112" s="557"/>
      <c r="EM112" s="557"/>
      <c r="EN112" s="557"/>
      <c r="EO112" s="557"/>
      <c r="EP112" s="557"/>
      <c r="EQ112" s="557"/>
      <c r="ER112" s="557"/>
      <c r="ES112" s="557"/>
      <c r="ET112" s="557"/>
      <c r="EU112" s="557"/>
      <c r="EV112" s="557"/>
      <c r="EW112" s="557"/>
      <c r="EX112" s="557"/>
      <c r="EY112" s="557"/>
      <c r="EZ112" s="123"/>
      <c r="FA112" s="50"/>
      <c r="FB112" s="51"/>
    </row>
    <row r="113" spans="1:158" ht="9" customHeight="1">
      <c r="A113" s="49"/>
      <c r="B113" s="81"/>
      <c r="C113" s="50"/>
      <c r="D113"/>
      <c r="E113" s="555"/>
      <c r="F113" s="555"/>
      <c r="G113" s="555"/>
      <c r="H113" s="555"/>
      <c r="I113" s="555"/>
      <c r="J113" s="555"/>
      <c r="K113" s="555"/>
      <c r="L113" s="555"/>
      <c r="M113" s="555"/>
      <c r="N113" s="555"/>
      <c r="O113" s="555"/>
      <c r="P113" s="555"/>
      <c r="Q113" s="555"/>
      <c r="R113" s="555"/>
      <c r="S113" s="555"/>
      <c r="T113" s="555"/>
      <c r="U113" s="555"/>
      <c r="V113" s="555"/>
      <c r="W113" s="555"/>
      <c r="X113" s="555"/>
      <c r="Y113" s="555"/>
      <c r="Z113" s="555"/>
      <c r="AA113" s="555"/>
      <c r="AB113" s="555"/>
      <c r="AC113" s="555"/>
      <c r="AD113" s="555"/>
      <c r="AE113" s="555"/>
      <c r="AF113" s="555"/>
      <c r="AG113" s="555"/>
      <c r="AH113" s="555"/>
      <c r="AI113" s="555"/>
      <c r="AJ113" s="555"/>
      <c r="AK113" s="555"/>
      <c r="AL113" s="555"/>
      <c r="AM113" s="555"/>
      <c r="AN113" s="555"/>
      <c r="AO113" s="555"/>
      <c r="AP113" s="555"/>
      <c r="AQ113" s="555"/>
      <c r="AR113" s="555"/>
      <c r="AS113" s="555"/>
      <c r="AT113" s="555"/>
      <c r="AU113" s="555"/>
      <c r="AV113" s="555"/>
      <c r="AW113" s="555"/>
      <c r="AX113" s="555"/>
      <c r="AY113" s="555"/>
      <c r="AZ113" s="555"/>
      <c r="BA113" s="555"/>
      <c r="BB113" s="555"/>
      <c r="BC113" s="555"/>
      <c r="BD113" s="555"/>
      <c r="BE113" s="555"/>
      <c r="BF113" s="555"/>
      <c r="BG113" s="555"/>
      <c r="BH113" s="555"/>
      <c r="BI113" s="555"/>
      <c r="BJ113" s="555"/>
      <c r="BK113" s="555"/>
      <c r="BL113" s="555"/>
      <c r="BM113" s="555"/>
      <c r="BN113" s="555"/>
      <c r="BO113" s="555"/>
      <c r="BP113" s="555"/>
      <c r="BQ113" s="555"/>
      <c r="BR113" s="555"/>
      <c r="BS113" s="555"/>
      <c r="BT113" s="555"/>
      <c r="BU113" s="555"/>
      <c r="BV113" s="555"/>
      <c r="BW113" s="555"/>
      <c r="BX113" s="555"/>
      <c r="BY113" s="555"/>
      <c r="BZ113" s="555"/>
      <c r="CA113" s="555"/>
      <c r="CB113" s="555"/>
      <c r="CC113" s="555"/>
      <c r="CD113" s="555"/>
      <c r="CE113" s="555"/>
      <c r="CF113" s="555"/>
      <c r="CG113" s="555"/>
      <c r="CH113" s="555"/>
      <c r="CI113" s="555"/>
      <c r="CJ113" s="555"/>
      <c r="CK113" s="555"/>
      <c r="CL113" s="555"/>
      <c r="CM113" s="555"/>
      <c r="CN113" s="555"/>
      <c r="CO113" s="555"/>
      <c r="CP113" s="555"/>
      <c r="CQ113" s="555"/>
      <c r="CR113" s="555"/>
      <c r="CS113" s="555"/>
      <c r="CT113" s="555"/>
      <c r="CU113" s="555"/>
      <c r="CV113" s="555"/>
      <c r="CW113" s="555"/>
      <c r="CX113" s="555"/>
      <c r="CY113" s="555"/>
      <c r="CZ113" s="555"/>
      <c r="DA113" s="555"/>
      <c r="DB113" s="555"/>
      <c r="DC113" s="555"/>
      <c r="DD113" s="555"/>
      <c r="DE113" s="555"/>
      <c r="DF113" s="555"/>
      <c r="DG113" s="555"/>
      <c r="DH113" s="555"/>
      <c r="DI113" s="555"/>
      <c r="DJ113"/>
      <c r="DK113" s="50"/>
      <c r="DL113" s="81"/>
      <c r="DM113" s="50"/>
      <c r="DN113" s="50"/>
      <c r="DO113" s="122"/>
      <c r="DP113" s="557"/>
      <c r="DQ113" s="557"/>
      <c r="DR113" s="557"/>
      <c r="DS113" s="557"/>
      <c r="DT113" s="557"/>
      <c r="DU113" s="557"/>
      <c r="DV113" s="557"/>
      <c r="DW113" s="557"/>
      <c r="DX113" s="557"/>
      <c r="DY113" s="557"/>
      <c r="DZ113" s="557"/>
      <c r="EA113" s="557"/>
      <c r="EB113" s="557"/>
      <c r="EC113" s="557"/>
      <c r="ED113" s="557"/>
      <c r="EE113" s="557"/>
      <c r="EF113" s="557"/>
      <c r="EG113" s="557"/>
      <c r="EH113" s="557"/>
      <c r="EI113" s="557"/>
      <c r="EJ113" s="557"/>
      <c r="EK113" s="557"/>
      <c r="EL113" s="557"/>
      <c r="EM113" s="557"/>
      <c r="EN113" s="557"/>
      <c r="EO113" s="557"/>
      <c r="EP113" s="557"/>
      <c r="EQ113" s="557"/>
      <c r="ER113" s="557"/>
      <c r="ES113" s="557"/>
      <c r="ET113" s="557"/>
      <c r="EU113" s="557"/>
      <c r="EV113" s="557"/>
      <c r="EW113" s="557"/>
      <c r="EX113" s="557"/>
      <c r="EY113" s="557"/>
      <c r="EZ113" s="123"/>
      <c r="FA113" s="50"/>
      <c r="FB113" s="51"/>
    </row>
    <row r="114" spans="1:158" ht="9" customHeight="1">
      <c r="A114" s="49"/>
      <c r="B114" s="81"/>
      <c r="C114" s="50"/>
      <c r="D114"/>
      <c r="E114" s="555"/>
      <c r="F114" s="555"/>
      <c r="G114" s="555"/>
      <c r="H114" s="555"/>
      <c r="I114" s="555"/>
      <c r="J114" s="555"/>
      <c r="K114" s="555"/>
      <c r="L114" s="555"/>
      <c r="M114" s="555"/>
      <c r="N114" s="555"/>
      <c r="O114" s="555"/>
      <c r="P114" s="555"/>
      <c r="Q114" s="555"/>
      <c r="R114" s="555"/>
      <c r="S114" s="555"/>
      <c r="T114" s="555"/>
      <c r="U114" s="555"/>
      <c r="V114" s="555"/>
      <c r="W114" s="555"/>
      <c r="X114" s="555"/>
      <c r="Y114" s="555"/>
      <c r="Z114" s="555"/>
      <c r="AA114" s="555"/>
      <c r="AB114" s="555"/>
      <c r="AC114" s="555"/>
      <c r="AD114" s="555"/>
      <c r="AE114" s="555"/>
      <c r="AF114" s="555"/>
      <c r="AG114" s="555"/>
      <c r="AH114" s="555"/>
      <c r="AI114" s="555"/>
      <c r="AJ114" s="555"/>
      <c r="AK114" s="555"/>
      <c r="AL114" s="555"/>
      <c r="AM114" s="555"/>
      <c r="AN114" s="555"/>
      <c r="AO114" s="555"/>
      <c r="AP114" s="555"/>
      <c r="AQ114" s="555"/>
      <c r="AR114" s="555"/>
      <c r="AS114" s="555"/>
      <c r="AT114" s="555"/>
      <c r="AU114" s="555"/>
      <c r="AV114" s="555"/>
      <c r="AW114" s="555"/>
      <c r="AX114" s="555"/>
      <c r="AY114" s="555"/>
      <c r="AZ114" s="555"/>
      <c r="BA114" s="555"/>
      <c r="BB114" s="555"/>
      <c r="BC114" s="555"/>
      <c r="BD114" s="555"/>
      <c r="BE114" s="555"/>
      <c r="BF114" s="555"/>
      <c r="BG114" s="555"/>
      <c r="BH114" s="555"/>
      <c r="BI114" s="555"/>
      <c r="BJ114" s="555"/>
      <c r="BK114" s="555"/>
      <c r="BL114" s="555"/>
      <c r="BM114" s="555"/>
      <c r="BN114" s="555"/>
      <c r="BO114" s="555"/>
      <c r="BP114" s="555"/>
      <c r="BQ114" s="555"/>
      <c r="BR114" s="555"/>
      <c r="BS114" s="555"/>
      <c r="BT114" s="555"/>
      <c r="BU114" s="555"/>
      <c r="BV114" s="555"/>
      <c r="BW114" s="555"/>
      <c r="BX114" s="555"/>
      <c r="BY114" s="555"/>
      <c r="BZ114" s="555"/>
      <c r="CA114" s="555"/>
      <c r="CB114" s="555"/>
      <c r="CC114" s="555"/>
      <c r="CD114" s="555"/>
      <c r="CE114" s="555"/>
      <c r="CF114" s="555"/>
      <c r="CG114" s="555"/>
      <c r="CH114" s="555"/>
      <c r="CI114" s="555"/>
      <c r="CJ114" s="555"/>
      <c r="CK114" s="555"/>
      <c r="CL114" s="555"/>
      <c r="CM114" s="555"/>
      <c r="CN114" s="555"/>
      <c r="CO114" s="555"/>
      <c r="CP114" s="555"/>
      <c r="CQ114" s="555"/>
      <c r="CR114" s="555"/>
      <c r="CS114" s="555"/>
      <c r="CT114" s="555"/>
      <c r="CU114" s="555"/>
      <c r="CV114" s="555"/>
      <c r="CW114" s="555"/>
      <c r="CX114" s="555"/>
      <c r="CY114" s="555"/>
      <c r="CZ114" s="555"/>
      <c r="DA114" s="555"/>
      <c r="DB114" s="555"/>
      <c r="DC114" s="555"/>
      <c r="DD114" s="555"/>
      <c r="DE114" s="555"/>
      <c r="DF114" s="555"/>
      <c r="DG114" s="555"/>
      <c r="DH114" s="555"/>
      <c r="DI114" s="555"/>
      <c r="DJ114"/>
      <c r="DK114" s="50"/>
      <c r="DL114" s="81"/>
      <c r="DM114" s="50"/>
      <c r="DN114" s="50"/>
      <c r="DO114" s="122"/>
      <c r="DP114" s="557"/>
      <c r="DQ114" s="557"/>
      <c r="DR114" s="557"/>
      <c r="DS114" s="557"/>
      <c r="DT114" s="557"/>
      <c r="DU114" s="557"/>
      <c r="DV114" s="557"/>
      <c r="DW114" s="557"/>
      <c r="DX114" s="557"/>
      <c r="DY114" s="557"/>
      <c r="DZ114" s="557"/>
      <c r="EA114" s="557"/>
      <c r="EB114" s="557"/>
      <c r="EC114" s="557"/>
      <c r="ED114" s="557"/>
      <c r="EE114" s="557"/>
      <c r="EF114" s="557"/>
      <c r="EG114" s="557"/>
      <c r="EH114" s="557"/>
      <c r="EI114" s="557"/>
      <c r="EJ114" s="557"/>
      <c r="EK114" s="557"/>
      <c r="EL114" s="557"/>
      <c r="EM114" s="557"/>
      <c r="EN114" s="557"/>
      <c r="EO114" s="557"/>
      <c r="EP114" s="557"/>
      <c r="EQ114" s="557"/>
      <c r="ER114" s="557"/>
      <c r="ES114" s="557"/>
      <c r="ET114" s="557"/>
      <c r="EU114" s="557"/>
      <c r="EV114" s="557"/>
      <c r="EW114" s="557"/>
      <c r="EX114" s="557"/>
      <c r="EY114" s="557"/>
      <c r="EZ114" s="123"/>
      <c r="FA114" s="50"/>
      <c r="FB114" s="51"/>
    </row>
    <row r="115" spans="1:158" ht="9" customHeight="1">
      <c r="A115" s="49"/>
      <c r="B115" s="81"/>
      <c r="C115" s="50"/>
      <c r="D115"/>
      <c r="E115" s="555"/>
      <c r="F115" s="555"/>
      <c r="G115" s="555"/>
      <c r="H115" s="555"/>
      <c r="I115" s="555"/>
      <c r="J115" s="555"/>
      <c r="K115" s="555"/>
      <c r="L115" s="555"/>
      <c r="M115" s="555"/>
      <c r="N115" s="555"/>
      <c r="O115" s="555"/>
      <c r="P115" s="555"/>
      <c r="Q115" s="555"/>
      <c r="R115" s="555"/>
      <c r="S115" s="555"/>
      <c r="T115" s="555"/>
      <c r="U115" s="555"/>
      <c r="V115" s="555"/>
      <c r="W115" s="555"/>
      <c r="X115" s="555"/>
      <c r="Y115" s="555"/>
      <c r="Z115" s="555"/>
      <c r="AA115" s="555"/>
      <c r="AB115" s="555"/>
      <c r="AC115" s="555"/>
      <c r="AD115" s="555"/>
      <c r="AE115" s="555"/>
      <c r="AF115" s="555"/>
      <c r="AG115" s="555"/>
      <c r="AH115" s="555"/>
      <c r="AI115" s="555"/>
      <c r="AJ115" s="555"/>
      <c r="AK115" s="555"/>
      <c r="AL115" s="555"/>
      <c r="AM115" s="555"/>
      <c r="AN115" s="555"/>
      <c r="AO115" s="555"/>
      <c r="AP115" s="555"/>
      <c r="AQ115" s="555"/>
      <c r="AR115" s="555"/>
      <c r="AS115" s="555"/>
      <c r="AT115" s="555"/>
      <c r="AU115" s="555"/>
      <c r="AV115" s="555"/>
      <c r="AW115" s="555"/>
      <c r="AX115" s="555"/>
      <c r="AY115" s="555"/>
      <c r="AZ115" s="555"/>
      <c r="BA115" s="555"/>
      <c r="BB115" s="555"/>
      <c r="BC115" s="555"/>
      <c r="BD115" s="555"/>
      <c r="BE115" s="555"/>
      <c r="BF115" s="555"/>
      <c r="BG115" s="555"/>
      <c r="BH115" s="555"/>
      <c r="BI115" s="555"/>
      <c r="BJ115" s="555"/>
      <c r="BK115" s="555"/>
      <c r="BL115" s="555"/>
      <c r="BM115" s="555"/>
      <c r="BN115" s="555"/>
      <c r="BO115" s="555"/>
      <c r="BP115" s="555"/>
      <c r="BQ115" s="555"/>
      <c r="BR115" s="555"/>
      <c r="BS115" s="555"/>
      <c r="BT115" s="555"/>
      <c r="BU115" s="555"/>
      <c r="BV115" s="555"/>
      <c r="BW115" s="555"/>
      <c r="BX115" s="555"/>
      <c r="BY115" s="555"/>
      <c r="BZ115" s="555"/>
      <c r="CA115" s="555"/>
      <c r="CB115" s="555"/>
      <c r="CC115" s="555"/>
      <c r="CD115" s="555"/>
      <c r="CE115" s="555"/>
      <c r="CF115" s="555"/>
      <c r="CG115" s="555"/>
      <c r="CH115" s="555"/>
      <c r="CI115" s="555"/>
      <c r="CJ115" s="555"/>
      <c r="CK115" s="555"/>
      <c r="CL115" s="555"/>
      <c r="CM115" s="555"/>
      <c r="CN115" s="555"/>
      <c r="CO115" s="555"/>
      <c r="CP115" s="555"/>
      <c r="CQ115" s="555"/>
      <c r="CR115" s="555"/>
      <c r="CS115" s="555"/>
      <c r="CT115" s="555"/>
      <c r="CU115" s="555"/>
      <c r="CV115" s="555"/>
      <c r="CW115" s="555"/>
      <c r="CX115" s="555"/>
      <c r="CY115" s="555"/>
      <c r="CZ115" s="555"/>
      <c r="DA115" s="555"/>
      <c r="DB115" s="555"/>
      <c r="DC115" s="555"/>
      <c r="DD115" s="555"/>
      <c r="DE115" s="555"/>
      <c r="DF115" s="555"/>
      <c r="DG115" s="555"/>
      <c r="DH115" s="555"/>
      <c r="DI115" s="555"/>
      <c r="DJ115"/>
      <c r="DK115" s="50"/>
      <c r="DL115" s="81"/>
      <c r="DM115" s="50"/>
      <c r="DN115" s="50"/>
      <c r="DO115" s="122"/>
      <c r="DP115" s="557"/>
      <c r="DQ115" s="557"/>
      <c r="DR115" s="557"/>
      <c r="DS115" s="557"/>
      <c r="DT115" s="557"/>
      <c r="DU115" s="557"/>
      <c r="DV115" s="557"/>
      <c r="DW115" s="557"/>
      <c r="DX115" s="557"/>
      <c r="DY115" s="557"/>
      <c r="DZ115" s="557"/>
      <c r="EA115" s="557"/>
      <c r="EB115" s="557"/>
      <c r="EC115" s="557"/>
      <c r="ED115" s="557"/>
      <c r="EE115" s="557"/>
      <c r="EF115" s="557"/>
      <c r="EG115" s="557"/>
      <c r="EH115" s="557"/>
      <c r="EI115" s="557"/>
      <c r="EJ115" s="557"/>
      <c r="EK115" s="557"/>
      <c r="EL115" s="557"/>
      <c r="EM115" s="557"/>
      <c r="EN115" s="557"/>
      <c r="EO115" s="557"/>
      <c r="EP115" s="557"/>
      <c r="EQ115" s="557"/>
      <c r="ER115" s="557"/>
      <c r="ES115" s="557"/>
      <c r="ET115" s="557"/>
      <c r="EU115" s="557"/>
      <c r="EV115" s="557"/>
      <c r="EW115" s="557"/>
      <c r="EX115" s="557"/>
      <c r="EY115" s="557"/>
      <c r="EZ115" s="123"/>
      <c r="FA115" s="50"/>
      <c r="FB115" s="51"/>
    </row>
    <row r="116" spans="1:158" ht="9" customHeight="1">
      <c r="A116" s="49"/>
      <c r="B116" s="81"/>
      <c r="C116" s="50"/>
      <c r="D116"/>
      <c r="E116" s="555"/>
      <c r="F116" s="555"/>
      <c r="G116" s="555"/>
      <c r="H116" s="555"/>
      <c r="I116" s="555"/>
      <c r="J116" s="555"/>
      <c r="K116" s="555"/>
      <c r="L116" s="555"/>
      <c r="M116" s="555"/>
      <c r="N116" s="555"/>
      <c r="O116" s="555"/>
      <c r="P116" s="555"/>
      <c r="Q116" s="555"/>
      <c r="R116" s="555"/>
      <c r="S116" s="555"/>
      <c r="T116" s="555"/>
      <c r="U116" s="555"/>
      <c r="V116" s="555"/>
      <c r="W116" s="555"/>
      <c r="X116" s="555"/>
      <c r="Y116" s="555"/>
      <c r="Z116" s="555"/>
      <c r="AA116" s="555"/>
      <c r="AB116" s="555"/>
      <c r="AC116" s="555"/>
      <c r="AD116" s="555"/>
      <c r="AE116" s="555"/>
      <c r="AF116" s="555"/>
      <c r="AG116" s="555"/>
      <c r="AH116" s="555"/>
      <c r="AI116" s="555"/>
      <c r="AJ116" s="555"/>
      <c r="AK116" s="555"/>
      <c r="AL116" s="555"/>
      <c r="AM116" s="555"/>
      <c r="AN116" s="555"/>
      <c r="AO116" s="555"/>
      <c r="AP116" s="555"/>
      <c r="AQ116" s="555"/>
      <c r="AR116" s="555"/>
      <c r="AS116" s="555"/>
      <c r="AT116" s="555"/>
      <c r="AU116" s="555"/>
      <c r="AV116" s="555"/>
      <c r="AW116" s="555"/>
      <c r="AX116" s="555"/>
      <c r="AY116" s="555"/>
      <c r="AZ116" s="555"/>
      <c r="BA116" s="555"/>
      <c r="BB116" s="555"/>
      <c r="BC116" s="555"/>
      <c r="BD116" s="555"/>
      <c r="BE116" s="555"/>
      <c r="BF116" s="555"/>
      <c r="BG116" s="555"/>
      <c r="BH116" s="555"/>
      <c r="BI116" s="555"/>
      <c r="BJ116" s="555"/>
      <c r="BK116" s="555"/>
      <c r="BL116" s="555"/>
      <c r="BM116" s="555"/>
      <c r="BN116" s="555"/>
      <c r="BO116" s="555"/>
      <c r="BP116" s="555"/>
      <c r="BQ116" s="555"/>
      <c r="BR116" s="555"/>
      <c r="BS116" s="555"/>
      <c r="BT116" s="555"/>
      <c r="BU116" s="555"/>
      <c r="BV116" s="555"/>
      <c r="BW116" s="555"/>
      <c r="BX116" s="555"/>
      <c r="BY116" s="555"/>
      <c r="BZ116" s="555"/>
      <c r="CA116" s="555"/>
      <c r="CB116" s="555"/>
      <c r="CC116" s="555"/>
      <c r="CD116" s="555"/>
      <c r="CE116" s="555"/>
      <c r="CF116" s="555"/>
      <c r="CG116" s="555"/>
      <c r="CH116" s="555"/>
      <c r="CI116" s="555"/>
      <c r="CJ116" s="555"/>
      <c r="CK116" s="555"/>
      <c r="CL116" s="555"/>
      <c r="CM116" s="555"/>
      <c r="CN116" s="555"/>
      <c r="CO116" s="555"/>
      <c r="CP116" s="555"/>
      <c r="CQ116" s="555"/>
      <c r="CR116" s="555"/>
      <c r="CS116" s="555"/>
      <c r="CT116" s="555"/>
      <c r="CU116" s="555"/>
      <c r="CV116" s="555"/>
      <c r="CW116" s="555"/>
      <c r="CX116" s="555"/>
      <c r="CY116" s="555"/>
      <c r="CZ116" s="555"/>
      <c r="DA116" s="555"/>
      <c r="DB116" s="555"/>
      <c r="DC116" s="555"/>
      <c r="DD116" s="555"/>
      <c r="DE116" s="555"/>
      <c r="DF116" s="555"/>
      <c r="DG116" s="555"/>
      <c r="DH116" s="555"/>
      <c r="DI116" s="555"/>
      <c r="DJ116"/>
      <c r="DK116" s="50"/>
      <c r="DL116" s="81"/>
      <c r="DM116" s="50"/>
      <c r="DN116" s="50"/>
      <c r="DO116" s="122"/>
      <c r="DP116" s="557"/>
      <c r="DQ116" s="557"/>
      <c r="DR116" s="557"/>
      <c r="DS116" s="557"/>
      <c r="DT116" s="557"/>
      <c r="DU116" s="557"/>
      <c r="DV116" s="557"/>
      <c r="DW116" s="557"/>
      <c r="DX116" s="557"/>
      <c r="DY116" s="557"/>
      <c r="DZ116" s="557"/>
      <c r="EA116" s="557"/>
      <c r="EB116" s="557"/>
      <c r="EC116" s="557"/>
      <c r="ED116" s="557"/>
      <c r="EE116" s="557"/>
      <c r="EF116" s="557"/>
      <c r="EG116" s="557"/>
      <c r="EH116" s="557"/>
      <c r="EI116" s="557"/>
      <c r="EJ116" s="557"/>
      <c r="EK116" s="557"/>
      <c r="EL116" s="557"/>
      <c r="EM116" s="557"/>
      <c r="EN116" s="557"/>
      <c r="EO116" s="557"/>
      <c r="EP116" s="557"/>
      <c r="EQ116" s="557"/>
      <c r="ER116" s="557"/>
      <c r="ES116" s="557"/>
      <c r="ET116" s="557"/>
      <c r="EU116" s="557"/>
      <c r="EV116" s="557"/>
      <c r="EW116" s="557"/>
      <c r="EX116" s="557"/>
      <c r="EY116" s="557"/>
      <c r="EZ116" s="123"/>
      <c r="FA116" s="50"/>
      <c r="FB116" s="51"/>
    </row>
    <row r="117" spans="1:158" ht="9" customHeight="1">
      <c r="A117" s="49"/>
      <c r="B117" s="81"/>
      <c r="C117" s="50"/>
      <c r="D117"/>
      <c r="E117" s="555"/>
      <c r="F117" s="555"/>
      <c r="G117" s="555"/>
      <c r="H117" s="555"/>
      <c r="I117" s="555"/>
      <c r="J117" s="555"/>
      <c r="K117" s="555"/>
      <c r="L117" s="555"/>
      <c r="M117" s="555"/>
      <c r="N117" s="555"/>
      <c r="O117" s="555"/>
      <c r="P117" s="555"/>
      <c r="Q117" s="555"/>
      <c r="R117" s="555"/>
      <c r="S117" s="555"/>
      <c r="T117" s="555"/>
      <c r="U117" s="555"/>
      <c r="V117" s="555"/>
      <c r="W117" s="555"/>
      <c r="X117" s="555"/>
      <c r="Y117" s="555"/>
      <c r="Z117" s="555"/>
      <c r="AA117" s="555"/>
      <c r="AB117" s="555"/>
      <c r="AC117" s="555"/>
      <c r="AD117" s="555"/>
      <c r="AE117" s="555"/>
      <c r="AF117" s="555"/>
      <c r="AG117" s="555"/>
      <c r="AH117" s="555"/>
      <c r="AI117" s="555"/>
      <c r="AJ117" s="555"/>
      <c r="AK117" s="555"/>
      <c r="AL117" s="555"/>
      <c r="AM117" s="555"/>
      <c r="AN117" s="555"/>
      <c r="AO117" s="555"/>
      <c r="AP117" s="555"/>
      <c r="AQ117" s="555"/>
      <c r="AR117" s="555"/>
      <c r="AS117" s="555"/>
      <c r="AT117" s="555"/>
      <c r="AU117" s="555"/>
      <c r="AV117" s="555"/>
      <c r="AW117" s="555"/>
      <c r="AX117" s="555"/>
      <c r="AY117" s="555"/>
      <c r="AZ117" s="555"/>
      <c r="BA117" s="555"/>
      <c r="BB117" s="555"/>
      <c r="BC117" s="555"/>
      <c r="BD117" s="555"/>
      <c r="BE117" s="555"/>
      <c r="BF117" s="555"/>
      <c r="BG117" s="555"/>
      <c r="BH117" s="555"/>
      <c r="BI117" s="555"/>
      <c r="BJ117" s="555"/>
      <c r="BK117" s="555"/>
      <c r="BL117" s="555"/>
      <c r="BM117" s="555"/>
      <c r="BN117" s="555"/>
      <c r="BO117" s="555"/>
      <c r="BP117" s="555"/>
      <c r="BQ117" s="555"/>
      <c r="BR117" s="555"/>
      <c r="BS117" s="555"/>
      <c r="BT117" s="555"/>
      <c r="BU117" s="555"/>
      <c r="BV117" s="555"/>
      <c r="BW117" s="555"/>
      <c r="BX117" s="555"/>
      <c r="BY117" s="555"/>
      <c r="BZ117" s="555"/>
      <c r="CA117" s="555"/>
      <c r="CB117" s="555"/>
      <c r="CC117" s="555"/>
      <c r="CD117" s="555"/>
      <c r="CE117" s="555"/>
      <c r="CF117" s="555"/>
      <c r="CG117" s="555"/>
      <c r="CH117" s="555"/>
      <c r="CI117" s="555"/>
      <c r="CJ117" s="555"/>
      <c r="CK117" s="555"/>
      <c r="CL117" s="555"/>
      <c r="CM117" s="555"/>
      <c r="CN117" s="555"/>
      <c r="CO117" s="555"/>
      <c r="CP117" s="555"/>
      <c r="CQ117" s="555"/>
      <c r="CR117" s="555"/>
      <c r="CS117" s="555"/>
      <c r="CT117" s="555"/>
      <c r="CU117" s="555"/>
      <c r="CV117" s="555"/>
      <c r="CW117" s="555"/>
      <c r="CX117" s="555"/>
      <c r="CY117" s="555"/>
      <c r="CZ117" s="555"/>
      <c r="DA117" s="555"/>
      <c r="DB117" s="555"/>
      <c r="DC117" s="555"/>
      <c r="DD117" s="555"/>
      <c r="DE117" s="555"/>
      <c r="DF117" s="555"/>
      <c r="DG117" s="555"/>
      <c r="DH117" s="555"/>
      <c r="DI117" s="555"/>
      <c r="DJ117"/>
      <c r="DK117" s="50"/>
      <c r="DL117" s="81"/>
      <c r="DM117" s="50"/>
      <c r="DN117" s="50"/>
      <c r="DO117" s="122"/>
      <c r="DP117" s="557"/>
      <c r="DQ117" s="557"/>
      <c r="DR117" s="557"/>
      <c r="DS117" s="557"/>
      <c r="DT117" s="557"/>
      <c r="DU117" s="557"/>
      <c r="DV117" s="557"/>
      <c r="DW117" s="557"/>
      <c r="DX117" s="557"/>
      <c r="DY117" s="557"/>
      <c r="DZ117" s="557"/>
      <c r="EA117" s="557"/>
      <c r="EB117" s="557"/>
      <c r="EC117" s="557"/>
      <c r="ED117" s="557"/>
      <c r="EE117" s="557"/>
      <c r="EF117" s="557"/>
      <c r="EG117" s="557"/>
      <c r="EH117" s="557"/>
      <c r="EI117" s="557"/>
      <c r="EJ117" s="557"/>
      <c r="EK117" s="557"/>
      <c r="EL117" s="557"/>
      <c r="EM117" s="557"/>
      <c r="EN117" s="557"/>
      <c r="EO117" s="557"/>
      <c r="EP117" s="557"/>
      <c r="EQ117" s="557"/>
      <c r="ER117" s="557"/>
      <c r="ES117" s="557"/>
      <c r="ET117" s="557"/>
      <c r="EU117" s="557"/>
      <c r="EV117" s="557"/>
      <c r="EW117" s="557"/>
      <c r="EX117" s="557"/>
      <c r="EY117" s="557"/>
      <c r="EZ117" s="123"/>
      <c r="FA117" s="50"/>
      <c r="FB117" s="51"/>
    </row>
    <row r="118" spans="1:158" ht="9" customHeight="1">
      <c r="A118" s="49"/>
      <c r="B118" s="81"/>
      <c r="C118" s="50"/>
      <c r="D118"/>
      <c r="E118" s="555"/>
      <c r="F118" s="555"/>
      <c r="G118" s="555"/>
      <c r="H118" s="555"/>
      <c r="I118" s="555"/>
      <c r="J118" s="555"/>
      <c r="K118" s="555"/>
      <c r="L118" s="555"/>
      <c r="M118" s="555"/>
      <c r="N118" s="555"/>
      <c r="O118" s="555"/>
      <c r="P118" s="555"/>
      <c r="Q118" s="555"/>
      <c r="R118" s="555"/>
      <c r="S118" s="555"/>
      <c r="T118" s="555"/>
      <c r="U118" s="555"/>
      <c r="V118" s="555"/>
      <c r="W118" s="555"/>
      <c r="X118" s="555"/>
      <c r="Y118" s="555"/>
      <c r="Z118" s="555"/>
      <c r="AA118" s="555"/>
      <c r="AB118" s="555"/>
      <c r="AC118" s="555"/>
      <c r="AD118" s="555"/>
      <c r="AE118" s="555"/>
      <c r="AF118" s="555"/>
      <c r="AG118" s="555"/>
      <c r="AH118" s="555"/>
      <c r="AI118" s="555"/>
      <c r="AJ118" s="555"/>
      <c r="AK118" s="555"/>
      <c r="AL118" s="555"/>
      <c r="AM118" s="555"/>
      <c r="AN118" s="555"/>
      <c r="AO118" s="555"/>
      <c r="AP118" s="555"/>
      <c r="AQ118" s="555"/>
      <c r="AR118" s="555"/>
      <c r="AS118" s="555"/>
      <c r="AT118" s="555"/>
      <c r="AU118" s="555"/>
      <c r="AV118" s="555"/>
      <c r="AW118" s="555"/>
      <c r="AX118" s="555"/>
      <c r="AY118" s="555"/>
      <c r="AZ118" s="555"/>
      <c r="BA118" s="555"/>
      <c r="BB118" s="555"/>
      <c r="BC118" s="555"/>
      <c r="BD118" s="555"/>
      <c r="BE118" s="555"/>
      <c r="BF118" s="555"/>
      <c r="BG118" s="555"/>
      <c r="BH118" s="555"/>
      <c r="BI118" s="555"/>
      <c r="BJ118" s="555"/>
      <c r="BK118" s="555"/>
      <c r="BL118" s="555"/>
      <c r="BM118" s="555"/>
      <c r="BN118" s="555"/>
      <c r="BO118" s="555"/>
      <c r="BP118" s="555"/>
      <c r="BQ118" s="555"/>
      <c r="BR118" s="555"/>
      <c r="BS118" s="555"/>
      <c r="BT118" s="555"/>
      <c r="BU118" s="555"/>
      <c r="BV118" s="555"/>
      <c r="BW118" s="555"/>
      <c r="BX118" s="555"/>
      <c r="BY118" s="555"/>
      <c r="BZ118" s="555"/>
      <c r="CA118" s="555"/>
      <c r="CB118" s="555"/>
      <c r="CC118" s="555"/>
      <c r="CD118" s="555"/>
      <c r="CE118" s="555"/>
      <c r="CF118" s="555"/>
      <c r="CG118" s="555"/>
      <c r="CH118" s="555"/>
      <c r="CI118" s="555"/>
      <c r="CJ118" s="555"/>
      <c r="CK118" s="555"/>
      <c r="CL118" s="555"/>
      <c r="CM118" s="555"/>
      <c r="CN118" s="555"/>
      <c r="CO118" s="555"/>
      <c r="CP118" s="555"/>
      <c r="CQ118" s="555"/>
      <c r="CR118" s="555"/>
      <c r="CS118" s="555"/>
      <c r="CT118" s="555"/>
      <c r="CU118" s="555"/>
      <c r="CV118" s="555"/>
      <c r="CW118" s="555"/>
      <c r="CX118" s="555"/>
      <c r="CY118" s="555"/>
      <c r="CZ118" s="555"/>
      <c r="DA118" s="555"/>
      <c r="DB118" s="555"/>
      <c r="DC118" s="555"/>
      <c r="DD118" s="555"/>
      <c r="DE118" s="555"/>
      <c r="DF118" s="555"/>
      <c r="DG118" s="555"/>
      <c r="DH118" s="555"/>
      <c r="DI118" s="555"/>
      <c r="DJ118"/>
      <c r="DK118" s="50"/>
      <c r="DL118" s="81"/>
      <c r="DM118" s="50"/>
      <c r="DN118" s="50"/>
      <c r="DO118" s="122"/>
      <c r="DP118" s="557"/>
      <c r="DQ118" s="557"/>
      <c r="DR118" s="557"/>
      <c r="DS118" s="557"/>
      <c r="DT118" s="557"/>
      <c r="DU118" s="557"/>
      <c r="DV118" s="557"/>
      <c r="DW118" s="557"/>
      <c r="DX118" s="557"/>
      <c r="DY118" s="557"/>
      <c r="DZ118" s="557"/>
      <c r="EA118" s="557"/>
      <c r="EB118" s="557"/>
      <c r="EC118" s="557"/>
      <c r="ED118" s="557"/>
      <c r="EE118" s="557"/>
      <c r="EF118" s="557"/>
      <c r="EG118" s="557"/>
      <c r="EH118" s="557"/>
      <c r="EI118" s="557"/>
      <c r="EJ118" s="557"/>
      <c r="EK118" s="557"/>
      <c r="EL118" s="557"/>
      <c r="EM118" s="557"/>
      <c r="EN118" s="557"/>
      <c r="EO118" s="557"/>
      <c r="EP118" s="557"/>
      <c r="EQ118" s="557"/>
      <c r="ER118" s="557"/>
      <c r="ES118" s="557"/>
      <c r="ET118" s="557"/>
      <c r="EU118" s="557"/>
      <c r="EV118" s="557"/>
      <c r="EW118" s="557"/>
      <c r="EX118" s="557"/>
      <c r="EY118" s="557"/>
      <c r="EZ118" s="123"/>
      <c r="FA118" s="50"/>
      <c r="FB118" s="51"/>
    </row>
    <row r="119" spans="1:158" ht="9" customHeight="1">
      <c r="A119" s="49"/>
      <c r="B119" s="81"/>
      <c r="C119" s="50"/>
      <c r="D119"/>
      <c r="E119" s="555"/>
      <c r="F119" s="555"/>
      <c r="G119" s="555"/>
      <c r="H119" s="555"/>
      <c r="I119" s="555"/>
      <c r="J119" s="555"/>
      <c r="K119" s="555"/>
      <c r="L119" s="555"/>
      <c r="M119" s="555"/>
      <c r="N119" s="555"/>
      <c r="O119" s="555"/>
      <c r="P119" s="555"/>
      <c r="Q119" s="555"/>
      <c r="R119" s="555"/>
      <c r="S119" s="555"/>
      <c r="T119" s="555"/>
      <c r="U119" s="555"/>
      <c r="V119" s="555"/>
      <c r="W119" s="555"/>
      <c r="X119" s="555"/>
      <c r="Y119" s="555"/>
      <c r="Z119" s="555"/>
      <c r="AA119" s="555"/>
      <c r="AB119" s="555"/>
      <c r="AC119" s="555"/>
      <c r="AD119" s="555"/>
      <c r="AE119" s="555"/>
      <c r="AF119" s="555"/>
      <c r="AG119" s="555"/>
      <c r="AH119" s="555"/>
      <c r="AI119" s="555"/>
      <c r="AJ119" s="555"/>
      <c r="AK119" s="555"/>
      <c r="AL119" s="555"/>
      <c r="AM119" s="555"/>
      <c r="AN119" s="555"/>
      <c r="AO119" s="555"/>
      <c r="AP119" s="555"/>
      <c r="AQ119" s="555"/>
      <c r="AR119" s="555"/>
      <c r="AS119" s="555"/>
      <c r="AT119" s="555"/>
      <c r="AU119" s="555"/>
      <c r="AV119" s="555"/>
      <c r="AW119" s="555"/>
      <c r="AX119" s="555"/>
      <c r="AY119" s="555"/>
      <c r="AZ119" s="555"/>
      <c r="BA119" s="555"/>
      <c r="BB119" s="555"/>
      <c r="BC119" s="555"/>
      <c r="BD119" s="555"/>
      <c r="BE119" s="555"/>
      <c r="BF119" s="555"/>
      <c r="BG119" s="555"/>
      <c r="BH119" s="555"/>
      <c r="BI119" s="555"/>
      <c r="BJ119" s="555"/>
      <c r="BK119" s="555"/>
      <c r="BL119" s="555"/>
      <c r="BM119" s="555"/>
      <c r="BN119" s="555"/>
      <c r="BO119" s="555"/>
      <c r="BP119" s="555"/>
      <c r="BQ119" s="555"/>
      <c r="BR119" s="555"/>
      <c r="BS119" s="555"/>
      <c r="BT119" s="555"/>
      <c r="BU119" s="555"/>
      <c r="BV119" s="555"/>
      <c r="BW119" s="555"/>
      <c r="BX119" s="555"/>
      <c r="BY119" s="555"/>
      <c r="BZ119" s="555"/>
      <c r="CA119" s="555"/>
      <c r="CB119" s="555"/>
      <c r="CC119" s="555"/>
      <c r="CD119" s="555"/>
      <c r="CE119" s="555"/>
      <c r="CF119" s="555"/>
      <c r="CG119" s="555"/>
      <c r="CH119" s="555"/>
      <c r="CI119" s="555"/>
      <c r="CJ119" s="555"/>
      <c r="CK119" s="555"/>
      <c r="CL119" s="555"/>
      <c r="CM119" s="555"/>
      <c r="CN119" s="555"/>
      <c r="CO119" s="555"/>
      <c r="CP119" s="555"/>
      <c r="CQ119" s="555"/>
      <c r="CR119" s="555"/>
      <c r="CS119" s="555"/>
      <c r="CT119" s="555"/>
      <c r="CU119" s="555"/>
      <c r="CV119" s="555"/>
      <c r="CW119" s="555"/>
      <c r="CX119" s="555"/>
      <c r="CY119" s="555"/>
      <c r="CZ119" s="555"/>
      <c r="DA119" s="555"/>
      <c r="DB119" s="555"/>
      <c r="DC119" s="555"/>
      <c r="DD119" s="555"/>
      <c r="DE119" s="555"/>
      <c r="DF119" s="555"/>
      <c r="DG119" s="555"/>
      <c r="DH119" s="555"/>
      <c r="DI119" s="555"/>
      <c r="DJ119"/>
      <c r="DK119" s="50"/>
      <c r="DL119" s="81"/>
      <c r="DM119" s="50"/>
      <c r="DN119" s="50"/>
      <c r="DO119" s="122"/>
      <c r="DP119" s="557"/>
      <c r="DQ119" s="557"/>
      <c r="DR119" s="557"/>
      <c r="DS119" s="557"/>
      <c r="DT119" s="557"/>
      <c r="DU119" s="557"/>
      <c r="DV119" s="557"/>
      <c r="DW119" s="557"/>
      <c r="DX119" s="557"/>
      <c r="DY119" s="557"/>
      <c r="DZ119" s="557"/>
      <c r="EA119" s="557"/>
      <c r="EB119" s="557"/>
      <c r="EC119" s="557"/>
      <c r="ED119" s="557"/>
      <c r="EE119" s="557"/>
      <c r="EF119" s="557"/>
      <c r="EG119" s="557"/>
      <c r="EH119" s="557"/>
      <c r="EI119" s="557"/>
      <c r="EJ119" s="557"/>
      <c r="EK119" s="557"/>
      <c r="EL119" s="557"/>
      <c r="EM119" s="557"/>
      <c r="EN119" s="557"/>
      <c r="EO119" s="557"/>
      <c r="EP119" s="557"/>
      <c r="EQ119" s="557"/>
      <c r="ER119" s="557"/>
      <c r="ES119" s="557"/>
      <c r="ET119" s="557"/>
      <c r="EU119" s="557"/>
      <c r="EV119" s="557"/>
      <c r="EW119" s="557"/>
      <c r="EX119" s="557"/>
      <c r="EY119" s="557"/>
      <c r="EZ119" s="123"/>
      <c r="FA119" s="50"/>
      <c r="FB119" s="51"/>
    </row>
    <row r="120" spans="1:158" ht="9" customHeight="1">
      <c r="A120" s="49"/>
      <c r="B120" s="81"/>
      <c r="C120" s="50"/>
      <c r="D120"/>
      <c r="E120" s="555"/>
      <c r="F120" s="555"/>
      <c r="G120" s="555"/>
      <c r="H120" s="555"/>
      <c r="I120" s="555"/>
      <c r="J120" s="555"/>
      <c r="K120" s="555"/>
      <c r="L120" s="555"/>
      <c r="M120" s="555"/>
      <c r="N120" s="555"/>
      <c r="O120" s="555"/>
      <c r="P120" s="555"/>
      <c r="Q120" s="555"/>
      <c r="R120" s="555"/>
      <c r="S120" s="555"/>
      <c r="T120" s="555"/>
      <c r="U120" s="555"/>
      <c r="V120" s="555"/>
      <c r="W120" s="555"/>
      <c r="X120" s="555"/>
      <c r="Y120" s="555"/>
      <c r="Z120" s="555"/>
      <c r="AA120" s="555"/>
      <c r="AB120" s="555"/>
      <c r="AC120" s="555"/>
      <c r="AD120" s="555"/>
      <c r="AE120" s="555"/>
      <c r="AF120" s="555"/>
      <c r="AG120" s="555"/>
      <c r="AH120" s="555"/>
      <c r="AI120" s="555"/>
      <c r="AJ120" s="555"/>
      <c r="AK120" s="555"/>
      <c r="AL120" s="555"/>
      <c r="AM120" s="555"/>
      <c r="AN120" s="555"/>
      <c r="AO120" s="555"/>
      <c r="AP120" s="555"/>
      <c r="AQ120" s="555"/>
      <c r="AR120" s="555"/>
      <c r="AS120" s="555"/>
      <c r="AT120" s="555"/>
      <c r="AU120" s="555"/>
      <c r="AV120" s="555"/>
      <c r="AW120" s="555"/>
      <c r="AX120" s="555"/>
      <c r="AY120" s="555"/>
      <c r="AZ120" s="555"/>
      <c r="BA120" s="555"/>
      <c r="BB120" s="555"/>
      <c r="BC120" s="555"/>
      <c r="BD120" s="555"/>
      <c r="BE120" s="555"/>
      <c r="BF120" s="555"/>
      <c r="BG120" s="555"/>
      <c r="BH120" s="555"/>
      <c r="BI120" s="555"/>
      <c r="BJ120" s="555"/>
      <c r="BK120" s="555"/>
      <c r="BL120" s="555"/>
      <c r="BM120" s="555"/>
      <c r="BN120" s="555"/>
      <c r="BO120" s="555"/>
      <c r="BP120" s="555"/>
      <c r="BQ120" s="555"/>
      <c r="BR120" s="555"/>
      <c r="BS120" s="555"/>
      <c r="BT120" s="555"/>
      <c r="BU120" s="555"/>
      <c r="BV120" s="555"/>
      <c r="BW120" s="555"/>
      <c r="BX120" s="555"/>
      <c r="BY120" s="555"/>
      <c r="BZ120" s="555"/>
      <c r="CA120" s="555"/>
      <c r="CB120" s="555"/>
      <c r="CC120" s="555"/>
      <c r="CD120" s="555"/>
      <c r="CE120" s="555"/>
      <c r="CF120" s="555"/>
      <c r="CG120" s="555"/>
      <c r="CH120" s="555"/>
      <c r="CI120" s="555"/>
      <c r="CJ120" s="555"/>
      <c r="CK120" s="555"/>
      <c r="CL120" s="555"/>
      <c r="CM120" s="555"/>
      <c r="CN120" s="555"/>
      <c r="CO120" s="555"/>
      <c r="CP120" s="555"/>
      <c r="CQ120" s="555"/>
      <c r="CR120" s="555"/>
      <c r="CS120" s="555"/>
      <c r="CT120" s="555"/>
      <c r="CU120" s="555"/>
      <c r="CV120" s="555"/>
      <c r="CW120" s="555"/>
      <c r="CX120" s="555"/>
      <c r="CY120" s="555"/>
      <c r="CZ120" s="555"/>
      <c r="DA120" s="555"/>
      <c r="DB120" s="555"/>
      <c r="DC120" s="555"/>
      <c r="DD120" s="555"/>
      <c r="DE120" s="555"/>
      <c r="DF120" s="555"/>
      <c r="DG120" s="555"/>
      <c r="DH120" s="555"/>
      <c r="DI120" s="555"/>
      <c r="DJ120"/>
      <c r="DK120" s="50"/>
      <c r="DL120" s="81"/>
      <c r="DM120" s="50"/>
      <c r="DN120" s="50"/>
      <c r="DO120" s="122"/>
      <c r="DP120" s="557"/>
      <c r="DQ120" s="557"/>
      <c r="DR120" s="557"/>
      <c r="DS120" s="557"/>
      <c r="DT120" s="557"/>
      <c r="DU120" s="557"/>
      <c r="DV120" s="557"/>
      <c r="DW120" s="557"/>
      <c r="DX120" s="557"/>
      <c r="DY120" s="557"/>
      <c r="DZ120" s="557"/>
      <c r="EA120" s="557"/>
      <c r="EB120" s="557"/>
      <c r="EC120" s="557"/>
      <c r="ED120" s="557"/>
      <c r="EE120" s="557"/>
      <c r="EF120" s="557"/>
      <c r="EG120" s="557"/>
      <c r="EH120" s="557"/>
      <c r="EI120" s="557"/>
      <c r="EJ120" s="557"/>
      <c r="EK120" s="557"/>
      <c r="EL120" s="557"/>
      <c r="EM120" s="557"/>
      <c r="EN120" s="557"/>
      <c r="EO120" s="557"/>
      <c r="EP120" s="557"/>
      <c r="EQ120" s="557"/>
      <c r="ER120" s="557"/>
      <c r="ES120" s="557"/>
      <c r="ET120" s="557"/>
      <c r="EU120" s="557"/>
      <c r="EV120" s="557"/>
      <c r="EW120" s="557"/>
      <c r="EX120" s="557"/>
      <c r="EY120" s="557"/>
      <c r="EZ120" s="123"/>
      <c r="FA120" s="50"/>
      <c r="FB120" s="51"/>
    </row>
    <row r="121" spans="1:158" ht="9" customHeight="1">
      <c r="A121" s="49"/>
      <c r="B121" s="81"/>
      <c r="C121" s="50"/>
      <c r="D121"/>
      <c r="E121" s="555"/>
      <c r="F121" s="555"/>
      <c r="G121" s="555"/>
      <c r="H121" s="555"/>
      <c r="I121" s="555"/>
      <c r="J121" s="555"/>
      <c r="K121" s="555"/>
      <c r="L121" s="555"/>
      <c r="M121" s="555"/>
      <c r="N121" s="555"/>
      <c r="O121" s="555"/>
      <c r="P121" s="555"/>
      <c r="Q121" s="555"/>
      <c r="R121" s="555"/>
      <c r="S121" s="555"/>
      <c r="T121" s="555"/>
      <c r="U121" s="555"/>
      <c r="V121" s="555"/>
      <c r="W121" s="555"/>
      <c r="X121" s="555"/>
      <c r="Y121" s="555"/>
      <c r="Z121" s="555"/>
      <c r="AA121" s="555"/>
      <c r="AB121" s="555"/>
      <c r="AC121" s="555"/>
      <c r="AD121" s="555"/>
      <c r="AE121" s="555"/>
      <c r="AF121" s="555"/>
      <c r="AG121" s="555"/>
      <c r="AH121" s="555"/>
      <c r="AI121" s="555"/>
      <c r="AJ121" s="555"/>
      <c r="AK121" s="555"/>
      <c r="AL121" s="555"/>
      <c r="AM121" s="555"/>
      <c r="AN121" s="555"/>
      <c r="AO121" s="555"/>
      <c r="AP121" s="555"/>
      <c r="AQ121" s="555"/>
      <c r="AR121" s="555"/>
      <c r="AS121" s="555"/>
      <c r="AT121" s="555"/>
      <c r="AU121" s="555"/>
      <c r="AV121" s="555"/>
      <c r="AW121" s="555"/>
      <c r="AX121" s="555"/>
      <c r="AY121" s="555"/>
      <c r="AZ121" s="555"/>
      <c r="BA121" s="555"/>
      <c r="BB121" s="555"/>
      <c r="BC121" s="555"/>
      <c r="BD121" s="555"/>
      <c r="BE121" s="555"/>
      <c r="BF121" s="555"/>
      <c r="BG121" s="555"/>
      <c r="BH121" s="555"/>
      <c r="BI121" s="555"/>
      <c r="BJ121" s="555"/>
      <c r="BK121" s="555"/>
      <c r="BL121" s="555"/>
      <c r="BM121" s="555"/>
      <c r="BN121" s="555"/>
      <c r="BO121" s="555"/>
      <c r="BP121" s="555"/>
      <c r="BQ121" s="555"/>
      <c r="BR121" s="555"/>
      <c r="BS121" s="555"/>
      <c r="BT121" s="555"/>
      <c r="BU121" s="555"/>
      <c r="BV121" s="555"/>
      <c r="BW121" s="555"/>
      <c r="BX121" s="555"/>
      <c r="BY121" s="555"/>
      <c r="BZ121" s="555"/>
      <c r="CA121" s="555"/>
      <c r="CB121" s="555"/>
      <c r="CC121" s="555"/>
      <c r="CD121" s="555"/>
      <c r="CE121" s="555"/>
      <c r="CF121" s="555"/>
      <c r="CG121" s="555"/>
      <c r="CH121" s="555"/>
      <c r="CI121" s="555"/>
      <c r="CJ121" s="555"/>
      <c r="CK121" s="555"/>
      <c r="CL121" s="555"/>
      <c r="CM121" s="555"/>
      <c r="CN121" s="555"/>
      <c r="CO121" s="555"/>
      <c r="CP121" s="555"/>
      <c r="CQ121" s="555"/>
      <c r="CR121" s="555"/>
      <c r="CS121" s="555"/>
      <c r="CT121" s="555"/>
      <c r="CU121" s="555"/>
      <c r="CV121" s="555"/>
      <c r="CW121" s="555"/>
      <c r="CX121" s="555"/>
      <c r="CY121" s="555"/>
      <c r="CZ121" s="555"/>
      <c r="DA121" s="555"/>
      <c r="DB121" s="555"/>
      <c r="DC121" s="555"/>
      <c r="DD121" s="555"/>
      <c r="DE121" s="555"/>
      <c r="DF121" s="555"/>
      <c r="DG121" s="555"/>
      <c r="DH121" s="555"/>
      <c r="DI121" s="555"/>
      <c r="DJ121"/>
      <c r="DK121" s="50"/>
      <c r="DL121" s="81"/>
      <c r="DM121" s="50"/>
      <c r="DN121" s="50"/>
      <c r="DO121" s="122"/>
      <c r="DP121" s="557"/>
      <c r="DQ121" s="557"/>
      <c r="DR121" s="557"/>
      <c r="DS121" s="557"/>
      <c r="DT121" s="557"/>
      <c r="DU121" s="557"/>
      <c r="DV121" s="557"/>
      <c r="DW121" s="557"/>
      <c r="DX121" s="557"/>
      <c r="DY121" s="557"/>
      <c r="DZ121" s="557"/>
      <c r="EA121" s="557"/>
      <c r="EB121" s="557"/>
      <c r="EC121" s="557"/>
      <c r="ED121" s="557"/>
      <c r="EE121" s="557"/>
      <c r="EF121" s="557"/>
      <c r="EG121" s="557"/>
      <c r="EH121" s="557"/>
      <c r="EI121" s="557"/>
      <c r="EJ121" s="557"/>
      <c r="EK121" s="557"/>
      <c r="EL121" s="557"/>
      <c r="EM121" s="557"/>
      <c r="EN121" s="557"/>
      <c r="EO121" s="557"/>
      <c r="EP121" s="557"/>
      <c r="EQ121" s="557"/>
      <c r="ER121" s="557"/>
      <c r="ES121" s="557"/>
      <c r="ET121" s="557"/>
      <c r="EU121" s="557"/>
      <c r="EV121" s="557"/>
      <c r="EW121" s="557"/>
      <c r="EX121" s="557"/>
      <c r="EY121" s="557"/>
      <c r="EZ121" s="123"/>
      <c r="FA121" s="50"/>
      <c r="FB121" s="51"/>
    </row>
    <row r="122" spans="1:158" ht="9" customHeight="1">
      <c r="A122" s="49"/>
      <c r="B122" s="81"/>
      <c r="C122" s="50"/>
      <c r="D122"/>
      <c r="E122" s="555"/>
      <c r="F122" s="555"/>
      <c r="G122" s="555"/>
      <c r="H122" s="555"/>
      <c r="I122" s="555"/>
      <c r="J122" s="555"/>
      <c r="K122" s="555"/>
      <c r="L122" s="555"/>
      <c r="M122" s="555"/>
      <c r="N122" s="555"/>
      <c r="O122" s="555"/>
      <c r="P122" s="555"/>
      <c r="Q122" s="555"/>
      <c r="R122" s="555"/>
      <c r="S122" s="555"/>
      <c r="T122" s="555"/>
      <c r="U122" s="555"/>
      <c r="V122" s="555"/>
      <c r="W122" s="555"/>
      <c r="X122" s="555"/>
      <c r="Y122" s="555"/>
      <c r="Z122" s="555"/>
      <c r="AA122" s="555"/>
      <c r="AB122" s="555"/>
      <c r="AC122" s="555"/>
      <c r="AD122" s="555"/>
      <c r="AE122" s="555"/>
      <c r="AF122" s="555"/>
      <c r="AG122" s="555"/>
      <c r="AH122" s="555"/>
      <c r="AI122" s="555"/>
      <c r="AJ122" s="555"/>
      <c r="AK122" s="555"/>
      <c r="AL122" s="555"/>
      <c r="AM122" s="555"/>
      <c r="AN122" s="555"/>
      <c r="AO122" s="555"/>
      <c r="AP122" s="555"/>
      <c r="AQ122" s="555"/>
      <c r="AR122" s="555"/>
      <c r="AS122" s="555"/>
      <c r="AT122" s="555"/>
      <c r="AU122" s="555"/>
      <c r="AV122" s="555"/>
      <c r="AW122" s="555"/>
      <c r="AX122" s="555"/>
      <c r="AY122" s="555"/>
      <c r="AZ122" s="555"/>
      <c r="BA122" s="555"/>
      <c r="BB122" s="555"/>
      <c r="BC122" s="555"/>
      <c r="BD122" s="555"/>
      <c r="BE122" s="555"/>
      <c r="BF122" s="555"/>
      <c r="BG122" s="555"/>
      <c r="BH122" s="555"/>
      <c r="BI122" s="555"/>
      <c r="BJ122" s="555"/>
      <c r="BK122" s="555"/>
      <c r="BL122" s="555"/>
      <c r="BM122" s="555"/>
      <c r="BN122" s="555"/>
      <c r="BO122" s="555"/>
      <c r="BP122" s="555"/>
      <c r="BQ122" s="555"/>
      <c r="BR122" s="555"/>
      <c r="BS122" s="555"/>
      <c r="BT122" s="555"/>
      <c r="BU122" s="555"/>
      <c r="BV122" s="555"/>
      <c r="BW122" s="555"/>
      <c r="BX122" s="555"/>
      <c r="BY122" s="555"/>
      <c r="BZ122" s="555"/>
      <c r="CA122" s="555"/>
      <c r="CB122" s="555"/>
      <c r="CC122" s="555"/>
      <c r="CD122" s="555"/>
      <c r="CE122" s="555"/>
      <c r="CF122" s="555"/>
      <c r="CG122" s="555"/>
      <c r="CH122" s="555"/>
      <c r="CI122" s="555"/>
      <c r="CJ122" s="555"/>
      <c r="CK122" s="555"/>
      <c r="CL122" s="555"/>
      <c r="CM122" s="555"/>
      <c r="CN122" s="555"/>
      <c r="CO122" s="555"/>
      <c r="CP122" s="555"/>
      <c r="CQ122" s="555"/>
      <c r="CR122" s="555"/>
      <c r="CS122" s="555"/>
      <c r="CT122" s="555"/>
      <c r="CU122" s="555"/>
      <c r="CV122" s="555"/>
      <c r="CW122" s="555"/>
      <c r="CX122" s="555"/>
      <c r="CY122" s="555"/>
      <c r="CZ122" s="555"/>
      <c r="DA122" s="555"/>
      <c r="DB122" s="555"/>
      <c r="DC122" s="555"/>
      <c r="DD122" s="555"/>
      <c r="DE122" s="555"/>
      <c r="DF122" s="555"/>
      <c r="DG122" s="555"/>
      <c r="DH122" s="555"/>
      <c r="DI122" s="555"/>
      <c r="DJ122"/>
      <c r="DK122" s="50"/>
      <c r="DL122" s="81"/>
      <c r="DM122" s="50"/>
      <c r="DN122" s="50"/>
      <c r="DO122" s="122"/>
      <c r="DP122" s="557"/>
      <c r="DQ122" s="557"/>
      <c r="DR122" s="557"/>
      <c r="DS122" s="557"/>
      <c r="DT122" s="557"/>
      <c r="DU122" s="557"/>
      <c r="DV122" s="557"/>
      <c r="DW122" s="557"/>
      <c r="DX122" s="557"/>
      <c r="DY122" s="557"/>
      <c r="DZ122" s="557"/>
      <c r="EA122" s="557"/>
      <c r="EB122" s="557"/>
      <c r="EC122" s="557"/>
      <c r="ED122" s="557"/>
      <c r="EE122" s="557"/>
      <c r="EF122" s="557"/>
      <c r="EG122" s="557"/>
      <c r="EH122" s="557"/>
      <c r="EI122" s="557"/>
      <c r="EJ122" s="557"/>
      <c r="EK122" s="557"/>
      <c r="EL122" s="557"/>
      <c r="EM122" s="557"/>
      <c r="EN122" s="557"/>
      <c r="EO122" s="557"/>
      <c r="EP122" s="557"/>
      <c r="EQ122" s="557"/>
      <c r="ER122" s="557"/>
      <c r="ES122" s="557"/>
      <c r="ET122" s="557"/>
      <c r="EU122" s="557"/>
      <c r="EV122" s="557"/>
      <c r="EW122" s="557"/>
      <c r="EX122" s="557"/>
      <c r="EY122" s="557"/>
      <c r="EZ122" s="123"/>
      <c r="FA122" s="50"/>
      <c r="FB122" s="51"/>
    </row>
    <row r="123" spans="1:158" ht="9" customHeight="1">
      <c r="A123" s="49"/>
      <c r="B123" s="81"/>
      <c r="C123" s="50"/>
      <c r="D123"/>
      <c r="E123" s="555"/>
      <c r="F123" s="555"/>
      <c r="G123" s="555"/>
      <c r="H123" s="555"/>
      <c r="I123" s="555"/>
      <c r="J123" s="555"/>
      <c r="K123" s="555"/>
      <c r="L123" s="555"/>
      <c r="M123" s="555"/>
      <c r="N123" s="555"/>
      <c r="O123" s="555"/>
      <c r="P123" s="555"/>
      <c r="Q123" s="555"/>
      <c r="R123" s="555"/>
      <c r="S123" s="555"/>
      <c r="T123" s="555"/>
      <c r="U123" s="555"/>
      <c r="V123" s="555"/>
      <c r="W123" s="555"/>
      <c r="X123" s="555"/>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c r="AV123" s="555"/>
      <c r="AW123" s="555"/>
      <c r="AX123" s="555"/>
      <c r="AY123" s="555"/>
      <c r="AZ123" s="555"/>
      <c r="BA123" s="555"/>
      <c r="BB123" s="555"/>
      <c r="BC123" s="555"/>
      <c r="BD123" s="555"/>
      <c r="BE123" s="555"/>
      <c r="BF123" s="555"/>
      <c r="BG123" s="555"/>
      <c r="BH123" s="555"/>
      <c r="BI123" s="555"/>
      <c r="BJ123" s="555"/>
      <c r="BK123" s="555"/>
      <c r="BL123" s="555"/>
      <c r="BM123" s="555"/>
      <c r="BN123" s="555"/>
      <c r="BO123" s="555"/>
      <c r="BP123" s="555"/>
      <c r="BQ123" s="555"/>
      <c r="BR123" s="555"/>
      <c r="BS123" s="555"/>
      <c r="BT123" s="555"/>
      <c r="BU123" s="555"/>
      <c r="BV123" s="555"/>
      <c r="BW123" s="555"/>
      <c r="BX123" s="555"/>
      <c r="BY123" s="555"/>
      <c r="BZ123" s="555"/>
      <c r="CA123" s="555"/>
      <c r="CB123" s="555"/>
      <c r="CC123" s="555"/>
      <c r="CD123" s="555"/>
      <c r="CE123" s="555"/>
      <c r="CF123" s="555"/>
      <c r="CG123" s="555"/>
      <c r="CH123" s="555"/>
      <c r="CI123" s="555"/>
      <c r="CJ123" s="555"/>
      <c r="CK123" s="555"/>
      <c r="CL123" s="555"/>
      <c r="CM123" s="555"/>
      <c r="CN123" s="555"/>
      <c r="CO123" s="555"/>
      <c r="CP123" s="555"/>
      <c r="CQ123" s="555"/>
      <c r="CR123" s="555"/>
      <c r="CS123" s="555"/>
      <c r="CT123" s="555"/>
      <c r="CU123" s="555"/>
      <c r="CV123" s="555"/>
      <c r="CW123" s="555"/>
      <c r="CX123" s="555"/>
      <c r="CY123" s="555"/>
      <c r="CZ123" s="555"/>
      <c r="DA123" s="555"/>
      <c r="DB123" s="555"/>
      <c r="DC123" s="555"/>
      <c r="DD123" s="555"/>
      <c r="DE123" s="555"/>
      <c r="DF123" s="555"/>
      <c r="DG123" s="555"/>
      <c r="DH123" s="555"/>
      <c r="DI123" s="555"/>
      <c r="DJ123"/>
      <c r="DK123" s="50"/>
      <c r="DL123" s="81"/>
      <c r="DM123" s="50"/>
      <c r="DN123" s="50"/>
      <c r="DO123" s="122"/>
      <c r="DP123" s="557"/>
      <c r="DQ123" s="557"/>
      <c r="DR123" s="557"/>
      <c r="DS123" s="557"/>
      <c r="DT123" s="557"/>
      <c r="DU123" s="557"/>
      <c r="DV123" s="557"/>
      <c r="DW123" s="557"/>
      <c r="DX123" s="557"/>
      <c r="DY123" s="557"/>
      <c r="DZ123" s="557"/>
      <c r="EA123" s="557"/>
      <c r="EB123" s="557"/>
      <c r="EC123" s="557"/>
      <c r="ED123" s="557"/>
      <c r="EE123" s="557"/>
      <c r="EF123" s="557"/>
      <c r="EG123" s="557"/>
      <c r="EH123" s="557"/>
      <c r="EI123" s="557"/>
      <c r="EJ123" s="557"/>
      <c r="EK123" s="557"/>
      <c r="EL123" s="557"/>
      <c r="EM123" s="557"/>
      <c r="EN123" s="557"/>
      <c r="EO123" s="557"/>
      <c r="EP123" s="557"/>
      <c r="EQ123" s="557"/>
      <c r="ER123" s="557"/>
      <c r="ES123" s="557"/>
      <c r="ET123" s="557"/>
      <c r="EU123" s="557"/>
      <c r="EV123" s="557"/>
      <c r="EW123" s="557"/>
      <c r="EX123" s="557"/>
      <c r="EY123" s="557"/>
      <c r="EZ123" s="123"/>
      <c r="FA123" s="50"/>
      <c r="FB123" s="51"/>
    </row>
    <row r="124" spans="1:158" ht="9" customHeight="1">
      <c r="A124" s="49"/>
      <c r="B124" s="81"/>
      <c r="C124" s="50"/>
      <c r="D124"/>
      <c r="E124" s="555"/>
      <c r="F124" s="555"/>
      <c r="G124" s="555"/>
      <c r="H124" s="555"/>
      <c r="I124" s="555"/>
      <c r="J124" s="555"/>
      <c r="K124" s="555"/>
      <c r="L124" s="555"/>
      <c r="M124" s="555"/>
      <c r="N124" s="555"/>
      <c r="O124" s="555"/>
      <c r="P124" s="555"/>
      <c r="Q124" s="555"/>
      <c r="R124" s="555"/>
      <c r="S124" s="555"/>
      <c r="T124" s="555"/>
      <c r="U124" s="555"/>
      <c r="V124" s="555"/>
      <c r="W124" s="555"/>
      <c r="X124" s="555"/>
      <c r="Y124" s="555"/>
      <c r="Z124" s="555"/>
      <c r="AA124" s="555"/>
      <c r="AB124" s="555"/>
      <c r="AC124" s="555"/>
      <c r="AD124" s="555"/>
      <c r="AE124" s="555"/>
      <c r="AF124" s="555"/>
      <c r="AG124" s="555"/>
      <c r="AH124" s="555"/>
      <c r="AI124" s="555"/>
      <c r="AJ124" s="555"/>
      <c r="AK124" s="555"/>
      <c r="AL124" s="555"/>
      <c r="AM124" s="555"/>
      <c r="AN124" s="555"/>
      <c r="AO124" s="555"/>
      <c r="AP124" s="555"/>
      <c r="AQ124" s="555"/>
      <c r="AR124" s="555"/>
      <c r="AS124" s="555"/>
      <c r="AT124" s="555"/>
      <c r="AU124" s="555"/>
      <c r="AV124" s="555"/>
      <c r="AW124" s="555"/>
      <c r="AX124" s="555"/>
      <c r="AY124" s="555"/>
      <c r="AZ124" s="555"/>
      <c r="BA124" s="555"/>
      <c r="BB124" s="555"/>
      <c r="BC124" s="555"/>
      <c r="BD124" s="555"/>
      <c r="BE124" s="555"/>
      <c r="BF124" s="555"/>
      <c r="BG124" s="555"/>
      <c r="BH124" s="555"/>
      <c r="BI124" s="555"/>
      <c r="BJ124" s="555"/>
      <c r="BK124" s="555"/>
      <c r="BL124" s="555"/>
      <c r="BM124" s="555"/>
      <c r="BN124" s="555"/>
      <c r="BO124" s="555"/>
      <c r="BP124" s="555"/>
      <c r="BQ124" s="555"/>
      <c r="BR124" s="555"/>
      <c r="BS124" s="555"/>
      <c r="BT124" s="555"/>
      <c r="BU124" s="555"/>
      <c r="BV124" s="555"/>
      <c r="BW124" s="555"/>
      <c r="BX124" s="555"/>
      <c r="BY124" s="555"/>
      <c r="BZ124" s="555"/>
      <c r="CA124" s="555"/>
      <c r="CB124" s="555"/>
      <c r="CC124" s="555"/>
      <c r="CD124" s="555"/>
      <c r="CE124" s="555"/>
      <c r="CF124" s="555"/>
      <c r="CG124" s="555"/>
      <c r="CH124" s="555"/>
      <c r="CI124" s="555"/>
      <c r="CJ124" s="555"/>
      <c r="CK124" s="555"/>
      <c r="CL124" s="555"/>
      <c r="CM124" s="555"/>
      <c r="CN124" s="555"/>
      <c r="CO124" s="555"/>
      <c r="CP124" s="555"/>
      <c r="CQ124" s="555"/>
      <c r="CR124" s="555"/>
      <c r="CS124" s="555"/>
      <c r="CT124" s="555"/>
      <c r="CU124" s="555"/>
      <c r="CV124" s="555"/>
      <c r="CW124" s="555"/>
      <c r="CX124" s="555"/>
      <c r="CY124" s="555"/>
      <c r="CZ124" s="555"/>
      <c r="DA124" s="555"/>
      <c r="DB124" s="555"/>
      <c r="DC124" s="555"/>
      <c r="DD124" s="555"/>
      <c r="DE124" s="555"/>
      <c r="DF124" s="555"/>
      <c r="DG124" s="555"/>
      <c r="DH124" s="555"/>
      <c r="DI124" s="555"/>
      <c r="DJ124"/>
      <c r="DK124" s="50"/>
      <c r="DL124" s="81"/>
      <c r="DM124" s="50"/>
      <c r="DN124" s="50"/>
      <c r="DO124" s="122"/>
      <c r="DP124" s="557"/>
      <c r="DQ124" s="557"/>
      <c r="DR124" s="557"/>
      <c r="DS124" s="557"/>
      <c r="DT124" s="557"/>
      <c r="DU124" s="557"/>
      <c r="DV124" s="557"/>
      <c r="DW124" s="557"/>
      <c r="DX124" s="557"/>
      <c r="DY124" s="557"/>
      <c r="DZ124" s="557"/>
      <c r="EA124" s="557"/>
      <c r="EB124" s="557"/>
      <c r="EC124" s="557"/>
      <c r="ED124" s="557"/>
      <c r="EE124" s="557"/>
      <c r="EF124" s="557"/>
      <c r="EG124" s="557"/>
      <c r="EH124" s="557"/>
      <c r="EI124" s="557"/>
      <c r="EJ124" s="557"/>
      <c r="EK124" s="557"/>
      <c r="EL124" s="557"/>
      <c r="EM124" s="557"/>
      <c r="EN124" s="557"/>
      <c r="EO124" s="557"/>
      <c r="EP124" s="557"/>
      <c r="EQ124" s="557"/>
      <c r="ER124" s="557"/>
      <c r="ES124" s="557"/>
      <c r="ET124" s="557"/>
      <c r="EU124" s="557"/>
      <c r="EV124" s="557"/>
      <c r="EW124" s="557"/>
      <c r="EX124" s="557"/>
      <c r="EY124" s="557"/>
      <c r="EZ124" s="123"/>
      <c r="FA124" s="50"/>
      <c r="FB124" s="51"/>
    </row>
    <row r="125" spans="1:158" ht="9" customHeight="1">
      <c r="A125" s="49"/>
      <c r="B125" s="81"/>
      <c r="C125" s="50"/>
      <c r="D125"/>
      <c r="E125" s="555"/>
      <c r="F125" s="555"/>
      <c r="G125" s="555"/>
      <c r="H125" s="555"/>
      <c r="I125" s="555"/>
      <c r="J125" s="555"/>
      <c r="K125" s="555"/>
      <c r="L125" s="555"/>
      <c r="M125" s="555"/>
      <c r="N125" s="555"/>
      <c r="O125" s="555"/>
      <c r="P125" s="555"/>
      <c r="Q125" s="555"/>
      <c r="R125" s="555"/>
      <c r="S125" s="555"/>
      <c r="T125" s="555"/>
      <c r="U125" s="555"/>
      <c r="V125" s="555"/>
      <c r="W125" s="555"/>
      <c r="X125" s="555"/>
      <c r="Y125" s="555"/>
      <c r="Z125" s="555"/>
      <c r="AA125" s="555"/>
      <c r="AB125" s="555"/>
      <c r="AC125" s="555"/>
      <c r="AD125" s="555"/>
      <c r="AE125" s="555"/>
      <c r="AF125" s="555"/>
      <c r="AG125" s="555"/>
      <c r="AH125" s="555"/>
      <c r="AI125" s="555"/>
      <c r="AJ125" s="555"/>
      <c r="AK125" s="555"/>
      <c r="AL125" s="555"/>
      <c r="AM125" s="555"/>
      <c r="AN125" s="555"/>
      <c r="AO125" s="555"/>
      <c r="AP125" s="555"/>
      <c r="AQ125" s="555"/>
      <c r="AR125" s="555"/>
      <c r="AS125" s="555"/>
      <c r="AT125" s="555"/>
      <c r="AU125" s="555"/>
      <c r="AV125" s="555"/>
      <c r="AW125" s="555"/>
      <c r="AX125" s="555"/>
      <c r="AY125" s="555"/>
      <c r="AZ125" s="555"/>
      <c r="BA125" s="555"/>
      <c r="BB125" s="555"/>
      <c r="BC125" s="555"/>
      <c r="BD125" s="555"/>
      <c r="BE125" s="555"/>
      <c r="BF125" s="555"/>
      <c r="BG125" s="555"/>
      <c r="BH125" s="555"/>
      <c r="BI125" s="555"/>
      <c r="BJ125" s="555"/>
      <c r="BK125" s="555"/>
      <c r="BL125" s="555"/>
      <c r="BM125" s="555"/>
      <c r="BN125" s="555"/>
      <c r="BO125" s="555"/>
      <c r="BP125" s="555"/>
      <c r="BQ125" s="555"/>
      <c r="BR125" s="555"/>
      <c r="BS125" s="555"/>
      <c r="BT125" s="555"/>
      <c r="BU125" s="555"/>
      <c r="BV125" s="555"/>
      <c r="BW125" s="555"/>
      <c r="BX125" s="555"/>
      <c r="BY125" s="555"/>
      <c r="BZ125" s="555"/>
      <c r="CA125" s="555"/>
      <c r="CB125" s="555"/>
      <c r="CC125" s="555"/>
      <c r="CD125" s="555"/>
      <c r="CE125" s="555"/>
      <c r="CF125" s="555"/>
      <c r="CG125" s="555"/>
      <c r="CH125" s="555"/>
      <c r="CI125" s="555"/>
      <c r="CJ125" s="555"/>
      <c r="CK125" s="555"/>
      <c r="CL125" s="555"/>
      <c r="CM125" s="555"/>
      <c r="CN125" s="555"/>
      <c r="CO125" s="555"/>
      <c r="CP125" s="555"/>
      <c r="CQ125" s="555"/>
      <c r="CR125" s="555"/>
      <c r="CS125" s="555"/>
      <c r="CT125" s="555"/>
      <c r="CU125" s="555"/>
      <c r="CV125" s="555"/>
      <c r="CW125" s="555"/>
      <c r="CX125" s="555"/>
      <c r="CY125" s="555"/>
      <c r="CZ125" s="555"/>
      <c r="DA125" s="555"/>
      <c r="DB125" s="555"/>
      <c r="DC125" s="555"/>
      <c r="DD125" s="555"/>
      <c r="DE125" s="555"/>
      <c r="DF125" s="555"/>
      <c r="DG125" s="555"/>
      <c r="DH125" s="555"/>
      <c r="DI125" s="555"/>
      <c r="DJ125" s="50"/>
      <c r="DK125" s="50"/>
      <c r="DL125" s="81"/>
      <c r="DM125" s="50"/>
      <c r="DN125" s="50"/>
      <c r="DO125" s="122"/>
      <c r="DP125" s="557"/>
      <c r="DQ125" s="557"/>
      <c r="DR125" s="557"/>
      <c r="DS125" s="557"/>
      <c r="DT125" s="557"/>
      <c r="DU125" s="557"/>
      <c r="DV125" s="557"/>
      <c r="DW125" s="557"/>
      <c r="DX125" s="557"/>
      <c r="DY125" s="557"/>
      <c r="DZ125" s="557"/>
      <c r="EA125" s="557"/>
      <c r="EB125" s="557"/>
      <c r="EC125" s="557"/>
      <c r="ED125" s="557"/>
      <c r="EE125" s="557"/>
      <c r="EF125" s="557"/>
      <c r="EG125" s="557"/>
      <c r="EH125" s="557"/>
      <c r="EI125" s="557"/>
      <c r="EJ125" s="557"/>
      <c r="EK125" s="557"/>
      <c r="EL125" s="557"/>
      <c r="EM125" s="557"/>
      <c r="EN125" s="557"/>
      <c r="EO125" s="557"/>
      <c r="EP125" s="557"/>
      <c r="EQ125" s="557"/>
      <c r="ER125" s="557"/>
      <c r="ES125" s="557"/>
      <c r="ET125" s="557"/>
      <c r="EU125" s="557"/>
      <c r="EV125" s="557"/>
      <c r="EW125" s="557"/>
      <c r="EX125" s="557"/>
      <c r="EY125" s="557"/>
      <c r="EZ125" s="123"/>
      <c r="FA125" s="50"/>
      <c r="FB125" s="51"/>
    </row>
    <row r="126" spans="1:158" ht="9" customHeight="1">
      <c r="A126" s="49"/>
      <c r="B126" s="81"/>
      <c r="C126" s="50"/>
      <c r="D126"/>
      <c r="E126" s="555"/>
      <c r="F126" s="555"/>
      <c r="G126" s="555"/>
      <c r="H126" s="555"/>
      <c r="I126" s="555"/>
      <c r="J126" s="555"/>
      <c r="K126" s="555"/>
      <c r="L126" s="555"/>
      <c r="M126" s="555"/>
      <c r="N126" s="555"/>
      <c r="O126" s="555"/>
      <c r="P126" s="555"/>
      <c r="Q126" s="555"/>
      <c r="R126" s="555"/>
      <c r="S126" s="555"/>
      <c r="T126" s="555"/>
      <c r="U126" s="555"/>
      <c r="V126" s="555"/>
      <c r="W126" s="555"/>
      <c r="X126" s="555"/>
      <c r="Y126" s="555"/>
      <c r="Z126" s="555"/>
      <c r="AA126" s="555"/>
      <c r="AB126" s="555"/>
      <c r="AC126" s="555"/>
      <c r="AD126" s="555"/>
      <c r="AE126" s="555"/>
      <c r="AF126" s="555"/>
      <c r="AG126" s="555"/>
      <c r="AH126" s="555"/>
      <c r="AI126" s="555"/>
      <c r="AJ126" s="555"/>
      <c r="AK126" s="555"/>
      <c r="AL126" s="555"/>
      <c r="AM126" s="555"/>
      <c r="AN126" s="555"/>
      <c r="AO126" s="555"/>
      <c r="AP126" s="555"/>
      <c r="AQ126" s="555"/>
      <c r="AR126" s="555"/>
      <c r="AS126" s="555"/>
      <c r="AT126" s="555"/>
      <c r="AU126" s="555"/>
      <c r="AV126" s="555"/>
      <c r="AW126" s="555"/>
      <c r="AX126" s="555"/>
      <c r="AY126" s="555"/>
      <c r="AZ126" s="555"/>
      <c r="BA126" s="555"/>
      <c r="BB126" s="555"/>
      <c r="BC126" s="555"/>
      <c r="BD126" s="555"/>
      <c r="BE126" s="555"/>
      <c r="BF126" s="555"/>
      <c r="BG126" s="555"/>
      <c r="BH126" s="555"/>
      <c r="BI126" s="555"/>
      <c r="BJ126" s="555"/>
      <c r="BK126" s="555"/>
      <c r="BL126" s="555"/>
      <c r="BM126" s="555"/>
      <c r="BN126" s="555"/>
      <c r="BO126" s="555"/>
      <c r="BP126" s="555"/>
      <c r="BQ126" s="555"/>
      <c r="BR126" s="555"/>
      <c r="BS126" s="555"/>
      <c r="BT126" s="555"/>
      <c r="BU126" s="555"/>
      <c r="BV126" s="555"/>
      <c r="BW126" s="555"/>
      <c r="BX126" s="555"/>
      <c r="BY126" s="555"/>
      <c r="BZ126" s="555"/>
      <c r="CA126" s="555"/>
      <c r="CB126" s="555"/>
      <c r="CC126" s="555"/>
      <c r="CD126" s="555"/>
      <c r="CE126" s="555"/>
      <c r="CF126" s="555"/>
      <c r="CG126" s="555"/>
      <c r="CH126" s="555"/>
      <c r="CI126" s="555"/>
      <c r="CJ126" s="555"/>
      <c r="CK126" s="555"/>
      <c r="CL126" s="555"/>
      <c r="CM126" s="555"/>
      <c r="CN126" s="555"/>
      <c r="CO126" s="555"/>
      <c r="CP126" s="555"/>
      <c r="CQ126" s="555"/>
      <c r="CR126" s="555"/>
      <c r="CS126" s="555"/>
      <c r="CT126" s="555"/>
      <c r="CU126" s="555"/>
      <c r="CV126" s="555"/>
      <c r="CW126" s="555"/>
      <c r="CX126" s="555"/>
      <c r="CY126" s="555"/>
      <c r="CZ126" s="555"/>
      <c r="DA126" s="555"/>
      <c r="DB126" s="555"/>
      <c r="DC126" s="555"/>
      <c r="DD126" s="555"/>
      <c r="DE126" s="555"/>
      <c r="DF126" s="555"/>
      <c r="DG126" s="555"/>
      <c r="DH126" s="555"/>
      <c r="DI126" s="555"/>
      <c r="DJ126" s="50"/>
      <c r="DK126" s="50"/>
      <c r="DL126" s="81"/>
      <c r="DM126" s="50"/>
      <c r="DN126" s="50"/>
      <c r="DO126" s="122"/>
      <c r="DP126" s="557"/>
      <c r="DQ126" s="557"/>
      <c r="DR126" s="557"/>
      <c r="DS126" s="557"/>
      <c r="DT126" s="557"/>
      <c r="DU126" s="557"/>
      <c r="DV126" s="557"/>
      <c r="DW126" s="557"/>
      <c r="DX126" s="557"/>
      <c r="DY126" s="557"/>
      <c r="DZ126" s="557"/>
      <c r="EA126" s="557"/>
      <c r="EB126" s="557"/>
      <c r="EC126" s="557"/>
      <c r="ED126" s="557"/>
      <c r="EE126" s="557"/>
      <c r="EF126" s="557"/>
      <c r="EG126" s="557"/>
      <c r="EH126" s="557"/>
      <c r="EI126" s="557"/>
      <c r="EJ126" s="557"/>
      <c r="EK126" s="557"/>
      <c r="EL126" s="557"/>
      <c r="EM126" s="557"/>
      <c r="EN126" s="557"/>
      <c r="EO126" s="557"/>
      <c r="EP126" s="557"/>
      <c r="EQ126" s="557"/>
      <c r="ER126" s="557"/>
      <c r="ES126" s="557"/>
      <c r="ET126" s="557"/>
      <c r="EU126" s="557"/>
      <c r="EV126" s="557"/>
      <c r="EW126" s="557"/>
      <c r="EX126" s="557"/>
      <c r="EY126" s="557"/>
      <c r="EZ126" s="123"/>
      <c r="FA126" s="50"/>
      <c r="FB126" s="51"/>
    </row>
    <row r="127" spans="1:158" ht="9" customHeight="1">
      <c r="A127" s="49"/>
      <c r="B127" s="81"/>
      <c r="C127" s="50"/>
      <c r="D127" s="50"/>
      <c r="E127" s="555"/>
      <c r="F127" s="555"/>
      <c r="G127" s="555"/>
      <c r="H127" s="555"/>
      <c r="I127" s="555"/>
      <c r="J127" s="555"/>
      <c r="K127" s="555"/>
      <c r="L127" s="555"/>
      <c r="M127" s="555"/>
      <c r="N127" s="555"/>
      <c r="O127" s="555"/>
      <c r="P127" s="555"/>
      <c r="Q127" s="555"/>
      <c r="R127" s="555"/>
      <c r="S127" s="555"/>
      <c r="T127" s="555"/>
      <c r="U127" s="555"/>
      <c r="V127" s="555"/>
      <c r="W127" s="555"/>
      <c r="X127" s="555"/>
      <c r="Y127" s="555"/>
      <c r="Z127" s="555"/>
      <c r="AA127" s="555"/>
      <c r="AB127" s="555"/>
      <c r="AC127" s="555"/>
      <c r="AD127" s="555"/>
      <c r="AE127" s="555"/>
      <c r="AF127" s="555"/>
      <c r="AG127" s="555"/>
      <c r="AH127" s="555"/>
      <c r="AI127" s="555"/>
      <c r="AJ127" s="555"/>
      <c r="AK127" s="555"/>
      <c r="AL127" s="555"/>
      <c r="AM127" s="555"/>
      <c r="AN127" s="555"/>
      <c r="AO127" s="555"/>
      <c r="AP127" s="555"/>
      <c r="AQ127" s="555"/>
      <c r="AR127" s="555"/>
      <c r="AS127" s="555"/>
      <c r="AT127" s="555"/>
      <c r="AU127" s="555"/>
      <c r="AV127" s="555"/>
      <c r="AW127" s="555"/>
      <c r="AX127" s="555"/>
      <c r="AY127" s="555"/>
      <c r="AZ127" s="555"/>
      <c r="BA127" s="555"/>
      <c r="BB127" s="555"/>
      <c r="BC127" s="555"/>
      <c r="BD127" s="555"/>
      <c r="BE127" s="555"/>
      <c r="BF127" s="555"/>
      <c r="BG127" s="555"/>
      <c r="BH127" s="555"/>
      <c r="BI127" s="555"/>
      <c r="BJ127" s="555"/>
      <c r="BK127" s="555"/>
      <c r="BL127" s="555"/>
      <c r="BM127" s="555"/>
      <c r="BN127" s="555"/>
      <c r="BO127" s="555"/>
      <c r="BP127" s="555"/>
      <c r="BQ127" s="555"/>
      <c r="BR127" s="555"/>
      <c r="BS127" s="555"/>
      <c r="BT127" s="555"/>
      <c r="BU127" s="555"/>
      <c r="BV127" s="555"/>
      <c r="BW127" s="555"/>
      <c r="BX127" s="555"/>
      <c r="BY127" s="555"/>
      <c r="BZ127" s="555"/>
      <c r="CA127" s="555"/>
      <c r="CB127" s="555"/>
      <c r="CC127" s="555"/>
      <c r="CD127" s="555"/>
      <c r="CE127" s="555"/>
      <c r="CF127" s="555"/>
      <c r="CG127" s="555"/>
      <c r="CH127" s="555"/>
      <c r="CI127" s="555"/>
      <c r="CJ127" s="555"/>
      <c r="CK127" s="555"/>
      <c r="CL127" s="555"/>
      <c r="CM127" s="555"/>
      <c r="CN127" s="555"/>
      <c r="CO127" s="555"/>
      <c r="CP127" s="555"/>
      <c r="CQ127" s="555"/>
      <c r="CR127" s="555"/>
      <c r="CS127" s="555"/>
      <c r="CT127" s="555"/>
      <c r="CU127" s="555"/>
      <c r="CV127" s="555"/>
      <c r="CW127" s="555"/>
      <c r="CX127" s="555"/>
      <c r="CY127" s="555"/>
      <c r="CZ127" s="555"/>
      <c r="DA127" s="555"/>
      <c r="DB127" s="555"/>
      <c r="DC127" s="555"/>
      <c r="DD127" s="555"/>
      <c r="DE127" s="555"/>
      <c r="DF127" s="555"/>
      <c r="DG127" s="555"/>
      <c r="DH127" s="555"/>
      <c r="DI127" s="555"/>
      <c r="DJ127" s="50"/>
      <c r="DK127" s="50"/>
      <c r="DL127" s="81"/>
      <c r="DM127" s="50"/>
      <c r="DN127" s="50"/>
      <c r="DO127" s="122"/>
      <c r="DP127" s="557"/>
      <c r="DQ127" s="557"/>
      <c r="DR127" s="557"/>
      <c r="DS127" s="557"/>
      <c r="DT127" s="557"/>
      <c r="DU127" s="557"/>
      <c r="DV127" s="557"/>
      <c r="DW127" s="557"/>
      <c r="DX127" s="557"/>
      <c r="DY127" s="557"/>
      <c r="DZ127" s="557"/>
      <c r="EA127" s="557"/>
      <c r="EB127" s="557"/>
      <c r="EC127" s="557"/>
      <c r="ED127" s="557"/>
      <c r="EE127" s="557"/>
      <c r="EF127" s="557"/>
      <c r="EG127" s="557"/>
      <c r="EH127" s="557"/>
      <c r="EI127" s="557"/>
      <c r="EJ127" s="557"/>
      <c r="EK127" s="557"/>
      <c r="EL127" s="557"/>
      <c r="EM127" s="557"/>
      <c r="EN127" s="557"/>
      <c r="EO127" s="557"/>
      <c r="EP127" s="557"/>
      <c r="EQ127" s="557"/>
      <c r="ER127" s="557"/>
      <c r="ES127" s="557"/>
      <c r="ET127" s="557"/>
      <c r="EU127" s="557"/>
      <c r="EV127" s="557"/>
      <c r="EW127" s="557"/>
      <c r="EX127" s="557"/>
      <c r="EY127" s="557"/>
      <c r="EZ127" s="123"/>
      <c r="FA127" s="50"/>
      <c r="FB127" s="51"/>
    </row>
    <row r="128" spans="1:158" ht="9" customHeight="1">
      <c r="A128" s="49"/>
      <c r="B128" s="81"/>
      <c r="C128" s="50"/>
      <c r="D128" s="50"/>
      <c r="E128" s="555"/>
      <c r="F128" s="555"/>
      <c r="G128" s="555"/>
      <c r="H128" s="555"/>
      <c r="I128" s="555"/>
      <c r="J128" s="555"/>
      <c r="K128" s="555"/>
      <c r="L128" s="555"/>
      <c r="M128" s="555"/>
      <c r="N128" s="555"/>
      <c r="O128" s="555"/>
      <c r="P128" s="555"/>
      <c r="Q128" s="555"/>
      <c r="R128" s="555"/>
      <c r="S128" s="555"/>
      <c r="T128" s="555"/>
      <c r="U128" s="555"/>
      <c r="V128" s="555"/>
      <c r="W128" s="555"/>
      <c r="X128" s="555"/>
      <c r="Y128" s="555"/>
      <c r="Z128" s="555"/>
      <c r="AA128" s="555"/>
      <c r="AB128" s="555"/>
      <c r="AC128" s="555"/>
      <c r="AD128" s="555"/>
      <c r="AE128" s="555"/>
      <c r="AF128" s="555"/>
      <c r="AG128" s="555"/>
      <c r="AH128" s="555"/>
      <c r="AI128" s="555"/>
      <c r="AJ128" s="555"/>
      <c r="AK128" s="555"/>
      <c r="AL128" s="555"/>
      <c r="AM128" s="555"/>
      <c r="AN128" s="555"/>
      <c r="AO128" s="555"/>
      <c r="AP128" s="555"/>
      <c r="AQ128" s="555"/>
      <c r="AR128" s="555"/>
      <c r="AS128" s="555"/>
      <c r="AT128" s="555"/>
      <c r="AU128" s="555"/>
      <c r="AV128" s="555"/>
      <c r="AW128" s="555"/>
      <c r="AX128" s="555"/>
      <c r="AY128" s="555"/>
      <c r="AZ128" s="555"/>
      <c r="BA128" s="555"/>
      <c r="BB128" s="555"/>
      <c r="BC128" s="555"/>
      <c r="BD128" s="555"/>
      <c r="BE128" s="555"/>
      <c r="BF128" s="555"/>
      <c r="BG128" s="555"/>
      <c r="BH128" s="555"/>
      <c r="BI128" s="555"/>
      <c r="BJ128" s="555"/>
      <c r="BK128" s="555"/>
      <c r="BL128" s="555"/>
      <c r="BM128" s="555"/>
      <c r="BN128" s="555"/>
      <c r="BO128" s="555"/>
      <c r="BP128" s="555"/>
      <c r="BQ128" s="555"/>
      <c r="BR128" s="555"/>
      <c r="BS128" s="555"/>
      <c r="BT128" s="555"/>
      <c r="BU128" s="555"/>
      <c r="BV128" s="555"/>
      <c r="BW128" s="555"/>
      <c r="BX128" s="555"/>
      <c r="BY128" s="555"/>
      <c r="BZ128" s="555"/>
      <c r="CA128" s="555"/>
      <c r="CB128" s="555"/>
      <c r="CC128" s="555"/>
      <c r="CD128" s="555"/>
      <c r="CE128" s="555"/>
      <c r="CF128" s="555"/>
      <c r="CG128" s="555"/>
      <c r="CH128" s="555"/>
      <c r="CI128" s="555"/>
      <c r="CJ128" s="555"/>
      <c r="CK128" s="555"/>
      <c r="CL128" s="555"/>
      <c r="CM128" s="555"/>
      <c r="CN128" s="555"/>
      <c r="CO128" s="555"/>
      <c r="CP128" s="555"/>
      <c r="CQ128" s="555"/>
      <c r="CR128" s="555"/>
      <c r="CS128" s="555"/>
      <c r="CT128" s="555"/>
      <c r="CU128" s="555"/>
      <c r="CV128" s="555"/>
      <c r="CW128" s="555"/>
      <c r="CX128" s="555"/>
      <c r="CY128" s="555"/>
      <c r="CZ128" s="555"/>
      <c r="DA128" s="555"/>
      <c r="DB128" s="555"/>
      <c r="DC128" s="555"/>
      <c r="DD128" s="555"/>
      <c r="DE128" s="555"/>
      <c r="DF128" s="555"/>
      <c r="DG128" s="555"/>
      <c r="DH128" s="555"/>
      <c r="DI128" s="555"/>
      <c r="DJ128" s="50"/>
      <c r="DK128" s="50"/>
      <c r="DL128" s="81"/>
      <c r="DM128" s="50"/>
      <c r="DN128" s="50"/>
      <c r="DO128" s="122"/>
      <c r="DP128" s="557"/>
      <c r="DQ128" s="557"/>
      <c r="DR128" s="557"/>
      <c r="DS128" s="557"/>
      <c r="DT128" s="557"/>
      <c r="DU128" s="557"/>
      <c r="DV128" s="557"/>
      <c r="DW128" s="557"/>
      <c r="DX128" s="557"/>
      <c r="DY128" s="557"/>
      <c r="DZ128" s="557"/>
      <c r="EA128" s="557"/>
      <c r="EB128" s="557"/>
      <c r="EC128" s="557"/>
      <c r="ED128" s="557"/>
      <c r="EE128" s="557"/>
      <c r="EF128" s="557"/>
      <c r="EG128" s="557"/>
      <c r="EH128" s="557"/>
      <c r="EI128" s="557"/>
      <c r="EJ128" s="557"/>
      <c r="EK128" s="557"/>
      <c r="EL128" s="557"/>
      <c r="EM128" s="557"/>
      <c r="EN128" s="557"/>
      <c r="EO128" s="557"/>
      <c r="EP128" s="557"/>
      <c r="EQ128" s="557"/>
      <c r="ER128" s="557"/>
      <c r="ES128" s="557"/>
      <c r="ET128" s="557"/>
      <c r="EU128" s="557"/>
      <c r="EV128" s="557"/>
      <c r="EW128" s="557"/>
      <c r="EX128" s="557"/>
      <c r="EY128" s="557"/>
      <c r="EZ128" s="123"/>
      <c r="FA128" s="50"/>
      <c r="FB128" s="51"/>
    </row>
    <row r="129" spans="1:158" ht="9" customHeight="1">
      <c r="A129" s="49"/>
      <c r="B129" s="81"/>
      <c r="C129" s="50"/>
      <c r="D129" s="50"/>
      <c r="E129" s="555"/>
      <c r="F129" s="555"/>
      <c r="G129" s="555"/>
      <c r="H129" s="555"/>
      <c r="I129" s="555"/>
      <c r="J129" s="555"/>
      <c r="K129" s="555"/>
      <c r="L129" s="555"/>
      <c r="M129" s="555"/>
      <c r="N129" s="555"/>
      <c r="O129" s="555"/>
      <c r="P129" s="555"/>
      <c r="Q129" s="555"/>
      <c r="R129" s="555"/>
      <c r="S129" s="555"/>
      <c r="T129" s="555"/>
      <c r="U129" s="555"/>
      <c r="V129" s="555"/>
      <c r="W129" s="555"/>
      <c r="X129" s="555"/>
      <c r="Y129" s="555"/>
      <c r="Z129" s="555"/>
      <c r="AA129" s="555"/>
      <c r="AB129" s="555"/>
      <c r="AC129" s="555"/>
      <c r="AD129" s="555"/>
      <c r="AE129" s="555"/>
      <c r="AF129" s="555"/>
      <c r="AG129" s="555"/>
      <c r="AH129" s="555"/>
      <c r="AI129" s="555"/>
      <c r="AJ129" s="555"/>
      <c r="AK129" s="555"/>
      <c r="AL129" s="555"/>
      <c r="AM129" s="555"/>
      <c r="AN129" s="555"/>
      <c r="AO129" s="555"/>
      <c r="AP129" s="555"/>
      <c r="AQ129" s="555"/>
      <c r="AR129" s="555"/>
      <c r="AS129" s="555"/>
      <c r="AT129" s="555"/>
      <c r="AU129" s="555"/>
      <c r="AV129" s="555"/>
      <c r="AW129" s="555"/>
      <c r="AX129" s="555"/>
      <c r="AY129" s="555"/>
      <c r="AZ129" s="555"/>
      <c r="BA129" s="555"/>
      <c r="BB129" s="555"/>
      <c r="BC129" s="555"/>
      <c r="BD129" s="555"/>
      <c r="BE129" s="555"/>
      <c r="BF129" s="555"/>
      <c r="BG129" s="555"/>
      <c r="BH129" s="555"/>
      <c r="BI129" s="555"/>
      <c r="BJ129" s="555"/>
      <c r="BK129" s="555"/>
      <c r="BL129" s="555"/>
      <c r="BM129" s="555"/>
      <c r="BN129" s="555"/>
      <c r="BO129" s="555"/>
      <c r="BP129" s="555"/>
      <c r="BQ129" s="555"/>
      <c r="BR129" s="555"/>
      <c r="BS129" s="555"/>
      <c r="BT129" s="555"/>
      <c r="BU129" s="555"/>
      <c r="BV129" s="555"/>
      <c r="BW129" s="555"/>
      <c r="BX129" s="555"/>
      <c r="BY129" s="555"/>
      <c r="BZ129" s="555"/>
      <c r="CA129" s="555"/>
      <c r="CB129" s="555"/>
      <c r="CC129" s="555"/>
      <c r="CD129" s="555"/>
      <c r="CE129" s="555"/>
      <c r="CF129" s="555"/>
      <c r="CG129" s="555"/>
      <c r="CH129" s="555"/>
      <c r="CI129" s="555"/>
      <c r="CJ129" s="555"/>
      <c r="CK129" s="555"/>
      <c r="CL129" s="555"/>
      <c r="CM129" s="555"/>
      <c r="CN129" s="555"/>
      <c r="CO129" s="555"/>
      <c r="CP129" s="555"/>
      <c r="CQ129" s="555"/>
      <c r="CR129" s="555"/>
      <c r="CS129" s="555"/>
      <c r="CT129" s="555"/>
      <c r="CU129" s="555"/>
      <c r="CV129" s="555"/>
      <c r="CW129" s="555"/>
      <c r="CX129" s="555"/>
      <c r="CY129" s="555"/>
      <c r="CZ129" s="555"/>
      <c r="DA129" s="555"/>
      <c r="DB129" s="555"/>
      <c r="DC129" s="555"/>
      <c r="DD129" s="555"/>
      <c r="DE129" s="555"/>
      <c r="DF129" s="555"/>
      <c r="DG129" s="555"/>
      <c r="DH129" s="555"/>
      <c r="DI129" s="555"/>
      <c r="DJ129" s="50"/>
      <c r="DK129" s="50"/>
      <c r="DL129" s="81"/>
      <c r="DM129" s="50"/>
      <c r="DN129" s="50"/>
      <c r="DO129" s="122"/>
      <c r="DP129" s="557"/>
      <c r="DQ129" s="557"/>
      <c r="DR129" s="557"/>
      <c r="DS129" s="557"/>
      <c r="DT129" s="557"/>
      <c r="DU129" s="557"/>
      <c r="DV129" s="557"/>
      <c r="DW129" s="557"/>
      <c r="DX129" s="557"/>
      <c r="DY129" s="557"/>
      <c r="DZ129" s="557"/>
      <c r="EA129" s="557"/>
      <c r="EB129" s="557"/>
      <c r="EC129" s="557"/>
      <c r="ED129" s="557"/>
      <c r="EE129" s="557"/>
      <c r="EF129" s="557"/>
      <c r="EG129" s="557"/>
      <c r="EH129" s="557"/>
      <c r="EI129" s="557"/>
      <c r="EJ129" s="557"/>
      <c r="EK129" s="557"/>
      <c r="EL129" s="557"/>
      <c r="EM129" s="557"/>
      <c r="EN129" s="557"/>
      <c r="EO129" s="557"/>
      <c r="EP129" s="557"/>
      <c r="EQ129" s="557"/>
      <c r="ER129" s="557"/>
      <c r="ES129" s="557"/>
      <c r="ET129" s="557"/>
      <c r="EU129" s="557"/>
      <c r="EV129" s="557"/>
      <c r="EW129" s="557"/>
      <c r="EX129" s="557"/>
      <c r="EY129" s="557"/>
      <c r="EZ129" s="123"/>
      <c r="FA129" s="50"/>
      <c r="FB129" s="51"/>
    </row>
    <row r="130" spans="1:158" ht="9" customHeight="1">
      <c r="A130" s="49"/>
      <c r="B130" s="81"/>
      <c r="C130" s="50"/>
      <c r="D130" s="50"/>
      <c r="E130" s="555"/>
      <c r="F130" s="555"/>
      <c r="G130" s="555"/>
      <c r="H130" s="555"/>
      <c r="I130" s="555"/>
      <c r="J130" s="555"/>
      <c r="K130" s="555"/>
      <c r="L130" s="555"/>
      <c r="M130" s="555"/>
      <c r="N130" s="555"/>
      <c r="O130" s="555"/>
      <c r="P130" s="555"/>
      <c r="Q130" s="555"/>
      <c r="R130" s="555"/>
      <c r="S130" s="555"/>
      <c r="T130" s="555"/>
      <c r="U130" s="555"/>
      <c r="V130" s="555"/>
      <c r="W130" s="555"/>
      <c r="X130" s="555"/>
      <c r="Y130" s="555"/>
      <c r="Z130" s="555"/>
      <c r="AA130" s="555"/>
      <c r="AB130" s="555"/>
      <c r="AC130" s="555"/>
      <c r="AD130" s="555"/>
      <c r="AE130" s="555"/>
      <c r="AF130" s="555"/>
      <c r="AG130" s="555"/>
      <c r="AH130" s="555"/>
      <c r="AI130" s="555"/>
      <c r="AJ130" s="555"/>
      <c r="AK130" s="555"/>
      <c r="AL130" s="555"/>
      <c r="AM130" s="555"/>
      <c r="AN130" s="555"/>
      <c r="AO130" s="555"/>
      <c r="AP130" s="555"/>
      <c r="AQ130" s="555"/>
      <c r="AR130" s="555"/>
      <c r="AS130" s="555"/>
      <c r="AT130" s="555"/>
      <c r="AU130" s="555"/>
      <c r="AV130" s="555"/>
      <c r="AW130" s="555"/>
      <c r="AX130" s="555"/>
      <c r="AY130" s="555"/>
      <c r="AZ130" s="555"/>
      <c r="BA130" s="555"/>
      <c r="BB130" s="555"/>
      <c r="BC130" s="555"/>
      <c r="BD130" s="555"/>
      <c r="BE130" s="555"/>
      <c r="BF130" s="555"/>
      <c r="BG130" s="555"/>
      <c r="BH130" s="555"/>
      <c r="BI130" s="555"/>
      <c r="BJ130" s="555"/>
      <c r="BK130" s="555"/>
      <c r="BL130" s="555"/>
      <c r="BM130" s="555"/>
      <c r="BN130" s="555"/>
      <c r="BO130" s="555"/>
      <c r="BP130" s="555"/>
      <c r="BQ130" s="555"/>
      <c r="BR130" s="555"/>
      <c r="BS130" s="555"/>
      <c r="BT130" s="555"/>
      <c r="BU130" s="555"/>
      <c r="BV130" s="555"/>
      <c r="BW130" s="555"/>
      <c r="BX130" s="555"/>
      <c r="BY130" s="555"/>
      <c r="BZ130" s="555"/>
      <c r="CA130" s="555"/>
      <c r="CB130" s="555"/>
      <c r="CC130" s="555"/>
      <c r="CD130" s="555"/>
      <c r="CE130" s="555"/>
      <c r="CF130" s="555"/>
      <c r="CG130" s="555"/>
      <c r="CH130" s="555"/>
      <c r="CI130" s="555"/>
      <c r="CJ130" s="555"/>
      <c r="CK130" s="555"/>
      <c r="CL130" s="555"/>
      <c r="CM130" s="555"/>
      <c r="CN130" s="555"/>
      <c r="CO130" s="555"/>
      <c r="CP130" s="555"/>
      <c r="CQ130" s="555"/>
      <c r="CR130" s="555"/>
      <c r="CS130" s="555"/>
      <c r="CT130" s="555"/>
      <c r="CU130" s="555"/>
      <c r="CV130" s="555"/>
      <c r="CW130" s="555"/>
      <c r="CX130" s="555"/>
      <c r="CY130" s="555"/>
      <c r="CZ130" s="555"/>
      <c r="DA130" s="555"/>
      <c r="DB130" s="555"/>
      <c r="DC130" s="555"/>
      <c r="DD130" s="555"/>
      <c r="DE130" s="555"/>
      <c r="DF130" s="555"/>
      <c r="DG130" s="555"/>
      <c r="DH130" s="555"/>
      <c r="DI130" s="555"/>
      <c r="DJ130" s="50"/>
      <c r="DK130" s="50"/>
      <c r="DL130" s="81"/>
      <c r="DM130" s="50"/>
      <c r="DN130" s="50"/>
      <c r="DO130" s="122"/>
      <c r="DP130" s="557"/>
      <c r="DQ130" s="557"/>
      <c r="DR130" s="557"/>
      <c r="DS130" s="557"/>
      <c r="DT130" s="557"/>
      <c r="DU130" s="557"/>
      <c r="DV130" s="557"/>
      <c r="DW130" s="557"/>
      <c r="DX130" s="557"/>
      <c r="DY130" s="557"/>
      <c r="DZ130" s="557"/>
      <c r="EA130" s="557"/>
      <c r="EB130" s="557"/>
      <c r="EC130" s="557"/>
      <c r="ED130" s="557"/>
      <c r="EE130" s="557"/>
      <c r="EF130" s="557"/>
      <c r="EG130" s="557"/>
      <c r="EH130" s="557"/>
      <c r="EI130" s="557"/>
      <c r="EJ130" s="557"/>
      <c r="EK130" s="557"/>
      <c r="EL130" s="557"/>
      <c r="EM130" s="557"/>
      <c r="EN130" s="557"/>
      <c r="EO130" s="557"/>
      <c r="EP130" s="557"/>
      <c r="EQ130" s="557"/>
      <c r="ER130" s="557"/>
      <c r="ES130" s="557"/>
      <c r="ET130" s="557"/>
      <c r="EU130" s="557"/>
      <c r="EV130" s="557"/>
      <c r="EW130" s="557"/>
      <c r="EX130" s="557"/>
      <c r="EY130" s="557"/>
      <c r="EZ130" s="123"/>
      <c r="FA130" s="50"/>
      <c r="FB130" s="51"/>
    </row>
    <row r="131" spans="1:158" ht="9" customHeight="1">
      <c r="A131" s="49"/>
      <c r="B131" s="81"/>
      <c r="C131" s="50"/>
      <c r="D131" s="50"/>
      <c r="E131" s="555"/>
      <c r="F131" s="555"/>
      <c r="G131" s="555"/>
      <c r="H131" s="555"/>
      <c r="I131" s="555"/>
      <c r="J131" s="555"/>
      <c r="K131" s="555"/>
      <c r="L131" s="555"/>
      <c r="M131" s="555"/>
      <c r="N131" s="555"/>
      <c r="O131" s="555"/>
      <c r="P131" s="555"/>
      <c r="Q131" s="555"/>
      <c r="R131" s="555"/>
      <c r="S131" s="555"/>
      <c r="T131" s="555"/>
      <c r="U131" s="555"/>
      <c r="V131" s="555"/>
      <c r="W131" s="555"/>
      <c r="X131" s="555"/>
      <c r="Y131" s="555"/>
      <c r="Z131" s="555"/>
      <c r="AA131" s="555"/>
      <c r="AB131" s="555"/>
      <c r="AC131" s="555"/>
      <c r="AD131" s="555"/>
      <c r="AE131" s="555"/>
      <c r="AF131" s="555"/>
      <c r="AG131" s="555"/>
      <c r="AH131" s="555"/>
      <c r="AI131" s="555"/>
      <c r="AJ131" s="555"/>
      <c r="AK131" s="555"/>
      <c r="AL131" s="555"/>
      <c r="AM131" s="555"/>
      <c r="AN131" s="555"/>
      <c r="AO131" s="555"/>
      <c r="AP131" s="555"/>
      <c r="AQ131" s="555"/>
      <c r="AR131" s="555"/>
      <c r="AS131" s="555"/>
      <c r="AT131" s="555"/>
      <c r="AU131" s="555"/>
      <c r="AV131" s="555"/>
      <c r="AW131" s="555"/>
      <c r="AX131" s="555"/>
      <c r="AY131" s="555"/>
      <c r="AZ131" s="555"/>
      <c r="BA131" s="555"/>
      <c r="BB131" s="555"/>
      <c r="BC131" s="555"/>
      <c r="BD131" s="555"/>
      <c r="BE131" s="555"/>
      <c r="BF131" s="555"/>
      <c r="BG131" s="555"/>
      <c r="BH131" s="555"/>
      <c r="BI131" s="555"/>
      <c r="BJ131" s="555"/>
      <c r="BK131" s="555"/>
      <c r="BL131" s="555"/>
      <c r="BM131" s="555"/>
      <c r="BN131" s="555"/>
      <c r="BO131" s="555"/>
      <c r="BP131" s="555"/>
      <c r="BQ131" s="555"/>
      <c r="BR131" s="555"/>
      <c r="BS131" s="555"/>
      <c r="BT131" s="555"/>
      <c r="BU131" s="555"/>
      <c r="BV131" s="555"/>
      <c r="BW131" s="555"/>
      <c r="BX131" s="555"/>
      <c r="BY131" s="555"/>
      <c r="BZ131" s="555"/>
      <c r="CA131" s="555"/>
      <c r="CB131" s="555"/>
      <c r="CC131" s="555"/>
      <c r="CD131" s="555"/>
      <c r="CE131" s="555"/>
      <c r="CF131" s="555"/>
      <c r="CG131" s="555"/>
      <c r="CH131" s="555"/>
      <c r="CI131" s="555"/>
      <c r="CJ131" s="555"/>
      <c r="CK131" s="555"/>
      <c r="CL131" s="555"/>
      <c r="CM131" s="555"/>
      <c r="CN131" s="555"/>
      <c r="CO131" s="555"/>
      <c r="CP131" s="555"/>
      <c r="CQ131" s="555"/>
      <c r="CR131" s="555"/>
      <c r="CS131" s="555"/>
      <c r="CT131" s="555"/>
      <c r="CU131" s="555"/>
      <c r="CV131" s="555"/>
      <c r="CW131" s="555"/>
      <c r="CX131" s="555"/>
      <c r="CY131" s="555"/>
      <c r="CZ131" s="555"/>
      <c r="DA131" s="555"/>
      <c r="DB131" s="555"/>
      <c r="DC131" s="555"/>
      <c r="DD131" s="555"/>
      <c r="DE131" s="555"/>
      <c r="DF131" s="555"/>
      <c r="DG131" s="555"/>
      <c r="DH131" s="555"/>
      <c r="DI131" s="555"/>
      <c r="DJ131" s="50"/>
      <c r="DK131" s="50"/>
      <c r="DL131" s="81"/>
      <c r="DM131" s="50"/>
      <c r="DN131" s="50"/>
      <c r="DO131" s="122"/>
      <c r="DP131" s="557"/>
      <c r="DQ131" s="557"/>
      <c r="DR131" s="557"/>
      <c r="DS131" s="557"/>
      <c r="DT131" s="557"/>
      <c r="DU131" s="557"/>
      <c r="DV131" s="557"/>
      <c r="DW131" s="557"/>
      <c r="DX131" s="557"/>
      <c r="DY131" s="557"/>
      <c r="DZ131" s="557"/>
      <c r="EA131" s="557"/>
      <c r="EB131" s="557"/>
      <c r="EC131" s="557"/>
      <c r="ED131" s="557"/>
      <c r="EE131" s="557"/>
      <c r="EF131" s="557"/>
      <c r="EG131" s="557"/>
      <c r="EH131" s="557"/>
      <c r="EI131" s="557"/>
      <c r="EJ131" s="557"/>
      <c r="EK131" s="557"/>
      <c r="EL131" s="557"/>
      <c r="EM131" s="557"/>
      <c r="EN131" s="557"/>
      <c r="EO131" s="557"/>
      <c r="EP131" s="557"/>
      <c r="EQ131" s="557"/>
      <c r="ER131" s="557"/>
      <c r="ES131" s="557"/>
      <c r="ET131" s="557"/>
      <c r="EU131" s="557"/>
      <c r="EV131" s="557"/>
      <c r="EW131" s="557"/>
      <c r="EX131" s="557"/>
      <c r="EY131" s="557"/>
      <c r="EZ131" s="123"/>
      <c r="FA131" s="50"/>
      <c r="FB131" s="51"/>
    </row>
    <row r="132" spans="1:158" ht="9" customHeight="1">
      <c r="A132" s="49"/>
      <c r="B132" s="81"/>
      <c r="C132" s="50"/>
      <c r="D132" s="50"/>
      <c r="E132" s="555"/>
      <c r="F132" s="555"/>
      <c r="G132" s="555"/>
      <c r="H132" s="555"/>
      <c r="I132" s="555"/>
      <c r="J132" s="555"/>
      <c r="K132" s="555"/>
      <c r="L132" s="555"/>
      <c r="M132" s="555"/>
      <c r="N132" s="555"/>
      <c r="O132" s="555"/>
      <c r="P132" s="555"/>
      <c r="Q132" s="555"/>
      <c r="R132" s="555"/>
      <c r="S132" s="555"/>
      <c r="T132" s="555"/>
      <c r="U132" s="555"/>
      <c r="V132" s="555"/>
      <c r="W132" s="555"/>
      <c r="X132" s="555"/>
      <c r="Y132" s="555"/>
      <c r="Z132" s="555"/>
      <c r="AA132" s="555"/>
      <c r="AB132" s="555"/>
      <c r="AC132" s="555"/>
      <c r="AD132" s="555"/>
      <c r="AE132" s="555"/>
      <c r="AF132" s="555"/>
      <c r="AG132" s="555"/>
      <c r="AH132" s="555"/>
      <c r="AI132" s="555"/>
      <c r="AJ132" s="555"/>
      <c r="AK132" s="555"/>
      <c r="AL132" s="555"/>
      <c r="AM132" s="555"/>
      <c r="AN132" s="555"/>
      <c r="AO132" s="555"/>
      <c r="AP132" s="555"/>
      <c r="AQ132" s="555"/>
      <c r="AR132" s="555"/>
      <c r="AS132" s="555"/>
      <c r="AT132" s="555"/>
      <c r="AU132" s="555"/>
      <c r="AV132" s="555"/>
      <c r="AW132" s="555"/>
      <c r="AX132" s="555"/>
      <c r="AY132" s="555"/>
      <c r="AZ132" s="555"/>
      <c r="BA132" s="555"/>
      <c r="BB132" s="555"/>
      <c r="BC132" s="555"/>
      <c r="BD132" s="555"/>
      <c r="BE132" s="555"/>
      <c r="BF132" s="555"/>
      <c r="BG132" s="555"/>
      <c r="BH132" s="555"/>
      <c r="BI132" s="555"/>
      <c r="BJ132" s="555"/>
      <c r="BK132" s="555"/>
      <c r="BL132" s="555"/>
      <c r="BM132" s="555"/>
      <c r="BN132" s="555"/>
      <c r="BO132" s="555"/>
      <c r="BP132" s="555"/>
      <c r="BQ132" s="555"/>
      <c r="BR132" s="555"/>
      <c r="BS132" s="555"/>
      <c r="BT132" s="555"/>
      <c r="BU132" s="555"/>
      <c r="BV132" s="555"/>
      <c r="BW132" s="555"/>
      <c r="BX132" s="555"/>
      <c r="BY132" s="555"/>
      <c r="BZ132" s="555"/>
      <c r="CA132" s="555"/>
      <c r="CB132" s="555"/>
      <c r="CC132" s="555"/>
      <c r="CD132" s="555"/>
      <c r="CE132" s="555"/>
      <c r="CF132" s="555"/>
      <c r="CG132" s="555"/>
      <c r="CH132" s="555"/>
      <c r="CI132" s="555"/>
      <c r="CJ132" s="555"/>
      <c r="CK132" s="555"/>
      <c r="CL132" s="555"/>
      <c r="CM132" s="555"/>
      <c r="CN132" s="555"/>
      <c r="CO132" s="555"/>
      <c r="CP132" s="555"/>
      <c r="CQ132" s="555"/>
      <c r="CR132" s="555"/>
      <c r="CS132" s="555"/>
      <c r="CT132" s="555"/>
      <c r="CU132" s="555"/>
      <c r="CV132" s="555"/>
      <c r="CW132" s="555"/>
      <c r="CX132" s="555"/>
      <c r="CY132" s="555"/>
      <c r="CZ132" s="555"/>
      <c r="DA132" s="555"/>
      <c r="DB132" s="555"/>
      <c r="DC132" s="555"/>
      <c r="DD132" s="555"/>
      <c r="DE132" s="555"/>
      <c r="DF132" s="555"/>
      <c r="DG132" s="555"/>
      <c r="DH132" s="555"/>
      <c r="DI132" s="555"/>
      <c r="DJ132" s="50"/>
      <c r="DK132" s="50"/>
      <c r="DL132" s="81"/>
      <c r="DM132" s="50"/>
      <c r="DN132" s="50"/>
      <c r="DO132" s="122"/>
      <c r="DP132" s="557"/>
      <c r="DQ132" s="557"/>
      <c r="DR132" s="557"/>
      <c r="DS132" s="557"/>
      <c r="DT132" s="557"/>
      <c r="DU132" s="557"/>
      <c r="DV132" s="557"/>
      <c r="DW132" s="557"/>
      <c r="DX132" s="557"/>
      <c r="DY132" s="557"/>
      <c r="DZ132" s="557"/>
      <c r="EA132" s="557"/>
      <c r="EB132" s="557"/>
      <c r="EC132" s="557"/>
      <c r="ED132" s="557"/>
      <c r="EE132" s="557"/>
      <c r="EF132" s="557"/>
      <c r="EG132" s="557"/>
      <c r="EH132" s="557"/>
      <c r="EI132" s="557"/>
      <c r="EJ132" s="557"/>
      <c r="EK132" s="557"/>
      <c r="EL132" s="557"/>
      <c r="EM132" s="557"/>
      <c r="EN132" s="557"/>
      <c r="EO132" s="557"/>
      <c r="EP132" s="557"/>
      <c r="EQ132" s="557"/>
      <c r="ER132" s="557"/>
      <c r="ES132" s="557"/>
      <c r="ET132" s="557"/>
      <c r="EU132" s="557"/>
      <c r="EV132" s="557"/>
      <c r="EW132" s="557"/>
      <c r="EX132" s="557"/>
      <c r="EY132" s="557"/>
      <c r="EZ132" s="123"/>
      <c r="FA132" s="50"/>
      <c r="FB132" s="51"/>
    </row>
    <row r="133" spans="1:158" ht="9" customHeight="1">
      <c r="A133" s="49"/>
      <c r="B133" s="81"/>
      <c r="C133" s="50"/>
      <c r="D133" s="50"/>
      <c r="E133" s="555"/>
      <c r="F133" s="555"/>
      <c r="G133" s="555"/>
      <c r="H133" s="555"/>
      <c r="I133" s="555"/>
      <c r="J133" s="555"/>
      <c r="K133" s="555"/>
      <c r="L133" s="555"/>
      <c r="M133" s="555"/>
      <c r="N133" s="555"/>
      <c r="O133" s="555"/>
      <c r="P133" s="555"/>
      <c r="Q133" s="555"/>
      <c r="R133" s="555"/>
      <c r="S133" s="555"/>
      <c r="T133" s="555"/>
      <c r="U133" s="555"/>
      <c r="V133" s="555"/>
      <c r="W133" s="555"/>
      <c r="X133" s="555"/>
      <c r="Y133" s="555"/>
      <c r="Z133" s="555"/>
      <c r="AA133" s="555"/>
      <c r="AB133" s="555"/>
      <c r="AC133" s="555"/>
      <c r="AD133" s="555"/>
      <c r="AE133" s="555"/>
      <c r="AF133" s="555"/>
      <c r="AG133" s="555"/>
      <c r="AH133" s="555"/>
      <c r="AI133" s="555"/>
      <c r="AJ133" s="555"/>
      <c r="AK133" s="555"/>
      <c r="AL133" s="555"/>
      <c r="AM133" s="555"/>
      <c r="AN133" s="555"/>
      <c r="AO133" s="555"/>
      <c r="AP133" s="555"/>
      <c r="AQ133" s="555"/>
      <c r="AR133" s="555"/>
      <c r="AS133" s="555"/>
      <c r="AT133" s="555"/>
      <c r="AU133" s="555"/>
      <c r="AV133" s="555"/>
      <c r="AW133" s="555"/>
      <c r="AX133" s="555"/>
      <c r="AY133" s="555"/>
      <c r="AZ133" s="555"/>
      <c r="BA133" s="555"/>
      <c r="BB133" s="555"/>
      <c r="BC133" s="555"/>
      <c r="BD133" s="555"/>
      <c r="BE133" s="555"/>
      <c r="BF133" s="555"/>
      <c r="BG133" s="555"/>
      <c r="BH133" s="555"/>
      <c r="BI133" s="555"/>
      <c r="BJ133" s="555"/>
      <c r="BK133" s="555"/>
      <c r="BL133" s="555"/>
      <c r="BM133" s="555"/>
      <c r="BN133" s="555"/>
      <c r="BO133" s="555"/>
      <c r="BP133" s="555"/>
      <c r="BQ133" s="555"/>
      <c r="BR133" s="555"/>
      <c r="BS133" s="555"/>
      <c r="BT133" s="555"/>
      <c r="BU133" s="555"/>
      <c r="BV133" s="555"/>
      <c r="BW133" s="555"/>
      <c r="BX133" s="555"/>
      <c r="BY133" s="555"/>
      <c r="BZ133" s="555"/>
      <c r="CA133" s="555"/>
      <c r="CB133" s="555"/>
      <c r="CC133" s="555"/>
      <c r="CD133" s="555"/>
      <c r="CE133" s="555"/>
      <c r="CF133" s="555"/>
      <c r="CG133" s="555"/>
      <c r="CH133" s="555"/>
      <c r="CI133" s="555"/>
      <c r="CJ133" s="555"/>
      <c r="CK133" s="555"/>
      <c r="CL133" s="555"/>
      <c r="CM133" s="555"/>
      <c r="CN133" s="555"/>
      <c r="CO133" s="555"/>
      <c r="CP133" s="555"/>
      <c r="CQ133" s="555"/>
      <c r="CR133" s="555"/>
      <c r="CS133" s="555"/>
      <c r="CT133" s="555"/>
      <c r="CU133" s="555"/>
      <c r="CV133" s="555"/>
      <c r="CW133" s="555"/>
      <c r="CX133" s="555"/>
      <c r="CY133" s="555"/>
      <c r="CZ133" s="555"/>
      <c r="DA133" s="555"/>
      <c r="DB133" s="555"/>
      <c r="DC133" s="555"/>
      <c r="DD133" s="555"/>
      <c r="DE133" s="555"/>
      <c r="DF133" s="555"/>
      <c r="DG133" s="555"/>
      <c r="DH133" s="555"/>
      <c r="DI133" s="555"/>
      <c r="DJ133" s="50"/>
      <c r="DK133" s="50"/>
      <c r="DL133" s="81"/>
      <c r="DM133" s="50"/>
      <c r="DN133" s="50"/>
      <c r="DO133" s="122"/>
      <c r="DP133" s="557"/>
      <c r="DQ133" s="557"/>
      <c r="DR133" s="557"/>
      <c r="DS133" s="557"/>
      <c r="DT133" s="557"/>
      <c r="DU133" s="557"/>
      <c r="DV133" s="557"/>
      <c r="DW133" s="557"/>
      <c r="DX133" s="557"/>
      <c r="DY133" s="557"/>
      <c r="DZ133" s="557"/>
      <c r="EA133" s="557"/>
      <c r="EB133" s="557"/>
      <c r="EC133" s="557"/>
      <c r="ED133" s="557"/>
      <c r="EE133" s="557"/>
      <c r="EF133" s="557"/>
      <c r="EG133" s="557"/>
      <c r="EH133" s="557"/>
      <c r="EI133" s="557"/>
      <c r="EJ133" s="557"/>
      <c r="EK133" s="557"/>
      <c r="EL133" s="557"/>
      <c r="EM133" s="557"/>
      <c r="EN133" s="557"/>
      <c r="EO133" s="557"/>
      <c r="EP133" s="557"/>
      <c r="EQ133" s="557"/>
      <c r="ER133" s="557"/>
      <c r="ES133" s="557"/>
      <c r="ET133" s="557"/>
      <c r="EU133" s="557"/>
      <c r="EV133" s="557"/>
      <c r="EW133" s="557"/>
      <c r="EX133" s="557"/>
      <c r="EY133" s="557"/>
      <c r="EZ133" s="123"/>
      <c r="FA133" s="50"/>
      <c r="FB133" s="51"/>
    </row>
    <row r="134" spans="1:158" ht="9" customHeight="1">
      <c r="A134" s="49"/>
      <c r="B134" s="81"/>
      <c r="C134" s="50"/>
      <c r="D134" s="50"/>
      <c r="E134" s="555"/>
      <c r="F134" s="555"/>
      <c r="G134" s="555"/>
      <c r="H134" s="555"/>
      <c r="I134" s="555"/>
      <c r="J134" s="555"/>
      <c r="K134" s="555"/>
      <c r="L134" s="555"/>
      <c r="M134" s="555"/>
      <c r="N134" s="555"/>
      <c r="O134" s="555"/>
      <c r="P134" s="555"/>
      <c r="Q134" s="555"/>
      <c r="R134" s="555"/>
      <c r="S134" s="555"/>
      <c r="T134" s="555"/>
      <c r="U134" s="555"/>
      <c r="V134" s="555"/>
      <c r="W134" s="555"/>
      <c r="X134" s="555"/>
      <c r="Y134" s="555"/>
      <c r="Z134" s="555"/>
      <c r="AA134" s="555"/>
      <c r="AB134" s="555"/>
      <c r="AC134" s="555"/>
      <c r="AD134" s="555"/>
      <c r="AE134" s="555"/>
      <c r="AF134" s="555"/>
      <c r="AG134" s="555"/>
      <c r="AH134" s="555"/>
      <c r="AI134" s="555"/>
      <c r="AJ134" s="555"/>
      <c r="AK134" s="555"/>
      <c r="AL134" s="555"/>
      <c r="AM134" s="555"/>
      <c r="AN134" s="555"/>
      <c r="AO134" s="555"/>
      <c r="AP134" s="555"/>
      <c r="AQ134" s="555"/>
      <c r="AR134" s="555"/>
      <c r="AS134" s="555"/>
      <c r="AT134" s="555"/>
      <c r="AU134" s="555"/>
      <c r="AV134" s="555"/>
      <c r="AW134" s="555"/>
      <c r="AX134" s="555"/>
      <c r="AY134" s="555"/>
      <c r="AZ134" s="555"/>
      <c r="BA134" s="555"/>
      <c r="BB134" s="555"/>
      <c r="BC134" s="555"/>
      <c r="BD134" s="555"/>
      <c r="BE134" s="555"/>
      <c r="BF134" s="555"/>
      <c r="BG134" s="555"/>
      <c r="BH134" s="555"/>
      <c r="BI134" s="555"/>
      <c r="BJ134" s="555"/>
      <c r="BK134" s="555"/>
      <c r="BL134" s="555"/>
      <c r="BM134" s="555"/>
      <c r="BN134" s="555"/>
      <c r="BO134" s="555"/>
      <c r="BP134" s="555"/>
      <c r="BQ134" s="555"/>
      <c r="BR134" s="555"/>
      <c r="BS134" s="555"/>
      <c r="BT134" s="555"/>
      <c r="BU134" s="555"/>
      <c r="BV134" s="555"/>
      <c r="BW134" s="555"/>
      <c r="BX134" s="555"/>
      <c r="BY134" s="555"/>
      <c r="BZ134" s="555"/>
      <c r="CA134" s="555"/>
      <c r="CB134" s="555"/>
      <c r="CC134" s="555"/>
      <c r="CD134" s="555"/>
      <c r="CE134" s="555"/>
      <c r="CF134" s="555"/>
      <c r="CG134" s="555"/>
      <c r="CH134" s="555"/>
      <c r="CI134" s="555"/>
      <c r="CJ134" s="555"/>
      <c r="CK134" s="555"/>
      <c r="CL134" s="555"/>
      <c r="CM134" s="555"/>
      <c r="CN134" s="555"/>
      <c r="CO134" s="555"/>
      <c r="CP134" s="555"/>
      <c r="CQ134" s="555"/>
      <c r="CR134" s="555"/>
      <c r="CS134" s="555"/>
      <c r="CT134" s="555"/>
      <c r="CU134" s="555"/>
      <c r="CV134" s="555"/>
      <c r="CW134" s="555"/>
      <c r="CX134" s="555"/>
      <c r="CY134" s="555"/>
      <c r="CZ134" s="555"/>
      <c r="DA134" s="555"/>
      <c r="DB134" s="555"/>
      <c r="DC134" s="555"/>
      <c r="DD134" s="555"/>
      <c r="DE134" s="555"/>
      <c r="DF134" s="555"/>
      <c r="DG134" s="555"/>
      <c r="DH134" s="555"/>
      <c r="DI134" s="555"/>
      <c r="DJ134" s="50"/>
      <c r="DK134" s="50"/>
      <c r="DL134" s="81"/>
      <c r="DM134" s="50"/>
      <c r="DN134" s="50"/>
      <c r="DO134" s="122"/>
      <c r="DP134" s="50"/>
      <c r="DQ134" s="50"/>
      <c r="DR134" s="50"/>
      <c r="DS134" s="50"/>
      <c r="DT134" s="50"/>
      <c r="DU134" s="50"/>
      <c r="DV134" s="50"/>
      <c r="DW134" s="50"/>
      <c r="DX134" s="50"/>
      <c r="DY134" s="50"/>
      <c r="DZ134" s="50"/>
      <c r="EA134" s="50"/>
      <c r="EB134" s="50"/>
      <c r="EC134" s="50"/>
      <c r="ED134" s="50"/>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123"/>
      <c r="FA134" s="50"/>
      <c r="FB134" s="51"/>
    </row>
    <row r="135" spans="1:158" ht="9" customHeight="1">
      <c r="A135" s="49"/>
      <c r="B135" s="81"/>
      <c r="C135" s="50"/>
      <c r="D135" s="50"/>
      <c r="E135" s="555"/>
      <c r="F135" s="555"/>
      <c r="G135" s="555"/>
      <c r="H135" s="555"/>
      <c r="I135" s="555"/>
      <c r="J135" s="555"/>
      <c r="K135" s="555"/>
      <c r="L135" s="555"/>
      <c r="M135" s="555"/>
      <c r="N135" s="555"/>
      <c r="O135" s="555"/>
      <c r="P135" s="555"/>
      <c r="Q135" s="555"/>
      <c r="R135" s="555"/>
      <c r="S135" s="555"/>
      <c r="T135" s="555"/>
      <c r="U135" s="555"/>
      <c r="V135" s="555"/>
      <c r="W135" s="555"/>
      <c r="X135" s="555"/>
      <c r="Y135" s="555"/>
      <c r="Z135" s="555"/>
      <c r="AA135" s="555"/>
      <c r="AB135" s="555"/>
      <c r="AC135" s="555"/>
      <c r="AD135" s="555"/>
      <c r="AE135" s="555"/>
      <c r="AF135" s="555"/>
      <c r="AG135" s="555"/>
      <c r="AH135" s="555"/>
      <c r="AI135" s="555"/>
      <c r="AJ135" s="555"/>
      <c r="AK135" s="555"/>
      <c r="AL135" s="555"/>
      <c r="AM135" s="555"/>
      <c r="AN135" s="555"/>
      <c r="AO135" s="555"/>
      <c r="AP135" s="555"/>
      <c r="AQ135" s="555"/>
      <c r="AR135" s="555"/>
      <c r="AS135" s="555"/>
      <c r="AT135" s="555"/>
      <c r="AU135" s="555"/>
      <c r="AV135" s="555"/>
      <c r="AW135" s="555"/>
      <c r="AX135" s="555"/>
      <c r="AY135" s="555"/>
      <c r="AZ135" s="555"/>
      <c r="BA135" s="555"/>
      <c r="BB135" s="555"/>
      <c r="BC135" s="555"/>
      <c r="BD135" s="555"/>
      <c r="BE135" s="555"/>
      <c r="BF135" s="555"/>
      <c r="BG135" s="555"/>
      <c r="BH135" s="555"/>
      <c r="BI135" s="555"/>
      <c r="BJ135" s="555"/>
      <c r="BK135" s="555"/>
      <c r="BL135" s="555"/>
      <c r="BM135" s="555"/>
      <c r="BN135" s="555"/>
      <c r="BO135" s="555"/>
      <c r="BP135" s="555"/>
      <c r="BQ135" s="555"/>
      <c r="BR135" s="555"/>
      <c r="BS135" s="555"/>
      <c r="BT135" s="555"/>
      <c r="BU135" s="555"/>
      <c r="BV135" s="555"/>
      <c r="BW135" s="555"/>
      <c r="BX135" s="555"/>
      <c r="BY135" s="555"/>
      <c r="BZ135" s="555"/>
      <c r="CA135" s="555"/>
      <c r="CB135" s="555"/>
      <c r="CC135" s="555"/>
      <c r="CD135" s="555"/>
      <c r="CE135" s="555"/>
      <c r="CF135" s="555"/>
      <c r="CG135" s="555"/>
      <c r="CH135" s="555"/>
      <c r="CI135" s="555"/>
      <c r="CJ135" s="555"/>
      <c r="CK135" s="555"/>
      <c r="CL135" s="555"/>
      <c r="CM135" s="555"/>
      <c r="CN135" s="555"/>
      <c r="CO135" s="555"/>
      <c r="CP135" s="555"/>
      <c r="CQ135" s="555"/>
      <c r="CR135" s="555"/>
      <c r="CS135" s="555"/>
      <c r="CT135" s="555"/>
      <c r="CU135" s="555"/>
      <c r="CV135" s="555"/>
      <c r="CW135" s="555"/>
      <c r="CX135" s="555"/>
      <c r="CY135" s="555"/>
      <c r="CZ135" s="555"/>
      <c r="DA135" s="555"/>
      <c r="DB135" s="555"/>
      <c r="DC135" s="555"/>
      <c r="DD135" s="555"/>
      <c r="DE135" s="555"/>
      <c r="DF135" s="555"/>
      <c r="DG135" s="555"/>
      <c r="DH135" s="555"/>
      <c r="DI135" s="555"/>
      <c r="DJ135" s="50"/>
      <c r="DK135" s="50"/>
      <c r="DL135" s="81"/>
      <c r="DM135" s="50"/>
      <c r="DN135" s="50"/>
      <c r="DO135" s="122"/>
      <c r="DP135" s="50"/>
      <c r="DQ135" s="50"/>
      <c r="DR135" s="50"/>
      <c r="DS135" s="50"/>
      <c r="DT135" s="50"/>
      <c r="DU135" s="50"/>
      <c r="DV135" s="50"/>
      <c r="DW135" s="50"/>
      <c r="DX135" s="50"/>
      <c r="DY135" s="50"/>
      <c r="DZ135" s="50"/>
      <c r="EA135" s="50"/>
      <c r="EB135" s="50"/>
      <c r="EC135" s="50"/>
      <c r="ED135" s="50"/>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123"/>
      <c r="FA135" s="50"/>
      <c r="FB135" s="51"/>
    </row>
    <row r="136" spans="1:158" ht="9" customHeight="1" thickBot="1">
      <c r="A136" s="49"/>
      <c r="B136" s="81"/>
      <c r="C136" s="50"/>
      <c r="D136" s="50"/>
      <c r="E136" s="555"/>
      <c r="F136" s="555"/>
      <c r="G136" s="555"/>
      <c r="H136" s="555"/>
      <c r="I136" s="555"/>
      <c r="J136" s="555"/>
      <c r="K136" s="555"/>
      <c r="L136" s="555"/>
      <c r="M136" s="555"/>
      <c r="N136" s="555"/>
      <c r="O136" s="555"/>
      <c r="P136" s="555"/>
      <c r="Q136" s="555"/>
      <c r="R136" s="555"/>
      <c r="S136" s="555"/>
      <c r="T136" s="555"/>
      <c r="U136" s="555"/>
      <c r="V136" s="555"/>
      <c r="W136" s="555"/>
      <c r="X136" s="555"/>
      <c r="Y136" s="555"/>
      <c r="Z136" s="555"/>
      <c r="AA136" s="555"/>
      <c r="AB136" s="555"/>
      <c r="AC136" s="555"/>
      <c r="AD136" s="555"/>
      <c r="AE136" s="555"/>
      <c r="AF136" s="555"/>
      <c r="AG136" s="555"/>
      <c r="AH136" s="555"/>
      <c r="AI136" s="555"/>
      <c r="AJ136" s="555"/>
      <c r="AK136" s="555"/>
      <c r="AL136" s="555"/>
      <c r="AM136" s="555"/>
      <c r="AN136" s="555"/>
      <c r="AO136" s="555"/>
      <c r="AP136" s="555"/>
      <c r="AQ136" s="555"/>
      <c r="AR136" s="555"/>
      <c r="AS136" s="555"/>
      <c r="AT136" s="555"/>
      <c r="AU136" s="555"/>
      <c r="AV136" s="555"/>
      <c r="AW136" s="555"/>
      <c r="AX136" s="555"/>
      <c r="AY136" s="555"/>
      <c r="AZ136" s="555"/>
      <c r="BA136" s="555"/>
      <c r="BB136" s="555"/>
      <c r="BC136" s="555"/>
      <c r="BD136" s="555"/>
      <c r="BE136" s="555"/>
      <c r="BF136" s="555"/>
      <c r="BG136" s="555"/>
      <c r="BH136" s="555"/>
      <c r="BI136" s="555"/>
      <c r="BJ136" s="555"/>
      <c r="BK136" s="555"/>
      <c r="BL136" s="555"/>
      <c r="BM136" s="555"/>
      <c r="BN136" s="555"/>
      <c r="BO136" s="555"/>
      <c r="BP136" s="555"/>
      <c r="BQ136" s="555"/>
      <c r="BR136" s="555"/>
      <c r="BS136" s="555"/>
      <c r="BT136" s="555"/>
      <c r="BU136" s="555"/>
      <c r="BV136" s="555"/>
      <c r="BW136" s="555"/>
      <c r="BX136" s="555"/>
      <c r="BY136" s="555"/>
      <c r="BZ136" s="555"/>
      <c r="CA136" s="555"/>
      <c r="CB136" s="555"/>
      <c r="CC136" s="555"/>
      <c r="CD136" s="555"/>
      <c r="CE136" s="555"/>
      <c r="CF136" s="555"/>
      <c r="CG136" s="555"/>
      <c r="CH136" s="555"/>
      <c r="CI136" s="555"/>
      <c r="CJ136" s="555"/>
      <c r="CK136" s="555"/>
      <c r="CL136" s="555"/>
      <c r="CM136" s="555"/>
      <c r="CN136" s="555"/>
      <c r="CO136" s="555"/>
      <c r="CP136" s="555"/>
      <c r="CQ136" s="555"/>
      <c r="CR136" s="555"/>
      <c r="CS136" s="555"/>
      <c r="CT136" s="555"/>
      <c r="CU136" s="555"/>
      <c r="CV136" s="555"/>
      <c r="CW136" s="555"/>
      <c r="CX136" s="555"/>
      <c r="CY136" s="555"/>
      <c r="CZ136" s="555"/>
      <c r="DA136" s="555"/>
      <c r="DB136" s="555"/>
      <c r="DC136" s="555"/>
      <c r="DD136" s="555"/>
      <c r="DE136" s="555"/>
      <c r="DF136" s="555"/>
      <c r="DG136" s="555"/>
      <c r="DH136" s="555"/>
      <c r="DI136" s="555"/>
      <c r="DJ136" s="50"/>
      <c r="DK136" s="50"/>
      <c r="DL136" s="81"/>
      <c r="DM136" s="50"/>
      <c r="DN136" s="50"/>
      <c r="DO136" s="128"/>
      <c r="DP136" s="129"/>
      <c r="DQ136" s="129"/>
      <c r="DR136" s="129"/>
      <c r="DS136" s="129"/>
      <c r="DT136" s="129"/>
      <c r="DU136" s="129"/>
      <c r="DV136" s="129"/>
      <c r="DW136" s="129"/>
      <c r="DX136" s="129"/>
      <c r="DY136" s="129"/>
      <c r="DZ136" s="129"/>
      <c r="EA136" s="129"/>
      <c r="EB136" s="129"/>
      <c r="EC136" s="129"/>
      <c r="ED136" s="129"/>
      <c r="EE136" s="129"/>
      <c r="EF136" s="129"/>
      <c r="EG136" s="129"/>
      <c r="EH136" s="129"/>
      <c r="EI136" s="129"/>
      <c r="EJ136" s="129"/>
      <c r="EK136" s="129"/>
      <c r="EL136" s="129"/>
      <c r="EM136" s="129"/>
      <c r="EN136" s="129"/>
      <c r="EO136" s="129"/>
      <c r="EP136" s="129"/>
      <c r="EQ136" s="129"/>
      <c r="ER136" s="129"/>
      <c r="ES136" s="129"/>
      <c r="ET136" s="129"/>
      <c r="EU136" s="129"/>
      <c r="EV136" s="129"/>
      <c r="EW136" s="129"/>
      <c r="EX136" s="129"/>
      <c r="EY136" s="129"/>
      <c r="EZ136" s="130"/>
      <c r="FA136" s="50"/>
      <c r="FB136" s="51"/>
    </row>
    <row r="137" spans="1:158" ht="9" customHeight="1" thickTop="1">
      <c r="A137" s="49"/>
      <c r="B137" s="81"/>
      <c r="C137" s="50"/>
      <c r="D137" s="50"/>
      <c r="E137" s="555"/>
      <c r="F137" s="555"/>
      <c r="G137" s="555"/>
      <c r="H137" s="555"/>
      <c r="I137" s="555"/>
      <c r="J137" s="555"/>
      <c r="K137" s="555"/>
      <c r="L137" s="555"/>
      <c r="M137" s="555"/>
      <c r="N137" s="555"/>
      <c r="O137" s="555"/>
      <c r="P137" s="555"/>
      <c r="Q137" s="555"/>
      <c r="R137" s="555"/>
      <c r="S137" s="555"/>
      <c r="T137" s="555"/>
      <c r="U137" s="555"/>
      <c r="V137" s="555"/>
      <c r="W137" s="555"/>
      <c r="X137" s="555"/>
      <c r="Y137" s="555"/>
      <c r="Z137" s="555"/>
      <c r="AA137" s="555"/>
      <c r="AB137" s="555"/>
      <c r="AC137" s="555"/>
      <c r="AD137" s="555"/>
      <c r="AE137" s="555"/>
      <c r="AF137" s="555"/>
      <c r="AG137" s="555"/>
      <c r="AH137" s="555"/>
      <c r="AI137" s="555"/>
      <c r="AJ137" s="555"/>
      <c r="AK137" s="555"/>
      <c r="AL137" s="555"/>
      <c r="AM137" s="555"/>
      <c r="AN137" s="555"/>
      <c r="AO137" s="555"/>
      <c r="AP137" s="555"/>
      <c r="AQ137" s="555"/>
      <c r="AR137" s="555"/>
      <c r="AS137" s="555"/>
      <c r="AT137" s="555"/>
      <c r="AU137" s="555"/>
      <c r="AV137" s="555"/>
      <c r="AW137" s="555"/>
      <c r="AX137" s="555"/>
      <c r="AY137" s="555"/>
      <c r="AZ137" s="555"/>
      <c r="BA137" s="555"/>
      <c r="BB137" s="555"/>
      <c r="BC137" s="555"/>
      <c r="BD137" s="555"/>
      <c r="BE137" s="555"/>
      <c r="BF137" s="555"/>
      <c r="BG137" s="555"/>
      <c r="BH137" s="555"/>
      <c r="BI137" s="555"/>
      <c r="BJ137" s="555"/>
      <c r="BK137" s="555"/>
      <c r="BL137" s="555"/>
      <c r="BM137" s="555"/>
      <c r="BN137" s="555"/>
      <c r="BO137" s="555"/>
      <c r="BP137" s="555"/>
      <c r="BQ137" s="555"/>
      <c r="BR137" s="555"/>
      <c r="BS137" s="555"/>
      <c r="BT137" s="555"/>
      <c r="BU137" s="555"/>
      <c r="BV137" s="555"/>
      <c r="BW137" s="555"/>
      <c r="BX137" s="555"/>
      <c r="BY137" s="555"/>
      <c r="BZ137" s="555"/>
      <c r="CA137" s="555"/>
      <c r="CB137" s="555"/>
      <c r="CC137" s="555"/>
      <c r="CD137" s="555"/>
      <c r="CE137" s="555"/>
      <c r="CF137" s="555"/>
      <c r="CG137" s="555"/>
      <c r="CH137" s="555"/>
      <c r="CI137" s="555"/>
      <c r="CJ137" s="555"/>
      <c r="CK137" s="555"/>
      <c r="CL137" s="555"/>
      <c r="CM137" s="555"/>
      <c r="CN137" s="555"/>
      <c r="CO137" s="555"/>
      <c r="CP137" s="555"/>
      <c r="CQ137" s="555"/>
      <c r="CR137" s="555"/>
      <c r="CS137" s="555"/>
      <c r="CT137" s="555"/>
      <c r="CU137" s="555"/>
      <c r="CV137" s="555"/>
      <c r="CW137" s="555"/>
      <c r="CX137" s="555"/>
      <c r="CY137" s="555"/>
      <c r="CZ137" s="555"/>
      <c r="DA137" s="555"/>
      <c r="DB137" s="555"/>
      <c r="DC137" s="555"/>
      <c r="DD137" s="555"/>
      <c r="DE137" s="555"/>
      <c r="DF137" s="555"/>
      <c r="DG137" s="555"/>
      <c r="DH137" s="555"/>
      <c r="DI137" s="555"/>
      <c r="DJ137" s="50"/>
      <c r="DK137" s="50"/>
      <c r="DL137" s="81"/>
      <c r="DM137" s="50"/>
      <c r="DN137" s="50"/>
      <c r="DO137" s="50"/>
      <c r="DP137" s="50"/>
      <c r="DQ137" s="50"/>
      <c r="DR137" s="50"/>
      <c r="DS137" s="50"/>
      <c r="DT137" s="50"/>
      <c r="DU137" s="50"/>
      <c r="DV137" s="50"/>
      <c r="DW137" s="50"/>
      <c r="DX137" s="50"/>
      <c r="DY137" s="50"/>
      <c r="DZ137" s="50"/>
      <c r="EA137" s="50"/>
      <c r="EB137" s="50"/>
      <c r="EC137" s="50"/>
      <c r="ED137" s="50"/>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1"/>
    </row>
    <row r="138" spans="1:158" ht="9" customHeight="1" thickBot="1">
      <c r="A138" s="49"/>
      <c r="B138" s="81"/>
      <c r="C138" s="50"/>
      <c r="D138" s="50"/>
      <c r="E138" s="555"/>
      <c r="F138" s="555"/>
      <c r="G138" s="555"/>
      <c r="H138" s="555"/>
      <c r="I138" s="555"/>
      <c r="J138" s="555"/>
      <c r="K138" s="555"/>
      <c r="L138" s="555"/>
      <c r="M138" s="555"/>
      <c r="N138" s="555"/>
      <c r="O138" s="555"/>
      <c r="P138" s="555"/>
      <c r="Q138" s="555"/>
      <c r="R138" s="555"/>
      <c r="S138" s="555"/>
      <c r="T138" s="555"/>
      <c r="U138" s="555"/>
      <c r="V138" s="555"/>
      <c r="W138" s="555"/>
      <c r="X138" s="555"/>
      <c r="Y138" s="555"/>
      <c r="Z138" s="555"/>
      <c r="AA138" s="555"/>
      <c r="AB138" s="555"/>
      <c r="AC138" s="555"/>
      <c r="AD138" s="555"/>
      <c r="AE138" s="555"/>
      <c r="AF138" s="555"/>
      <c r="AG138" s="555"/>
      <c r="AH138" s="555"/>
      <c r="AI138" s="555"/>
      <c r="AJ138" s="555"/>
      <c r="AK138" s="555"/>
      <c r="AL138" s="555"/>
      <c r="AM138" s="555"/>
      <c r="AN138" s="555"/>
      <c r="AO138" s="555"/>
      <c r="AP138" s="555"/>
      <c r="AQ138" s="555"/>
      <c r="AR138" s="555"/>
      <c r="AS138" s="555"/>
      <c r="AT138" s="555"/>
      <c r="AU138" s="555"/>
      <c r="AV138" s="555"/>
      <c r="AW138" s="555"/>
      <c r="AX138" s="555"/>
      <c r="AY138" s="555"/>
      <c r="AZ138" s="555"/>
      <c r="BA138" s="555"/>
      <c r="BB138" s="555"/>
      <c r="BC138" s="555"/>
      <c r="BD138" s="555"/>
      <c r="BE138" s="555"/>
      <c r="BF138" s="555"/>
      <c r="BG138" s="555"/>
      <c r="BH138" s="555"/>
      <c r="BI138" s="555"/>
      <c r="BJ138" s="555"/>
      <c r="BK138" s="555"/>
      <c r="BL138" s="555"/>
      <c r="BM138" s="555"/>
      <c r="BN138" s="555"/>
      <c r="BO138" s="555"/>
      <c r="BP138" s="555"/>
      <c r="BQ138" s="555"/>
      <c r="BR138" s="555"/>
      <c r="BS138" s="555"/>
      <c r="BT138" s="555"/>
      <c r="BU138" s="555"/>
      <c r="BV138" s="555"/>
      <c r="BW138" s="555"/>
      <c r="BX138" s="555"/>
      <c r="BY138" s="555"/>
      <c r="BZ138" s="555"/>
      <c r="CA138" s="555"/>
      <c r="CB138" s="555"/>
      <c r="CC138" s="555"/>
      <c r="CD138" s="555"/>
      <c r="CE138" s="555"/>
      <c r="CF138" s="555"/>
      <c r="CG138" s="555"/>
      <c r="CH138" s="555"/>
      <c r="CI138" s="555"/>
      <c r="CJ138" s="555"/>
      <c r="CK138" s="555"/>
      <c r="CL138" s="555"/>
      <c r="CM138" s="555"/>
      <c r="CN138" s="555"/>
      <c r="CO138" s="555"/>
      <c r="CP138" s="555"/>
      <c r="CQ138" s="555"/>
      <c r="CR138" s="555"/>
      <c r="CS138" s="555"/>
      <c r="CT138" s="555"/>
      <c r="CU138" s="555"/>
      <c r="CV138" s="555"/>
      <c r="CW138" s="555"/>
      <c r="CX138" s="555"/>
      <c r="CY138" s="555"/>
      <c r="CZ138" s="555"/>
      <c r="DA138" s="555"/>
      <c r="DB138" s="555"/>
      <c r="DC138" s="555"/>
      <c r="DD138" s="555"/>
      <c r="DE138" s="555"/>
      <c r="DF138" s="555"/>
      <c r="DG138" s="555"/>
      <c r="DH138" s="555"/>
      <c r="DI138" s="555"/>
      <c r="DJ138" s="50"/>
      <c r="DK138" s="50"/>
      <c r="DL138" s="81"/>
      <c r="DM138" s="50"/>
      <c r="DN138" s="50"/>
      <c r="DO138" s="50"/>
      <c r="DP138" s="50"/>
      <c r="DQ138" s="50"/>
      <c r="DR138" s="50"/>
      <c r="DS138" s="50"/>
      <c r="DT138" s="50"/>
      <c r="DU138" s="50"/>
      <c r="DV138" s="50"/>
      <c r="DW138" s="50"/>
      <c r="DX138" s="50"/>
      <c r="DY138" s="50"/>
      <c r="DZ138" s="50"/>
      <c r="EA138" s="50"/>
      <c r="EB138" s="50"/>
      <c r="EC138" s="50"/>
      <c r="ED138" s="50"/>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1"/>
    </row>
    <row r="139" spans="1:158" ht="9" customHeight="1" thickTop="1">
      <c r="A139" s="49"/>
      <c r="B139" s="81"/>
      <c r="C139" s="50"/>
      <c r="D139" s="50"/>
      <c r="E139" s="555"/>
      <c r="F139" s="555"/>
      <c r="G139" s="555"/>
      <c r="H139" s="555"/>
      <c r="I139" s="555"/>
      <c r="J139" s="555"/>
      <c r="K139" s="555"/>
      <c r="L139" s="555"/>
      <c r="M139" s="555"/>
      <c r="N139" s="555"/>
      <c r="O139" s="555"/>
      <c r="P139" s="555"/>
      <c r="Q139" s="555"/>
      <c r="R139" s="555"/>
      <c r="S139" s="555"/>
      <c r="T139" s="555"/>
      <c r="U139" s="555"/>
      <c r="V139" s="555"/>
      <c r="W139" s="555"/>
      <c r="X139" s="555"/>
      <c r="Y139" s="555"/>
      <c r="Z139" s="555"/>
      <c r="AA139" s="555"/>
      <c r="AB139" s="555"/>
      <c r="AC139" s="555"/>
      <c r="AD139" s="555"/>
      <c r="AE139" s="555"/>
      <c r="AF139" s="555"/>
      <c r="AG139" s="555"/>
      <c r="AH139" s="555"/>
      <c r="AI139" s="555"/>
      <c r="AJ139" s="555"/>
      <c r="AK139" s="555"/>
      <c r="AL139" s="555"/>
      <c r="AM139" s="555"/>
      <c r="AN139" s="555"/>
      <c r="AO139" s="555"/>
      <c r="AP139" s="555"/>
      <c r="AQ139" s="555"/>
      <c r="AR139" s="555"/>
      <c r="AS139" s="555"/>
      <c r="AT139" s="555"/>
      <c r="AU139" s="555"/>
      <c r="AV139" s="555"/>
      <c r="AW139" s="555"/>
      <c r="AX139" s="555"/>
      <c r="AY139" s="555"/>
      <c r="AZ139" s="555"/>
      <c r="BA139" s="555"/>
      <c r="BB139" s="555"/>
      <c r="BC139" s="555"/>
      <c r="BD139" s="555"/>
      <c r="BE139" s="555"/>
      <c r="BF139" s="555"/>
      <c r="BG139" s="555"/>
      <c r="BH139" s="555"/>
      <c r="BI139" s="555"/>
      <c r="BJ139" s="555"/>
      <c r="BK139" s="555"/>
      <c r="BL139" s="555"/>
      <c r="BM139" s="555"/>
      <c r="BN139" s="555"/>
      <c r="BO139" s="555"/>
      <c r="BP139" s="555"/>
      <c r="BQ139" s="555"/>
      <c r="BR139" s="555"/>
      <c r="BS139" s="555"/>
      <c r="BT139" s="555"/>
      <c r="BU139" s="555"/>
      <c r="BV139" s="555"/>
      <c r="BW139" s="555"/>
      <c r="BX139" s="555"/>
      <c r="BY139" s="555"/>
      <c r="BZ139" s="555"/>
      <c r="CA139" s="555"/>
      <c r="CB139" s="555"/>
      <c r="CC139" s="555"/>
      <c r="CD139" s="555"/>
      <c r="CE139" s="555"/>
      <c r="CF139" s="555"/>
      <c r="CG139" s="555"/>
      <c r="CH139" s="555"/>
      <c r="CI139" s="555"/>
      <c r="CJ139" s="555"/>
      <c r="CK139" s="555"/>
      <c r="CL139" s="555"/>
      <c r="CM139" s="555"/>
      <c r="CN139" s="555"/>
      <c r="CO139" s="555"/>
      <c r="CP139" s="555"/>
      <c r="CQ139" s="555"/>
      <c r="CR139" s="555"/>
      <c r="CS139" s="555"/>
      <c r="CT139" s="555"/>
      <c r="CU139" s="555"/>
      <c r="CV139" s="555"/>
      <c r="CW139" s="555"/>
      <c r="CX139" s="555"/>
      <c r="CY139" s="555"/>
      <c r="CZ139" s="555"/>
      <c r="DA139" s="555"/>
      <c r="DB139" s="555"/>
      <c r="DC139" s="555"/>
      <c r="DD139" s="555"/>
      <c r="DE139" s="555"/>
      <c r="DF139" s="555"/>
      <c r="DG139" s="555"/>
      <c r="DH139" s="555"/>
      <c r="DI139" s="555"/>
      <c r="DJ139" s="50"/>
      <c r="DK139" s="50"/>
      <c r="DL139" s="81"/>
      <c r="DM139" s="50"/>
      <c r="DN139" s="50"/>
      <c r="DO139" s="119"/>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1"/>
      <c r="FA139" s="50"/>
      <c r="FB139" s="51"/>
    </row>
    <row r="140" spans="1:158" ht="9" customHeight="1" thickBot="1">
      <c r="A140" s="49"/>
      <c r="B140" s="81"/>
      <c r="C140" s="50"/>
      <c r="D140" s="50"/>
      <c r="E140" s="555"/>
      <c r="F140" s="555"/>
      <c r="G140" s="555"/>
      <c r="H140" s="555"/>
      <c r="I140" s="555"/>
      <c r="J140" s="555"/>
      <c r="K140" s="555"/>
      <c r="L140" s="555"/>
      <c r="M140" s="555"/>
      <c r="N140" s="555"/>
      <c r="O140" s="555"/>
      <c r="P140" s="555"/>
      <c r="Q140" s="555"/>
      <c r="R140" s="555"/>
      <c r="S140" s="555"/>
      <c r="T140" s="555"/>
      <c r="U140" s="555"/>
      <c r="V140" s="555"/>
      <c r="W140" s="555"/>
      <c r="X140" s="555"/>
      <c r="Y140" s="555"/>
      <c r="Z140" s="555"/>
      <c r="AA140" s="555"/>
      <c r="AB140" s="555"/>
      <c r="AC140" s="555"/>
      <c r="AD140" s="555"/>
      <c r="AE140" s="555"/>
      <c r="AF140" s="555"/>
      <c r="AG140" s="555"/>
      <c r="AH140" s="555"/>
      <c r="AI140" s="555"/>
      <c r="AJ140" s="555"/>
      <c r="AK140" s="555"/>
      <c r="AL140" s="555"/>
      <c r="AM140" s="555"/>
      <c r="AN140" s="555"/>
      <c r="AO140" s="555"/>
      <c r="AP140" s="555"/>
      <c r="AQ140" s="555"/>
      <c r="AR140" s="555"/>
      <c r="AS140" s="555"/>
      <c r="AT140" s="555"/>
      <c r="AU140" s="555"/>
      <c r="AV140" s="555"/>
      <c r="AW140" s="555"/>
      <c r="AX140" s="555"/>
      <c r="AY140" s="555"/>
      <c r="AZ140" s="555"/>
      <c r="BA140" s="555"/>
      <c r="BB140" s="555"/>
      <c r="BC140" s="555"/>
      <c r="BD140" s="555"/>
      <c r="BE140" s="555"/>
      <c r="BF140" s="555"/>
      <c r="BG140" s="555"/>
      <c r="BH140" s="555"/>
      <c r="BI140" s="555"/>
      <c r="BJ140" s="555"/>
      <c r="BK140" s="555"/>
      <c r="BL140" s="555"/>
      <c r="BM140" s="555"/>
      <c r="BN140" s="555"/>
      <c r="BO140" s="555"/>
      <c r="BP140" s="555"/>
      <c r="BQ140" s="555"/>
      <c r="BR140" s="555"/>
      <c r="BS140" s="555"/>
      <c r="BT140" s="555"/>
      <c r="BU140" s="555"/>
      <c r="BV140" s="555"/>
      <c r="BW140" s="555"/>
      <c r="BX140" s="555"/>
      <c r="BY140" s="555"/>
      <c r="BZ140" s="555"/>
      <c r="CA140" s="555"/>
      <c r="CB140" s="555"/>
      <c r="CC140" s="555"/>
      <c r="CD140" s="555"/>
      <c r="CE140" s="555"/>
      <c r="CF140" s="555"/>
      <c r="CG140" s="555"/>
      <c r="CH140" s="555"/>
      <c r="CI140" s="555"/>
      <c r="CJ140" s="555"/>
      <c r="CK140" s="555"/>
      <c r="CL140" s="555"/>
      <c r="CM140" s="555"/>
      <c r="CN140" s="555"/>
      <c r="CO140" s="555"/>
      <c r="CP140" s="555"/>
      <c r="CQ140" s="555"/>
      <c r="CR140" s="555"/>
      <c r="CS140" s="555"/>
      <c r="CT140" s="555"/>
      <c r="CU140" s="555"/>
      <c r="CV140" s="555"/>
      <c r="CW140" s="555"/>
      <c r="CX140" s="555"/>
      <c r="CY140" s="555"/>
      <c r="CZ140" s="555"/>
      <c r="DA140" s="555"/>
      <c r="DB140" s="555"/>
      <c r="DC140" s="555"/>
      <c r="DD140" s="555"/>
      <c r="DE140" s="555"/>
      <c r="DF140" s="555"/>
      <c r="DG140" s="555"/>
      <c r="DH140" s="555"/>
      <c r="DI140" s="555"/>
      <c r="DJ140" s="50"/>
      <c r="DK140" s="50"/>
      <c r="DL140" s="81"/>
      <c r="DM140" s="50"/>
      <c r="DN140" s="50"/>
      <c r="DO140" s="122"/>
      <c r="DP140" s="50"/>
      <c r="DQ140" s="50"/>
      <c r="DR140" s="50"/>
      <c r="DS140" s="50"/>
      <c r="DT140" s="50"/>
      <c r="DU140" s="50"/>
      <c r="DV140" s="50"/>
      <c r="DW140" s="50"/>
      <c r="DX140" s="50"/>
      <c r="DY140" s="50"/>
      <c r="DZ140" s="50"/>
      <c r="EA140" s="50"/>
      <c r="EB140" s="50"/>
      <c r="EC140" s="50"/>
      <c r="ED140" s="50"/>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123"/>
      <c r="FA140" s="50"/>
      <c r="FB140" s="51"/>
    </row>
    <row r="141" spans="1:158" ht="9" customHeight="1" thickTop="1">
      <c r="A141" s="49"/>
      <c r="B141" s="81"/>
      <c r="C141" s="50"/>
      <c r="D141" s="50"/>
      <c r="E141" s="555"/>
      <c r="F141" s="555"/>
      <c r="G141" s="555"/>
      <c r="H141" s="555"/>
      <c r="I141" s="555"/>
      <c r="J141" s="555"/>
      <c r="K141" s="555"/>
      <c r="L141" s="555"/>
      <c r="M141" s="555"/>
      <c r="N141" s="555"/>
      <c r="O141" s="555"/>
      <c r="P141" s="555"/>
      <c r="Q141" s="555"/>
      <c r="R141" s="555"/>
      <c r="S141" s="555"/>
      <c r="T141" s="555"/>
      <c r="U141" s="555"/>
      <c r="V141" s="555"/>
      <c r="W141" s="555"/>
      <c r="X141" s="555"/>
      <c r="Y141" s="555"/>
      <c r="Z141" s="555"/>
      <c r="AA141" s="555"/>
      <c r="AB141" s="555"/>
      <c r="AC141" s="555"/>
      <c r="AD141" s="555"/>
      <c r="AE141" s="555"/>
      <c r="AF141" s="555"/>
      <c r="AG141" s="555"/>
      <c r="AH141" s="555"/>
      <c r="AI141" s="555"/>
      <c r="AJ141" s="555"/>
      <c r="AK141" s="555"/>
      <c r="AL141" s="555"/>
      <c r="AM141" s="555"/>
      <c r="AN141" s="555"/>
      <c r="AO141" s="555"/>
      <c r="AP141" s="555"/>
      <c r="AQ141" s="555"/>
      <c r="AR141" s="555"/>
      <c r="AS141" s="555"/>
      <c r="AT141" s="555"/>
      <c r="AU141" s="555"/>
      <c r="AV141" s="555"/>
      <c r="AW141" s="555"/>
      <c r="AX141" s="555"/>
      <c r="AY141" s="555"/>
      <c r="AZ141" s="555"/>
      <c r="BA141" s="555"/>
      <c r="BB141" s="555"/>
      <c r="BC141" s="555"/>
      <c r="BD141" s="555"/>
      <c r="BE141" s="555"/>
      <c r="BF141" s="555"/>
      <c r="BG141" s="555"/>
      <c r="BH141" s="555"/>
      <c r="BI141" s="555"/>
      <c r="BJ141" s="555"/>
      <c r="BK141" s="555"/>
      <c r="BL141" s="555"/>
      <c r="BM141" s="555"/>
      <c r="BN141" s="555"/>
      <c r="BO141" s="555"/>
      <c r="BP141" s="555"/>
      <c r="BQ141" s="555"/>
      <c r="BR141" s="555"/>
      <c r="BS141" s="555"/>
      <c r="BT141" s="555"/>
      <c r="BU141" s="555"/>
      <c r="BV141" s="555"/>
      <c r="BW141" s="555"/>
      <c r="BX141" s="555"/>
      <c r="BY141" s="555"/>
      <c r="BZ141" s="555"/>
      <c r="CA141" s="555"/>
      <c r="CB141" s="555"/>
      <c r="CC141" s="555"/>
      <c r="CD141" s="555"/>
      <c r="CE141" s="555"/>
      <c r="CF141" s="555"/>
      <c r="CG141" s="555"/>
      <c r="CH141" s="555"/>
      <c r="CI141" s="555"/>
      <c r="CJ141" s="555"/>
      <c r="CK141" s="555"/>
      <c r="CL141" s="555"/>
      <c r="CM141" s="555"/>
      <c r="CN141" s="555"/>
      <c r="CO141" s="555"/>
      <c r="CP141" s="555"/>
      <c r="CQ141" s="555"/>
      <c r="CR141" s="555"/>
      <c r="CS141" s="555"/>
      <c r="CT141" s="555"/>
      <c r="CU141" s="555"/>
      <c r="CV141" s="555"/>
      <c r="CW141" s="555"/>
      <c r="CX141" s="555"/>
      <c r="CY141" s="555"/>
      <c r="CZ141" s="555"/>
      <c r="DA141" s="555"/>
      <c r="DB141" s="555"/>
      <c r="DC141" s="555"/>
      <c r="DD141" s="555"/>
      <c r="DE141" s="555"/>
      <c r="DF141" s="555"/>
      <c r="DG141" s="555"/>
      <c r="DH141" s="555"/>
      <c r="DI141" s="555"/>
      <c r="DJ141" s="50"/>
      <c r="DK141" s="50"/>
      <c r="DL141" s="81"/>
      <c r="DM141" s="50"/>
      <c r="DN141" s="50"/>
      <c r="DO141" s="122"/>
      <c r="DP141" s="50"/>
      <c r="DQ141" s="126"/>
      <c r="DR141" s="552" t="s">
        <v>576</v>
      </c>
      <c r="DS141" s="552"/>
      <c r="DT141" s="552"/>
      <c r="DU141" s="552"/>
      <c r="DV141" s="552"/>
      <c r="DW141" s="552"/>
      <c r="DX141" s="552"/>
      <c r="DY141" s="552"/>
      <c r="DZ141" s="552"/>
      <c r="EA141" s="552"/>
      <c r="EB141" s="552"/>
      <c r="EC141" s="552"/>
      <c r="ED141" s="552"/>
      <c r="EE141" s="552"/>
      <c r="EF141" s="552"/>
      <c r="EG141" s="552"/>
      <c r="EH141" s="552"/>
      <c r="EI141" s="552"/>
      <c r="EJ141" s="552"/>
      <c r="EK141" s="552"/>
      <c r="EL141" s="552"/>
      <c r="EM141" s="552"/>
      <c r="EN141" s="552"/>
      <c r="EO141" s="552"/>
      <c r="EP141" s="552"/>
      <c r="EQ141" s="552"/>
      <c r="ER141" s="552"/>
      <c r="ES141" s="552"/>
      <c r="ET141" s="552"/>
      <c r="EU141" s="552"/>
      <c r="EV141" s="552"/>
      <c r="EW141" s="552"/>
      <c r="EX141" s="127"/>
      <c r="EY141" s="50"/>
      <c r="EZ141" s="123"/>
      <c r="FA141" s="50"/>
      <c r="FB141" s="51"/>
    </row>
    <row r="142" spans="1:158" ht="9" customHeight="1">
      <c r="A142" s="49"/>
      <c r="B142" s="81"/>
      <c r="C142" s="50"/>
      <c r="D142" s="50"/>
      <c r="E142" s="555"/>
      <c r="F142" s="555"/>
      <c r="G142" s="555"/>
      <c r="H142" s="555"/>
      <c r="I142" s="555"/>
      <c r="J142" s="555"/>
      <c r="K142" s="555"/>
      <c r="L142" s="555"/>
      <c r="M142" s="555"/>
      <c r="N142" s="555"/>
      <c r="O142" s="555"/>
      <c r="P142" s="555"/>
      <c r="Q142" s="555"/>
      <c r="R142" s="555"/>
      <c r="S142" s="555"/>
      <c r="T142" s="555"/>
      <c r="U142" s="555"/>
      <c r="V142" s="555"/>
      <c r="W142" s="555"/>
      <c r="X142" s="555"/>
      <c r="Y142" s="555"/>
      <c r="Z142" s="555"/>
      <c r="AA142" s="555"/>
      <c r="AB142" s="555"/>
      <c r="AC142" s="555"/>
      <c r="AD142" s="555"/>
      <c r="AE142" s="555"/>
      <c r="AF142" s="555"/>
      <c r="AG142" s="555"/>
      <c r="AH142" s="555"/>
      <c r="AI142" s="555"/>
      <c r="AJ142" s="555"/>
      <c r="AK142" s="555"/>
      <c r="AL142" s="555"/>
      <c r="AM142" s="555"/>
      <c r="AN142" s="555"/>
      <c r="AO142" s="555"/>
      <c r="AP142" s="555"/>
      <c r="AQ142" s="555"/>
      <c r="AR142" s="555"/>
      <c r="AS142" s="555"/>
      <c r="AT142" s="555"/>
      <c r="AU142" s="555"/>
      <c r="AV142" s="555"/>
      <c r="AW142" s="555"/>
      <c r="AX142" s="555"/>
      <c r="AY142" s="555"/>
      <c r="AZ142" s="555"/>
      <c r="BA142" s="555"/>
      <c r="BB142" s="555"/>
      <c r="BC142" s="555"/>
      <c r="BD142" s="555"/>
      <c r="BE142" s="555"/>
      <c r="BF142" s="555"/>
      <c r="BG142" s="555"/>
      <c r="BH142" s="555"/>
      <c r="BI142" s="555"/>
      <c r="BJ142" s="555"/>
      <c r="BK142" s="555"/>
      <c r="BL142" s="555"/>
      <c r="BM142" s="555"/>
      <c r="BN142" s="555"/>
      <c r="BO142" s="555"/>
      <c r="BP142" s="555"/>
      <c r="BQ142" s="555"/>
      <c r="BR142" s="555"/>
      <c r="BS142" s="555"/>
      <c r="BT142" s="555"/>
      <c r="BU142" s="555"/>
      <c r="BV142" s="555"/>
      <c r="BW142" s="555"/>
      <c r="BX142" s="555"/>
      <c r="BY142" s="555"/>
      <c r="BZ142" s="555"/>
      <c r="CA142" s="555"/>
      <c r="CB142" s="555"/>
      <c r="CC142" s="555"/>
      <c r="CD142" s="555"/>
      <c r="CE142" s="555"/>
      <c r="CF142" s="555"/>
      <c r="CG142" s="555"/>
      <c r="CH142" s="555"/>
      <c r="CI142" s="555"/>
      <c r="CJ142" s="555"/>
      <c r="CK142" s="555"/>
      <c r="CL142" s="555"/>
      <c r="CM142" s="555"/>
      <c r="CN142" s="555"/>
      <c r="CO142" s="555"/>
      <c r="CP142" s="555"/>
      <c r="CQ142" s="555"/>
      <c r="CR142" s="555"/>
      <c r="CS142" s="555"/>
      <c r="CT142" s="555"/>
      <c r="CU142" s="555"/>
      <c r="CV142" s="555"/>
      <c r="CW142" s="555"/>
      <c r="CX142" s="555"/>
      <c r="CY142" s="555"/>
      <c r="CZ142" s="555"/>
      <c r="DA142" s="555"/>
      <c r="DB142" s="555"/>
      <c r="DC142" s="555"/>
      <c r="DD142" s="555"/>
      <c r="DE142" s="555"/>
      <c r="DF142" s="555"/>
      <c r="DG142" s="555"/>
      <c r="DH142" s="555"/>
      <c r="DI142" s="555"/>
      <c r="DJ142" s="50"/>
      <c r="DK142" s="50"/>
      <c r="DL142" s="81"/>
      <c r="DM142" s="50"/>
      <c r="DN142" s="50"/>
      <c r="DO142" s="122"/>
      <c r="DP142" s="50"/>
      <c r="DQ142" s="124"/>
      <c r="DR142" s="553"/>
      <c r="DS142" s="553"/>
      <c r="DT142" s="553"/>
      <c r="DU142" s="553"/>
      <c r="DV142" s="553"/>
      <c r="DW142" s="553"/>
      <c r="DX142" s="553"/>
      <c r="DY142" s="553"/>
      <c r="DZ142" s="553"/>
      <c r="EA142" s="553"/>
      <c r="EB142" s="553"/>
      <c r="EC142" s="553"/>
      <c r="ED142" s="553"/>
      <c r="EE142" s="553"/>
      <c r="EF142" s="553"/>
      <c r="EG142" s="553"/>
      <c r="EH142" s="553"/>
      <c r="EI142" s="553"/>
      <c r="EJ142" s="553"/>
      <c r="EK142" s="553"/>
      <c r="EL142" s="553"/>
      <c r="EM142" s="553"/>
      <c r="EN142" s="553"/>
      <c r="EO142" s="553"/>
      <c r="EP142" s="553"/>
      <c r="EQ142" s="553"/>
      <c r="ER142" s="553"/>
      <c r="ES142" s="553"/>
      <c r="ET142" s="553"/>
      <c r="EU142" s="553"/>
      <c r="EV142" s="553"/>
      <c r="EW142" s="553"/>
      <c r="EX142" s="125"/>
      <c r="EY142" s="50"/>
      <c r="EZ142" s="123"/>
      <c r="FA142" s="50"/>
      <c r="FB142" s="51"/>
    </row>
    <row r="143" spans="1:158" ht="9" customHeight="1">
      <c r="A143" s="49"/>
      <c r="B143" s="81"/>
      <c r="C143" s="50"/>
      <c r="D143" s="50"/>
      <c r="E143" s="555"/>
      <c r="F143" s="555"/>
      <c r="G143" s="555"/>
      <c r="H143" s="555"/>
      <c r="I143" s="555"/>
      <c r="J143" s="555"/>
      <c r="K143" s="555"/>
      <c r="L143" s="555"/>
      <c r="M143" s="555"/>
      <c r="N143" s="555"/>
      <c r="O143" s="555"/>
      <c r="P143" s="555"/>
      <c r="Q143" s="555"/>
      <c r="R143" s="555"/>
      <c r="S143" s="555"/>
      <c r="T143" s="555"/>
      <c r="U143" s="555"/>
      <c r="V143" s="555"/>
      <c r="W143" s="555"/>
      <c r="X143" s="555"/>
      <c r="Y143" s="555"/>
      <c r="Z143" s="555"/>
      <c r="AA143" s="555"/>
      <c r="AB143" s="555"/>
      <c r="AC143" s="555"/>
      <c r="AD143" s="555"/>
      <c r="AE143" s="555"/>
      <c r="AF143" s="555"/>
      <c r="AG143" s="555"/>
      <c r="AH143" s="555"/>
      <c r="AI143" s="555"/>
      <c r="AJ143" s="555"/>
      <c r="AK143" s="555"/>
      <c r="AL143" s="555"/>
      <c r="AM143" s="555"/>
      <c r="AN143" s="555"/>
      <c r="AO143" s="555"/>
      <c r="AP143" s="555"/>
      <c r="AQ143" s="555"/>
      <c r="AR143" s="555"/>
      <c r="AS143" s="555"/>
      <c r="AT143" s="555"/>
      <c r="AU143" s="555"/>
      <c r="AV143" s="555"/>
      <c r="AW143" s="555"/>
      <c r="AX143" s="555"/>
      <c r="AY143" s="555"/>
      <c r="AZ143" s="555"/>
      <c r="BA143" s="555"/>
      <c r="BB143" s="555"/>
      <c r="BC143" s="555"/>
      <c r="BD143" s="555"/>
      <c r="BE143" s="555"/>
      <c r="BF143" s="555"/>
      <c r="BG143" s="555"/>
      <c r="BH143" s="555"/>
      <c r="BI143" s="555"/>
      <c r="BJ143" s="555"/>
      <c r="BK143" s="555"/>
      <c r="BL143" s="555"/>
      <c r="BM143" s="555"/>
      <c r="BN143" s="555"/>
      <c r="BO143" s="555"/>
      <c r="BP143" s="555"/>
      <c r="BQ143" s="555"/>
      <c r="BR143" s="555"/>
      <c r="BS143" s="555"/>
      <c r="BT143" s="555"/>
      <c r="BU143" s="555"/>
      <c r="BV143" s="555"/>
      <c r="BW143" s="555"/>
      <c r="BX143" s="555"/>
      <c r="BY143" s="555"/>
      <c r="BZ143" s="555"/>
      <c r="CA143" s="555"/>
      <c r="CB143" s="555"/>
      <c r="CC143" s="555"/>
      <c r="CD143" s="555"/>
      <c r="CE143" s="555"/>
      <c r="CF143" s="555"/>
      <c r="CG143" s="555"/>
      <c r="CH143" s="555"/>
      <c r="CI143" s="555"/>
      <c r="CJ143" s="555"/>
      <c r="CK143" s="555"/>
      <c r="CL143" s="555"/>
      <c r="CM143" s="555"/>
      <c r="CN143" s="555"/>
      <c r="CO143" s="555"/>
      <c r="CP143" s="555"/>
      <c r="CQ143" s="555"/>
      <c r="CR143" s="555"/>
      <c r="CS143" s="555"/>
      <c r="CT143" s="555"/>
      <c r="CU143" s="555"/>
      <c r="CV143" s="555"/>
      <c r="CW143" s="555"/>
      <c r="CX143" s="555"/>
      <c r="CY143" s="555"/>
      <c r="CZ143" s="555"/>
      <c r="DA143" s="555"/>
      <c r="DB143" s="555"/>
      <c r="DC143" s="555"/>
      <c r="DD143" s="555"/>
      <c r="DE143" s="555"/>
      <c r="DF143" s="555"/>
      <c r="DG143" s="555"/>
      <c r="DH143" s="555"/>
      <c r="DI143" s="555"/>
      <c r="DJ143" s="50"/>
      <c r="DK143" s="50"/>
      <c r="DL143" s="81"/>
      <c r="DM143" s="50"/>
      <c r="DN143" s="50"/>
      <c r="DO143" s="122"/>
      <c r="DP143" s="50"/>
      <c r="DQ143" s="124"/>
      <c r="DR143" s="553"/>
      <c r="DS143" s="553"/>
      <c r="DT143" s="553"/>
      <c r="DU143" s="553"/>
      <c r="DV143" s="553"/>
      <c r="DW143" s="553"/>
      <c r="DX143" s="553"/>
      <c r="DY143" s="553"/>
      <c r="DZ143" s="553"/>
      <c r="EA143" s="553"/>
      <c r="EB143" s="553"/>
      <c r="EC143" s="553"/>
      <c r="ED143" s="553"/>
      <c r="EE143" s="553"/>
      <c r="EF143" s="553"/>
      <c r="EG143" s="553"/>
      <c r="EH143" s="553"/>
      <c r="EI143" s="553"/>
      <c r="EJ143" s="553"/>
      <c r="EK143" s="553"/>
      <c r="EL143" s="553"/>
      <c r="EM143" s="553"/>
      <c r="EN143" s="553"/>
      <c r="EO143" s="553"/>
      <c r="EP143" s="553"/>
      <c r="EQ143" s="553"/>
      <c r="ER143" s="553"/>
      <c r="ES143" s="553"/>
      <c r="ET143" s="553"/>
      <c r="EU143" s="553"/>
      <c r="EV143" s="553"/>
      <c r="EW143" s="553"/>
      <c r="EX143" s="125"/>
      <c r="EY143" s="50"/>
      <c r="EZ143" s="123"/>
      <c r="FA143" s="50"/>
      <c r="FB143" s="51"/>
    </row>
    <row r="144" spans="1:158" ht="9" customHeight="1" thickBot="1">
      <c r="A144" s="49"/>
      <c r="B144" s="81"/>
      <c r="C144" s="50"/>
      <c r="D144" s="50"/>
      <c r="E144" s="555"/>
      <c r="F144" s="555"/>
      <c r="G144" s="555"/>
      <c r="H144" s="555"/>
      <c r="I144" s="555"/>
      <c r="J144" s="555"/>
      <c r="K144" s="555"/>
      <c r="L144" s="555"/>
      <c r="M144" s="555"/>
      <c r="N144" s="555"/>
      <c r="O144" s="555"/>
      <c r="P144" s="555"/>
      <c r="Q144" s="555"/>
      <c r="R144" s="555"/>
      <c r="S144" s="555"/>
      <c r="T144" s="555"/>
      <c r="U144" s="555"/>
      <c r="V144" s="555"/>
      <c r="W144" s="555"/>
      <c r="X144" s="555"/>
      <c r="Y144" s="555"/>
      <c r="Z144" s="555"/>
      <c r="AA144" s="555"/>
      <c r="AB144" s="555"/>
      <c r="AC144" s="555"/>
      <c r="AD144" s="555"/>
      <c r="AE144" s="555"/>
      <c r="AF144" s="555"/>
      <c r="AG144" s="555"/>
      <c r="AH144" s="555"/>
      <c r="AI144" s="555"/>
      <c r="AJ144" s="555"/>
      <c r="AK144" s="555"/>
      <c r="AL144" s="555"/>
      <c r="AM144" s="555"/>
      <c r="AN144" s="555"/>
      <c r="AO144" s="555"/>
      <c r="AP144" s="555"/>
      <c r="AQ144" s="555"/>
      <c r="AR144" s="555"/>
      <c r="AS144" s="555"/>
      <c r="AT144" s="555"/>
      <c r="AU144" s="555"/>
      <c r="AV144" s="555"/>
      <c r="AW144" s="555"/>
      <c r="AX144" s="555"/>
      <c r="AY144" s="555"/>
      <c r="AZ144" s="555"/>
      <c r="BA144" s="555"/>
      <c r="BB144" s="555"/>
      <c r="BC144" s="555"/>
      <c r="BD144" s="555"/>
      <c r="BE144" s="555"/>
      <c r="BF144" s="555"/>
      <c r="BG144" s="555"/>
      <c r="BH144" s="555"/>
      <c r="BI144" s="555"/>
      <c r="BJ144" s="555"/>
      <c r="BK144" s="555"/>
      <c r="BL144" s="555"/>
      <c r="BM144" s="555"/>
      <c r="BN144" s="555"/>
      <c r="BO144" s="555"/>
      <c r="BP144" s="555"/>
      <c r="BQ144" s="555"/>
      <c r="BR144" s="555"/>
      <c r="BS144" s="555"/>
      <c r="BT144" s="555"/>
      <c r="BU144" s="555"/>
      <c r="BV144" s="555"/>
      <c r="BW144" s="555"/>
      <c r="BX144" s="555"/>
      <c r="BY144" s="555"/>
      <c r="BZ144" s="555"/>
      <c r="CA144" s="555"/>
      <c r="CB144" s="555"/>
      <c r="CC144" s="555"/>
      <c r="CD144" s="555"/>
      <c r="CE144" s="555"/>
      <c r="CF144" s="555"/>
      <c r="CG144" s="555"/>
      <c r="CH144" s="555"/>
      <c r="CI144" s="555"/>
      <c r="CJ144" s="555"/>
      <c r="CK144" s="555"/>
      <c r="CL144" s="555"/>
      <c r="CM144" s="555"/>
      <c r="CN144" s="555"/>
      <c r="CO144" s="555"/>
      <c r="CP144" s="555"/>
      <c r="CQ144" s="555"/>
      <c r="CR144" s="555"/>
      <c r="CS144" s="555"/>
      <c r="CT144" s="555"/>
      <c r="CU144" s="555"/>
      <c r="CV144" s="555"/>
      <c r="CW144" s="555"/>
      <c r="CX144" s="555"/>
      <c r="CY144" s="555"/>
      <c r="CZ144" s="555"/>
      <c r="DA144" s="555"/>
      <c r="DB144" s="555"/>
      <c r="DC144" s="555"/>
      <c r="DD144" s="555"/>
      <c r="DE144" s="555"/>
      <c r="DF144" s="555"/>
      <c r="DG144" s="555"/>
      <c r="DH144" s="555"/>
      <c r="DI144" s="555"/>
      <c r="DJ144" s="50"/>
      <c r="DK144" s="50"/>
      <c r="DL144" s="81"/>
      <c r="DM144" s="50"/>
      <c r="DN144" s="50"/>
      <c r="DO144" s="122"/>
      <c r="DP144" s="50"/>
      <c r="DQ144" s="127"/>
      <c r="DR144" s="554"/>
      <c r="DS144" s="554"/>
      <c r="DT144" s="554"/>
      <c r="DU144" s="554"/>
      <c r="DV144" s="554"/>
      <c r="DW144" s="554"/>
      <c r="DX144" s="554"/>
      <c r="DY144" s="554"/>
      <c r="DZ144" s="554"/>
      <c r="EA144" s="554"/>
      <c r="EB144" s="554"/>
      <c r="EC144" s="554"/>
      <c r="ED144" s="554"/>
      <c r="EE144" s="554"/>
      <c r="EF144" s="554"/>
      <c r="EG144" s="554"/>
      <c r="EH144" s="554"/>
      <c r="EI144" s="554"/>
      <c r="EJ144" s="554"/>
      <c r="EK144" s="554"/>
      <c r="EL144" s="554"/>
      <c r="EM144" s="554"/>
      <c r="EN144" s="554"/>
      <c r="EO144" s="554"/>
      <c r="EP144" s="554"/>
      <c r="EQ144" s="554"/>
      <c r="ER144" s="554"/>
      <c r="ES144" s="554"/>
      <c r="ET144" s="554"/>
      <c r="EU144" s="554"/>
      <c r="EV144" s="554"/>
      <c r="EW144" s="554"/>
      <c r="EX144" s="126"/>
      <c r="EY144" s="50"/>
      <c r="EZ144" s="123"/>
      <c r="FA144" s="50"/>
      <c r="FB144" s="51"/>
    </row>
    <row r="145" spans="1:158" ht="9" customHeight="1" thickTop="1">
      <c r="A145" s="49"/>
      <c r="B145" s="81"/>
      <c r="C145" s="50"/>
      <c r="D145" s="50"/>
      <c r="E145" s="555"/>
      <c r="F145" s="555"/>
      <c r="G145" s="555"/>
      <c r="H145" s="555"/>
      <c r="I145" s="555"/>
      <c r="J145" s="555"/>
      <c r="K145" s="555"/>
      <c r="L145" s="555"/>
      <c r="M145" s="555"/>
      <c r="N145" s="555"/>
      <c r="O145" s="555"/>
      <c r="P145" s="555"/>
      <c r="Q145" s="555"/>
      <c r="R145" s="555"/>
      <c r="S145" s="555"/>
      <c r="T145" s="555"/>
      <c r="U145" s="555"/>
      <c r="V145" s="555"/>
      <c r="W145" s="555"/>
      <c r="X145" s="555"/>
      <c r="Y145" s="555"/>
      <c r="Z145" s="555"/>
      <c r="AA145" s="555"/>
      <c r="AB145" s="555"/>
      <c r="AC145" s="555"/>
      <c r="AD145" s="555"/>
      <c r="AE145" s="555"/>
      <c r="AF145" s="555"/>
      <c r="AG145" s="555"/>
      <c r="AH145" s="555"/>
      <c r="AI145" s="555"/>
      <c r="AJ145" s="555"/>
      <c r="AK145" s="555"/>
      <c r="AL145" s="555"/>
      <c r="AM145" s="555"/>
      <c r="AN145" s="555"/>
      <c r="AO145" s="555"/>
      <c r="AP145" s="555"/>
      <c r="AQ145" s="555"/>
      <c r="AR145" s="555"/>
      <c r="AS145" s="555"/>
      <c r="AT145" s="555"/>
      <c r="AU145" s="555"/>
      <c r="AV145" s="555"/>
      <c r="AW145" s="555"/>
      <c r="AX145" s="555"/>
      <c r="AY145" s="555"/>
      <c r="AZ145" s="555"/>
      <c r="BA145" s="555"/>
      <c r="BB145" s="555"/>
      <c r="BC145" s="555"/>
      <c r="BD145" s="555"/>
      <c r="BE145" s="555"/>
      <c r="BF145" s="555"/>
      <c r="BG145" s="555"/>
      <c r="BH145" s="555"/>
      <c r="BI145" s="555"/>
      <c r="BJ145" s="555"/>
      <c r="BK145" s="555"/>
      <c r="BL145" s="555"/>
      <c r="BM145" s="555"/>
      <c r="BN145" s="555"/>
      <c r="BO145" s="555"/>
      <c r="BP145" s="555"/>
      <c r="BQ145" s="555"/>
      <c r="BR145" s="555"/>
      <c r="BS145" s="555"/>
      <c r="BT145" s="555"/>
      <c r="BU145" s="555"/>
      <c r="BV145" s="555"/>
      <c r="BW145" s="555"/>
      <c r="BX145" s="555"/>
      <c r="BY145" s="555"/>
      <c r="BZ145" s="555"/>
      <c r="CA145" s="555"/>
      <c r="CB145" s="555"/>
      <c r="CC145" s="555"/>
      <c r="CD145" s="555"/>
      <c r="CE145" s="555"/>
      <c r="CF145" s="555"/>
      <c r="CG145" s="555"/>
      <c r="CH145" s="555"/>
      <c r="CI145" s="555"/>
      <c r="CJ145" s="555"/>
      <c r="CK145" s="555"/>
      <c r="CL145" s="555"/>
      <c r="CM145" s="555"/>
      <c r="CN145" s="555"/>
      <c r="CO145" s="555"/>
      <c r="CP145" s="555"/>
      <c r="CQ145" s="555"/>
      <c r="CR145" s="555"/>
      <c r="CS145" s="555"/>
      <c r="CT145" s="555"/>
      <c r="CU145" s="555"/>
      <c r="CV145" s="555"/>
      <c r="CW145" s="555"/>
      <c r="CX145" s="555"/>
      <c r="CY145" s="555"/>
      <c r="CZ145" s="555"/>
      <c r="DA145" s="555"/>
      <c r="DB145" s="555"/>
      <c r="DC145" s="555"/>
      <c r="DD145" s="555"/>
      <c r="DE145" s="555"/>
      <c r="DF145" s="555"/>
      <c r="DG145" s="555"/>
      <c r="DH145" s="555"/>
      <c r="DI145" s="555"/>
      <c r="DJ145" s="50"/>
      <c r="DK145" s="50"/>
      <c r="DL145" s="81"/>
      <c r="DM145" s="50"/>
      <c r="DN145" s="50"/>
      <c r="DO145" s="122"/>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123"/>
      <c r="FA145" s="50"/>
      <c r="FB145" s="51"/>
    </row>
    <row r="146" spans="1:158" ht="9" customHeight="1">
      <c r="A146" s="49"/>
      <c r="B146" s="81"/>
      <c r="C146" s="50"/>
      <c r="D146" s="50"/>
      <c r="E146" s="555"/>
      <c r="F146" s="555"/>
      <c r="G146" s="555"/>
      <c r="H146" s="555"/>
      <c r="I146" s="555"/>
      <c r="J146" s="555"/>
      <c r="K146" s="555"/>
      <c r="L146" s="555"/>
      <c r="M146" s="555"/>
      <c r="N146" s="555"/>
      <c r="O146" s="555"/>
      <c r="P146" s="555"/>
      <c r="Q146" s="555"/>
      <c r="R146" s="555"/>
      <c r="S146" s="555"/>
      <c r="T146" s="555"/>
      <c r="U146" s="555"/>
      <c r="V146" s="555"/>
      <c r="W146" s="555"/>
      <c r="X146" s="555"/>
      <c r="Y146" s="555"/>
      <c r="Z146" s="555"/>
      <c r="AA146" s="555"/>
      <c r="AB146" s="555"/>
      <c r="AC146" s="555"/>
      <c r="AD146" s="555"/>
      <c r="AE146" s="555"/>
      <c r="AF146" s="555"/>
      <c r="AG146" s="555"/>
      <c r="AH146" s="555"/>
      <c r="AI146" s="555"/>
      <c r="AJ146" s="555"/>
      <c r="AK146" s="555"/>
      <c r="AL146" s="555"/>
      <c r="AM146" s="555"/>
      <c r="AN146" s="555"/>
      <c r="AO146" s="555"/>
      <c r="AP146" s="555"/>
      <c r="AQ146" s="555"/>
      <c r="AR146" s="555"/>
      <c r="AS146" s="555"/>
      <c r="AT146" s="555"/>
      <c r="AU146" s="555"/>
      <c r="AV146" s="555"/>
      <c r="AW146" s="555"/>
      <c r="AX146" s="555"/>
      <c r="AY146" s="555"/>
      <c r="AZ146" s="555"/>
      <c r="BA146" s="555"/>
      <c r="BB146" s="555"/>
      <c r="BC146" s="555"/>
      <c r="BD146" s="555"/>
      <c r="BE146" s="555"/>
      <c r="BF146" s="555"/>
      <c r="BG146" s="555"/>
      <c r="BH146" s="555"/>
      <c r="BI146" s="555"/>
      <c r="BJ146" s="555"/>
      <c r="BK146" s="555"/>
      <c r="BL146" s="555"/>
      <c r="BM146" s="555"/>
      <c r="BN146" s="555"/>
      <c r="BO146" s="555"/>
      <c r="BP146" s="555"/>
      <c r="BQ146" s="555"/>
      <c r="BR146" s="555"/>
      <c r="BS146" s="555"/>
      <c r="BT146" s="555"/>
      <c r="BU146" s="555"/>
      <c r="BV146" s="555"/>
      <c r="BW146" s="555"/>
      <c r="BX146" s="555"/>
      <c r="BY146" s="555"/>
      <c r="BZ146" s="555"/>
      <c r="CA146" s="555"/>
      <c r="CB146" s="555"/>
      <c r="CC146" s="555"/>
      <c r="CD146" s="555"/>
      <c r="CE146" s="555"/>
      <c r="CF146" s="555"/>
      <c r="CG146" s="555"/>
      <c r="CH146" s="555"/>
      <c r="CI146" s="555"/>
      <c r="CJ146" s="555"/>
      <c r="CK146" s="555"/>
      <c r="CL146" s="555"/>
      <c r="CM146" s="555"/>
      <c r="CN146" s="555"/>
      <c r="CO146" s="555"/>
      <c r="CP146" s="555"/>
      <c r="CQ146" s="555"/>
      <c r="CR146" s="555"/>
      <c r="CS146" s="555"/>
      <c r="CT146" s="555"/>
      <c r="CU146" s="555"/>
      <c r="CV146" s="555"/>
      <c r="CW146" s="555"/>
      <c r="CX146" s="555"/>
      <c r="CY146" s="555"/>
      <c r="CZ146" s="555"/>
      <c r="DA146" s="555"/>
      <c r="DB146" s="555"/>
      <c r="DC146" s="555"/>
      <c r="DD146" s="555"/>
      <c r="DE146" s="555"/>
      <c r="DF146" s="555"/>
      <c r="DG146" s="555"/>
      <c r="DH146" s="555"/>
      <c r="DI146" s="555"/>
      <c r="DJ146" s="50"/>
      <c r="DK146" s="50"/>
      <c r="DL146" s="81"/>
      <c r="DM146" s="50"/>
      <c r="DN146" s="50"/>
      <c r="DO146" s="122"/>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123"/>
      <c r="FA146" s="50"/>
      <c r="FB146" s="51"/>
    </row>
    <row r="147" spans="1:158" ht="9" customHeight="1">
      <c r="A147" s="49"/>
      <c r="B147" s="81"/>
      <c r="C147" s="50"/>
      <c r="D147" s="50"/>
      <c r="E147" s="555"/>
      <c r="F147" s="555"/>
      <c r="G147" s="555"/>
      <c r="H147" s="555"/>
      <c r="I147" s="555"/>
      <c r="J147" s="555"/>
      <c r="K147" s="555"/>
      <c r="L147" s="555"/>
      <c r="M147" s="555"/>
      <c r="N147" s="555"/>
      <c r="O147" s="555"/>
      <c r="P147" s="555"/>
      <c r="Q147" s="555"/>
      <c r="R147" s="555"/>
      <c r="S147" s="555"/>
      <c r="T147" s="555"/>
      <c r="U147" s="555"/>
      <c r="V147" s="555"/>
      <c r="W147" s="555"/>
      <c r="X147" s="555"/>
      <c r="Y147" s="555"/>
      <c r="Z147" s="555"/>
      <c r="AA147" s="555"/>
      <c r="AB147" s="555"/>
      <c r="AC147" s="555"/>
      <c r="AD147" s="555"/>
      <c r="AE147" s="555"/>
      <c r="AF147" s="555"/>
      <c r="AG147" s="555"/>
      <c r="AH147" s="555"/>
      <c r="AI147" s="555"/>
      <c r="AJ147" s="555"/>
      <c r="AK147" s="555"/>
      <c r="AL147" s="555"/>
      <c r="AM147" s="555"/>
      <c r="AN147" s="555"/>
      <c r="AO147" s="555"/>
      <c r="AP147" s="555"/>
      <c r="AQ147" s="555"/>
      <c r="AR147" s="555"/>
      <c r="AS147" s="555"/>
      <c r="AT147" s="555"/>
      <c r="AU147" s="555"/>
      <c r="AV147" s="555"/>
      <c r="AW147" s="555"/>
      <c r="AX147" s="555"/>
      <c r="AY147" s="555"/>
      <c r="AZ147" s="555"/>
      <c r="BA147" s="555"/>
      <c r="BB147" s="555"/>
      <c r="BC147" s="555"/>
      <c r="BD147" s="555"/>
      <c r="BE147" s="555"/>
      <c r="BF147" s="555"/>
      <c r="BG147" s="555"/>
      <c r="BH147" s="555"/>
      <c r="BI147" s="555"/>
      <c r="BJ147" s="555"/>
      <c r="BK147" s="555"/>
      <c r="BL147" s="555"/>
      <c r="BM147" s="555"/>
      <c r="BN147" s="555"/>
      <c r="BO147" s="555"/>
      <c r="BP147" s="555"/>
      <c r="BQ147" s="555"/>
      <c r="BR147" s="555"/>
      <c r="BS147" s="555"/>
      <c r="BT147" s="555"/>
      <c r="BU147" s="555"/>
      <c r="BV147" s="555"/>
      <c r="BW147" s="555"/>
      <c r="BX147" s="555"/>
      <c r="BY147" s="555"/>
      <c r="BZ147" s="555"/>
      <c r="CA147" s="555"/>
      <c r="CB147" s="555"/>
      <c r="CC147" s="555"/>
      <c r="CD147" s="555"/>
      <c r="CE147" s="555"/>
      <c r="CF147" s="555"/>
      <c r="CG147" s="555"/>
      <c r="CH147" s="555"/>
      <c r="CI147" s="555"/>
      <c r="CJ147" s="555"/>
      <c r="CK147" s="555"/>
      <c r="CL147" s="555"/>
      <c r="CM147" s="555"/>
      <c r="CN147" s="555"/>
      <c r="CO147" s="555"/>
      <c r="CP147" s="555"/>
      <c r="CQ147" s="555"/>
      <c r="CR147" s="555"/>
      <c r="CS147" s="555"/>
      <c r="CT147" s="555"/>
      <c r="CU147" s="555"/>
      <c r="CV147" s="555"/>
      <c r="CW147" s="555"/>
      <c r="CX147" s="555"/>
      <c r="CY147" s="555"/>
      <c r="CZ147" s="555"/>
      <c r="DA147" s="555"/>
      <c r="DB147" s="555"/>
      <c r="DC147" s="555"/>
      <c r="DD147" s="555"/>
      <c r="DE147" s="555"/>
      <c r="DF147" s="555"/>
      <c r="DG147" s="555"/>
      <c r="DH147" s="555"/>
      <c r="DI147" s="555"/>
      <c r="DJ147" s="50"/>
      <c r="DK147" s="50"/>
      <c r="DL147" s="81"/>
      <c r="DM147" s="50"/>
      <c r="DN147" s="50"/>
      <c r="DO147" s="122"/>
      <c r="DP147" s="520" t="str">
        <f>IF(Skills!X6="","","Acrobatics "&amp;IF(Skills!X6&lt;0,"-","+")&amp;Skills!X6)</f>
        <v/>
      </c>
      <c r="DQ147" s="520"/>
      <c r="DR147" s="520"/>
      <c r="DS147" s="520"/>
      <c r="DT147" s="520"/>
      <c r="DU147" s="520"/>
      <c r="DV147" s="520"/>
      <c r="DW147" s="520"/>
      <c r="DX147" s="520"/>
      <c r="DY147" s="520"/>
      <c r="DZ147" s="520"/>
      <c r="EA147" s="520"/>
      <c r="EB147" s="520"/>
      <c r="EC147" s="520"/>
      <c r="ED147" s="520"/>
      <c r="EE147" s="520"/>
      <c r="EF147" s="520"/>
      <c r="EG147" s="520"/>
      <c r="EH147" s="520"/>
      <c r="EI147" s="520"/>
      <c r="EJ147" s="520"/>
      <c r="EK147" s="520"/>
      <c r="EL147" s="520"/>
      <c r="EM147" s="520"/>
      <c r="EN147" s="520"/>
      <c r="EO147" s="520"/>
      <c r="EP147" s="520"/>
      <c r="EQ147" s="520"/>
      <c r="ER147" s="520"/>
      <c r="ES147" s="520"/>
      <c r="ET147" s="520"/>
      <c r="EU147" s="520"/>
      <c r="EV147" s="520"/>
      <c r="EW147" s="520"/>
      <c r="EX147" s="520"/>
      <c r="EY147" s="520"/>
      <c r="EZ147" s="123"/>
      <c r="FA147" s="50"/>
      <c r="FB147" s="51"/>
    </row>
    <row r="148" spans="1:158" ht="9" customHeight="1">
      <c r="A148" s="49"/>
      <c r="B148" s="81"/>
      <c r="C148" s="50"/>
      <c r="D148" s="50"/>
      <c r="E148" s="555"/>
      <c r="F148" s="555"/>
      <c r="G148" s="555"/>
      <c r="H148" s="555"/>
      <c r="I148" s="555"/>
      <c r="J148" s="555"/>
      <c r="K148" s="555"/>
      <c r="L148" s="555"/>
      <c r="M148" s="555"/>
      <c r="N148" s="555"/>
      <c r="O148" s="555"/>
      <c r="P148" s="555"/>
      <c r="Q148" s="555"/>
      <c r="R148" s="555"/>
      <c r="S148" s="555"/>
      <c r="T148" s="555"/>
      <c r="U148" s="555"/>
      <c r="V148" s="555"/>
      <c r="W148" s="555"/>
      <c r="X148" s="555"/>
      <c r="Y148" s="555"/>
      <c r="Z148" s="555"/>
      <c r="AA148" s="555"/>
      <c r="AB148" s="555"/>
      <c r="AC148" s="555"/>
      <c r="AD148" s="555"/>
      <c r="AE148" s="555"/>
      <c r="AF148" s="555"/>
      <c r="AG148" s="555"/>
      <c r="AH148" s="555"/>
      <c r="AI148" s="555"/>
      <c r="AJ148" s="555"/>
      <c r="AK148" s="555"/>
      <c r="AL148" s="555"/>
      <c r="AM148" s="555"/>
      <c r="AN148" s="555"/>
      <c r="AO148" s="555"/>
      <c r="AP148" s="555"/>
      <c r="AQ148" s="555"/>
      <c r="AR148" s="555"/>
      <c r="AS148" s="555"/>
      <c r="AT148" s="555"/>
      <c r="AU148" s="555"/>
      <c r="AV148" s="555"/>
      <c r="AW148" s="555"/>
      <c r="AX148" s="555"/>
      <c r="AY148" s="555"/>
      <c r="AZ148" s="555"/>
      <c r="BA148" s="555"/>
      <c r="BB148" s="555"/>
      <c r="BC148" s="555"/>
      <c r="BD148" s="555"/>
      <c r="BE148" s="555"/>
      <c r="BF148" s="555"/>
      <c r="BG148" s="555"/>
      <c r="BH148" s="555"/>
      <c r="BI148" s="555"/>
      <c r="BJ148" s="555"/>
      <c r="BK148" s="555"/>
      <c r="BL148" s="555"/>
      <c r="BM148" s="555"/>
      <c r="BN148" s="555"/>
      <c r="BO148" s="555"/>
      <c r="BP148" s="555"/>
      <c r="BQ148" s="555"/>
      <c r="BR148" s="555"/>
      <c r="BS148" s="555"/>
      <c r="BT148" s="555"/>
      <c r="BU148" s="555"/>
      <c r="BV148" s="555"/>
      <c r="BW148" s="555"/>
      <c r="BX148" s="555"/>
      <c r="BY148" s="555"/>
      <c r="BZ148" s="555"/>
      <c r="CA148" s="555"/>
      <c r="CB148" s="555"/>
      <c r="CC148" s="555"/>
      <c r="CD148" s="555"/>
      <c r="CE148" s="555"/>
      <c r="CF148" s="555"/>
      <c r="CG148" s="555"/>
      <c r="CH148" s="555"/>
      <c r="CI148" s="555"/>
      <c r="CJ148" s="555"/>
      <c r="CK148" s="555"/>
      <c r="CL148" s="555"/>
      <c r="CM148" s="555"/>
      <c r="CN148" s="555"/>
      <c r="CO148" s="555"/>
      <c r="CP148" s="555"/>
      <c r="CQ148" s="555"/>
      <c r="CR148" s="555"/>
      <c r="CS148" s="555"/>
      <c r="CT148" s="555"/>
      <c r="CU148" s="555"/>
      <c r="CV148" s="555"/>
      <c r="CW148" s="555"/>
      <c r="CX148" s="555"/>
      <c r="CY148" s="555"/>
      <c r="CZ148" s="555"/>
      <c r="DA148" s="555"/>
      <c r="DB148" s="555"/>
      <c r="DC148" s="555"/>
      <c r="DD148" s="555"/>
      <c r="DE148" s="555"/>
      <c r="DF148" s="555"/>
      <c r="DG148" s="555"/>
      <c r="DH148" s="555"/>
      <c r="DI148" s="555"/>
      <c r="DJ148" s="50"/>
      <c r="DK148" s="50"/>
      <c r="DL148" s="81"/>
      <c r="DM148" s="50"/>
      <c r="DN148" s="50"/>
      <c r="DO148" s="122"/>
      <c r="DP148" s="520"/>
      <c r="DQ148" s="520"/>
      <c r="DR148" s="520"/>
      <c r="DS148" s="520"/>
      <c r="DT148" s="520"/>
      <c r="DU148" s="520"/>
      <c r="DV148" s="520"/>
      <c r="DW148" s="520"/>
      <c r="DX148" s="520"/>
      <c r="DY148" s="520"/>
      <c r="DZ148" s="520"/>
      <c r="EA148" s="520"/>
      <c r="EB148" s="520"/>
      <c r="EC148" s="520"/>
      <c r="ED148" s="520"/>
      <c r="EE148" s="520"/>
      <c r="EF148" s="520"/>
      <c r="EG148" s="520"/>
      <c r="EH148" s="520"/>
      <c r="EI148" s="520"/>
      <c r="EJ148" s="520"/>
      <c r="EK148" s="520"/>
      <c r="EL148" s="520"/>
      <c r="EM148" s="520"/>
      <c r="EN148" s="520"/>
      <c r="EO148" s="520"/>
      <c r="EP148" s="520"/>
      <c r="EQ148" s="520"/>
      <c r="ER148" s="520"/>
      <c r="ES148" s="520"/>
      <c r="ET148" s="520"/>
      <c r="EU148" s="520"/>
      <c r="EV148" s="520"/>
      <c r="EW148" s="520"/>
      <c r="EX148" s="520"/>
      <c r="EY148" s="520"/>
      <c r="EZ148" s="123"/>
      <c r="FA148" s="50"/>
      <c r="FB148" s="51"/>
    </row>
    <row r="149" spans="1:158" ht="9" customHeight="1">
      <c r="A149" s="49"/>
      <c r="B149" s="81"/>
      <c r="C149" s="50"/>
      <c r="D149" s="50"/>
      <c r="E149" s="555"/>
      <c r="F149" s="555"/>
      <c r="G149" s="555"/>
      <c r="H149" s="555"/>
      <c r="I149" s="555"/>
      <c r="J149" s="555"/>
      <c r="K149" s="555"/>
      <c r="L149" s="555"/>
      <c r="M149" s="555"/>
      <c r="N149" s="555"/>
      <c r="O149" s="555"/>
      <c r="P149" s="555"/>
      <c r="Q149" s="555"/>
      <c r="R149" s="555"/>
      <c r="S149" s="555"/>
      <c r="T149" s="555"/>
      <c r="U149" s="555"/>
      <c r="V149" s="555"/>
      <c r="W149" s="555"/>
      <c r="X149" s="555"/>
      <c r="Y149" s="555"/>
      <c r="Z149" s="555"/>
      <c r="AA149" s="555"/>
      <c r="AB149" s="555"/>
      <c r="AC149" s="555"/>
      <c r="AD149" s="555"/>
      <c r="AE149" s="555"/>
      <c r="AF149" s="555"/>
      <c r="AG149" s="555"/>
      <c r="AH149" s="555"/>
      <c r="AI149" s="555"/>
      <c r="AJ149" s="555"/>
      <c r="AK149" s="555"/>
      <c r="AL149" s="555"/>
      <c r="AM149" s="555"/>
      <c r="AN149" s="555"/>
      <c r="AO149" s="555"/>
      <c r="AP149" s="555"/>
      <c r="AQ149" s="555"/>
      <c r="AR149" s="555"/>
      <c r="AS149" s="555"/>
      <c r="AT149" s="555"/>
      <c r="AU149" s="555"/>
      <c r="AV149" s="555"/>
      <c r="AW149" s="555"/>
      <c r="AX149" s="555"/>
      <c r="AY149" s="555"/>
      <c r="AZ149" s="555"/>
      <c r="BA149" s="555"/>
      <c r="BB149" s="555"/>
      <c r="BC149" s="555"/>
      <c r="BD149" s="555"/>
      <c r="BE149" s="555"/>
      <c r="BF149" s="555"/>
      <c r="BG149" s="555"/>
      <c r="BH149" s="555"/>
      <c r="BI149" s="555"/>
      <c r="BJ149" s="555"/>
      <c r="BK149" s="555"/>
      <c r="BL149" s="555"/>
      <c r="BM149" s="555"/>
      <c r="BN149" s="555"/>
      <c r="BO149" s="555"/>
      <c r="BP149" s="555"/>
      <c r="BQ149" s="555"/>
      <c r="BR149" s="555"/>
      <c r="BS149" s="555"/>
      <c r="BT149" s="555"/>
      <c r="BU149" s="555"/>
      <c r="BV149" s="555"/>
      <c r="BW149" s="555"/>
      <c r="BX149" s="555"/>
      <c r="BY149" s="555"/>
      <c r="BZ149" s="555"/>
      <c r="CA149" s="555"/>
      <c r="CB149" s="555"/>
      <c r="CC149" s="555"/>
      <c r="CD149" s="555"/>
      <c r="CE149" s="555"/>
      <c r="CF149" s="555"/>
      <c r="CG149" s="555"/>
      <c r="CH149" s="555"/>
      <c r="CI149" s="555"/>
      <c r="CJ149" s="555"/>
      <c r="CK149" s="555"/>
      <c r="CL149" s="555"/>
      <c r="CM149" s="555"/>
      <c r="CN149" s="555"/>
      <c r="CO149" s="555"/>
      <c r="CP149" s="555"/>
      <c r="CQ149" s="555"/>
      <c r="CR149" s="555"/>
      <c r="CS149" s="555"/>
      <c r="CT149" s="555"/>
      <c r="CU149" s="555"/>
      <c r="CV149" s="555"/>
      <c r="CW149" s="555"/>
      <c r="CX149" s="555"/>
      <c r="CY149" s="555"/>
      <c r="CZ149" s="555"/>
      <c r="DA149" s="555"/>
      <c r="DB149" s="555"/>
      <c r="DC149" s="555"/>
      <c r="DD149" s="555"/>
      <c r="DE149" s="555"/>
      <c r="DF149" s="555"/>
      <c r="DG149" s="555"/>
      <c r="DH149" s="555"/>
      <c r="DI149" s="555"/>
      <c r="DJ149" s="50"/>
      <c r="DK149" s="50"/>
      <c r="DL149" s="81"/>
      <c r="DM149" s="50"/>
      <c r="DN149" s="50"/>
      <c r="DO149" s="122"/>
      <c r="DP149" s="520"/>
      <c r="DQ149" s="520"/>
      <c r="DR149" s="520"/>
      <c r="DS149" s="520"/>
      <c r="DT149" s="520"/>
      <c r="DU149" s="520"/>
      <c r="DV149" s="520"/>
      <c r="DW149" s="520"/>
      <c r="DX149" s="520"/>
      <c r="DY149" s="520"/>
      <c r="DZ149" s="520"/>
      <c r="EA149" s="520"/>
      <c r="EB149" s="520"/>
      <c r="EC149" s="520"/>
      <c r="ED149" s="520"/>
      <c r="EE149" s="520"/>
      <c r="EF149" s="520"/>
      <c r="EG149" s="520"/>
      <c r="EH149" s="520"/>
      <c r="EI149" s="520"/>
      <c r="EJ149" s="520"/>
      <c r="EK149" s="520"/>
      <c r="EL149" s="520"/>
      <c r="EM149" s="520"/>
      <c r="EN149" s="520"/>
      <c r="EO149" s="520"/>
      <c r="EP149" s="520"/>
      <c r="EQ149" s="520"/>
      <c r="ER149" s="520"/>
      <c r="ES149" s="520"/>
      <c r="ET149" s="520"/>
      <c r="EU149" s="520"/>
      <c r="EV149" s="520"/>
      <c r="EW149" s="520"/>
      <c r="EX149" s="520"/>
      <c r="EY149" s="520"/>
      <c r="EZ149" s="123"/>
      <c r="FA149" s="50"/>
      <c r="FB149" s="51"/>
    </row>
    <row r="150" spans="1:158" ht="9" customHeight="1">
      <c r="A150" s="49"/>
      <c r="B150" s="81"/>
      <c r="C150" s="50"/>
      <c r="D150" s="50"/>
      <c r="E150" s="555"/>
      <c r="F150" s="555"/>
      <c r="G150" s="555"/>
      <c r="H150" s="555"/>
      <c r="I150" s="555"/>
      <c r="J150" s="555"/>
      <c r="K150" s="555"/>
      <c r="L150" s="555"/>
      <c r="M150" s="555"/>
      <c r="N150" s="555"/>
      <c r="O150" s="555"/>
      <c r="P150" s="555"/>
      <c r="Q150" s="555"/>
      <c r="R150" s="555"/>
      <c r="S150" s="555"/>
      <c r="T150" s="555"/>
      <c r="U150" s="555"/>
      <c r="V150" s="555"/>
      <c r="W150" s="555"/>
      <c r="X150" s="555"/>
      <c r="Y150" s="555"/>
      <c r="Z150" s="555"/>
      <c r="AA150" s="555"/>
      <c r="AB150" s="555"/>
      <c r="AC150" s="555"/>
      <c r="AD150" s="555"/>
      <c r="AE150" s="555"/>
      <c r="AF150" s="555"/>
      <c r="AG150" s="555"/>
      <c r="AH150" s="555"/>
      <c r="AI150" s="555"/>
      <c r="AJ150" s="555"/>
      <c r="AK150" s="555"/>
      <c r="AL150" s="555"/>
      <c r="AM150" s="555"/>
      <c r="AN150" s="555"/>
      <c r="AO150" s="555"/>
      <c r="AP150" s="555"/>
      <c r="AQ150" s="555"/>
      <c r="AR150" s="555"/>
      <c r="AS150" s="555"/>
      <c r="AT150" s="555"/>
      <c r="AU150" s="555"/>
      <c r="AV150" s="555"/>
      <c r="AW150" s="555"/>
      <c r="AX150" s="555"/>
      <c r="AY150" s="555"/>
      <c r="AZ150" s="555"/>
      <c r="BA150" s="555"/>
      <c r="BB150" s="555"/>
      <c r="BC150" s="555"/>
      <c r="BD150" s="555"/>
      <c r="BE150" s="555"/>
      <c r="BF150" s="555"/>
      <c r="BG150" s="555"/>
      <c r="BH150" s="555"/>
      <c r="BI150" s="555"/>
      <c r="BJ150" s="555"/>
      <c r="BK150" s="555"/>
      <c r="BL150" s="555"/>
      <c r="BM150" s="555"/>
      <c r="BN150" s="555"/>
      <c r="BO150" s="555"/>
      <c r="BP150" s="555"/>
      <c r="BQ150" s="555"/>
      <c r="BR150" s="555"/>
      <c r="BS150" s="555"/>
      <c r="BT150" s="555"/>
      <c r="BU150" s="555"/>
      <c r="BV150" s="555"/>
      <c r="BW150" s="555"/>
      <c r="BX150" s="555"/>
      <c r="BY150" s="555"/>
      <c r="BZ150" s="555"/>
      <c r="CA150" s="555"/>
      <c r="CB150" s="555"/>
      <c r="CC150" s="555"/>
      <c r="CD150" s="555"/>
      <c r="CE150" s="555"/>
      <c r="CF150" s="555"/>
      <c r="CG150" s="555"/>
      <c r="CH150" s="555"/>
      <c r="CI150" s="555"/>
      <c r="CJ150" s="555"/>
      <c r="CK150" s="555"/>
      <c r="CL150" s="555"/>
      <c r="CM150" s="555"/>
      <c r="CN150" s="555"/>
      <c r="CO150" s="555"/>
      <c r="CP150" s="555"/>
      <c r="CQ150" s="555"/>
      <c r="CR150" s="555"/>
      <c r="CS150" s="555"/>
      <c r="CT150" s="555"/>
      <c r="CU150" s="555"/>
      <c r="CV150" s="555"/>
      <c r="CW150" s="555"/>
      <c r="CX150" s="555"/>
      <c r="CY150" s="555"/>
      <c r="CZ150" s="555"/>
      <c r="DA150" s="555"/>
      <c r="DB150" s="555"/>
      <c r="DC150" s="555"/>
      <c r="DD150" s="555"/>
      <c r="DE150" s="555"/>
      <c r="DF150" s="555"/>
      <c r="DG150" s="555"/>
      <c r="DH150" s="555"/>
      <c r="DI150" s="555"/>
      <c r="DJ150" s="50"/>
      <c r="DK150" s="50"/>
      <c r="DL150" s="81"/>
      <c r="DM150" s="50"/>
      <c r="DN150" s="50"/>
      <c r="DO150" s="122"/>
      <c r="DP150" s="521"/>
      <c r="DQ150" s="521"/>
      <c r="DR150" s="521"/>
      <c r="DS150" s="521"/>
      <c r="DT150" s="521"/>
      <c r="DU150" s="521"/>
      <c r="DV150" s="521"/>
      <c r="DW150" s="521"/>
      <c r="DX150" s="521"/>
      <c r="DY150" s="521"/>
      <c r="DZ150" s="521"/>
      <c r="EA150" s="521"/>
      <c r="EB150" s="521"/>
      <c r="EC150" s="521"/>
      <c r="ED150" s="521"/>
      <c r="EE150" s="521"/>
      <c r="EF150" s="521"/>
      <c r="EG150" s="521"/>
      <c r="EH150" s="521"/>
      <c r="EI150" s="521"/>
      <c r="EJ150" s="521"/>
      <c r="EK150" s="521"/>
      <c r="EL150" s="521"/>
      <c r="EM150" s="521"/>
      <c r="EN150" s="521"/>
      <c r="EO150" s="521"/>
      <c r="EP150" s="521"/>
      <c r="EQ150" s="521"/>
      <c r="ER150" s="521"/>
      <c r="ES150" s="521"/>
      <c r="ET150" s="521"/>
      <c r="EU150" s="521"/>
      <c r="EV150" s="521"/>
      <c r="EW150" s="521"/>
      <c r="EX150" s="521"/>
      <c r="EY150" s="521"/>
      <c r="EZ150" s="123"/>
      <c r="FA150" s="50"/>
      <c r="FB150" s="51"/>
    </row>
    <row r="151" spans="1:158" ht="9" customHeight="1">
      <c r="A151" s="49"/>
      <c r="B151" s="81"/>
      <c r="C151" s="50"/>
      <c r="D151" s="50"/>
      <c r="E151" s="555"/>
      <c r="F151" s="555"/>
      <c r="G151" s="555"/>
      <c r="H151" s="555"/>
      <c r="I151" s="555"/>
      <c r="J151" s="555"/>
      <c r="K151" s="555"/>
      <c r="L151" s="555"/>
      <c r="M151" s="555"/>
      <c r="N151" s="555"/>
      <c r="O151" s="555"/>
      <c r="P151" s="555"/>
      <c r="Q151" s="555"/>
      <c r="R151" s="555"/>
      <c r="S151" s="555"/>
      <c r="T151" s="555"/>
      <c r="U151" s="555"/>
      <c r="V151" s="555"/>
      <c r="W151" s="555"/>
      <c r="X151" s="555"/>
      <c r="Y151" s="555"/>
      <c r="Z151" s="555"/>
      <c r="AA151" s="555"/>
      <c r="AB151" s="555"/>
      <c r="AC151" s="555"/>
      <c r="AD151" s="555"/>
      <c r="AE151" s="555"/>
      <c r="AF151" s="555"/>
      <c r="AG151" s="555"/>
      <c r="AH151" s="555"/>
      <c r="AI151" s="555"/>
      <c r="AJ151" s="555"/>
      <c r="AK151" s="555"/>
      <c r="AL151" s="555"/>
      <c r="AM151" s="555"/>
      <c r="AN151" s="555"/>
      <c r="AO151" s="555"/>
      <c r="AP151" s="555"/>
      <c r="AQ151" s="555"/>
      <c r="AR151" s="555"/>
      <c r="AS151" s="555"/>
      <c r="AT151" s="555"/>
      <c r="AU151" s="555"/>
      <c r="AV151" s="555"/>
      <c r="AW151" s="555"/>
      <c r="AX151" s="555"/>
      <c r="AY151" s="555"/>
      <c r="AZ151" s="555"/>
      <c r="BA151" s="555"/>
      <c r="BB151" s="555"/>
      <c r="BC151" s="555"/>
      <c r="BD151" s="555"/>
      <c r="BE151" s="555"/>
      <c r="BF151" s="555"/>
      <c r="BG151" s="555"/>
      <c r="BH151" s="555"/>
      <c r="BI151" s="555"/>
      <c r="BJ151" s="555"/>
      <c r="BK151" s="555"/>
      <c r="BL151" s="555"/>
      <c r="BM151" s="555"/>
      <c r="BN151" s="555"/>
      <c r="BO151" s="555"/>
      <c r="BP151" s="555"/>
      <c r="BQ151" s="555"/>
      <c r="BR151" s="555"/>
      <c r="BS151" s="555"/>
      <c r="BT151" s="555"/>
      <c r="BU151" s="555"/>
      <c r="BV151" s="555"/>
      <c r="BW151" s="555"/>
      <c r="BX151" s="555"/>
      <c r="BY151" s="555"/>
      <c r="BZ151" s="555"/>
      <c r="CA151" s="555"/>
      <c r="CB151" s="555"/>
      <c r="CC151" s="555"/>
      <c r="CD151" s="555"/>
      <c r="CE151" s="555"/>
      <c r="CF151" s="555"/>
      <c r="CG151" s="555"/>
      <c r="CH151" s="555"/>
      <c r="CI151" s="555"/>
      <c r="CJ151" s="555"/>
      <c r="CK151" s="555"/>
      <c r="CL151" s="555"/>
      <c r="CM151" s="555"/>
      <c r="CN151" s="555"/>
      <c r="CO151" s="555"/>
      <c r="CP151" s="555"/>
      <c r="CQ151" s="555"/>
      <c r="CR151" s="555"/>
      <c r="CS151" s="555"/>
      <c r="CT151" s="555"/>
      <c r="CU151" s="555"/>
      <c r="CV151" s="555"/>
      <c r="CW151" s="555"/>
      <c r="CX151" s="555"/>
      <c r="CY151" s="555"/>
      <c r="CZ151" s="555"/>
      <c r="DA151" s="555"/>
      <c r="DB151" s="555"/>
      <c r="DC151" s="555"/>
      <c r="DD151" s="555"/>
      <c r="DE151" s="555"/>
      <c r="DF151" s="555"/>
      <c r="DG151" s="555"/>
      <c r="DH151" s="555"/>
      <c r="DI151" s="555"/>
      <c r="DJ151" s="50"/>
      <c r="DK151" s="50"/>
      <c r="DL151" s="81"/>
      <c r="DM151" s="50"/>
      <c r="DN151" s="50"/>
      <c r="DO151" s="122"/>
      <c r="DP151" s="520" t="str">
        <f>IF(Skills!X7="","","Athletics "&amp;IF(Skills!X7&lt;0,"-","+")&amp;Skills!X7)</f>
        <v>Athletics +0</v>
      </c>
      <c r="DQ151" s="520"/>
      <c r="DR151" s="520"/>
      <c r="DS151" s="520"/>
      <c r="DT151" s="520"/>
      <c r="DU151" s="520"/>
      <c r="DV151" s="520"/>
      <c r="DW151" s="520"/>
      <c r="DX151" s="520"/>
      <c r="DY151" s="520"/>
      <c r="DZ151" s="520"/>
      <c r="EA151" s="520"/>
      <c r="EB151" s="520"/>
      <c r="EC151" s="520"/>
      <c r="ED151" s="520"/>
      <c r="EE151" s="520"/>
      <c r="EF151" s="520"/>
      <c r="EG151" s="520"/>
      <c r="EH151" s="520"/>
      <c r="EI151" s="520"/>
      <c r="EJ151" s="520"/>
      <c r="EK151" s="520"/>
      <c r="EL151" s="520"/>
      <c r="EM151" s="520"/>
      <c r="EN151" s="520"/>
      <c r="EO151" s="520"/>
      <c r="EP151" s="520"/>
      <c r="EQ151" s="520"/>
      <c r="ER151" s="520"/>
      <c r="ES151" s="520"/>
      <c r="ET151" s="520"/>
      <c r="EU151" s="520"/>
      <c r="EV151" s="520"/>
      <c r="EW151" s="520"/>
      <c r="EX151" s="520"/>
      <c r="EY151" s="520"/>
      <c r="EZ151" s="123"/>
      <c r="FA151" s="50"/>
      <c r="FB151" s="51"/>
    </row>
    <row r="152" spans="1:158" ht="9" customHeight="1">
      <c r="A152" s="49"/>
      <c r="B152" s="81"/>
      <c r="C152" s="50"/>
      <c r="D152" s="50"/>
      <c r="E152" s="555"/>
      <c r="F152" s="555"/>
      <c r="G152" s="555"/>
      <c r="H152" s="555"/>
      <c r="I152" s="555"/>
      <c r="J152" s="555"/>
      <c r="K152" s="555"/>
      <c r="L152" s="555"/>
      <c r="M152" s="555"/>
      <c r="N152" s="555"/>
      <c r="O152" s="555"/>
      <c r="P152" s="555"/>
      <c r="Q152" s="555"/>
      <c r="R152" s="555"/>
      <c r="S152" s="555"/>
      <c r="T152" s="555"/>
      <c r="U152" s="555"/>
      <c r="V152" s="555"/>
      <c r="W152" s="555"/>
      <c r="X152" s="555"/>
      <c r="Y152" s="555"/>
      <c r="Z152" s="555"/>
      <c r="AA152" s="555"/>
      <c r="AB152" s="555"/>
      <c r="AC152" s="555"/>
      <c r="AD152" s="555"/>
      <c r="AE152" s="555"/>
      <c r="AF152" s="555"/>
      <c r="AG152" s="555"/>
      <c r="AH152" s="555"/>
      <c r="AI152" s="555"/>
      <c r="AJ152" s="555"/>
      <c r="AK152" s="555"/>
      <c r="AL152" s="555"/>
      <c r="AM152" s="555"/>
      <c r="AN152" s="555"/>
      <c r="AO152" s="555"/>
      <c r="AP152" s="555"/>
      <c r="AQ152" s="555"/>
      <c r="AR152" s="555"/>
      <c r="AS152" s="555"/>
      <c r="AT152" s="555"/>
      <c r="AU152" s="555"/>
      <c r="AV152" s="555"/>
      <c r="AW152" s="555"/>
      <c r="AX152" s="555"/>
      <c r="AY152" s="555"/>
      <c r="AZ152" s="555"/>
      <c r="BA152" s="555"/>
      <c r="BB152" s="555"/>
      <c r="BC152" s="555"/>
      <c r="BD152" s="555"/>
      <c r="BE152" s="555"/>
      <c r="BF152" s="555"/>
      <c r="BG152" s="555"/>
      <c r="BH152" s="555"/>
      <c r="BI152" s="555"/>
      <c r="BJ152" s="555"/>
      <c r="BK152" s="555"/>
      <c r="BL152" s="555"/>
      <c r="BM152" s="555"/>
      <c r="BN152" s="555"/>
      <c r="BO152" s="555"/>
      <c r="BP152" s="555"/>
      <c r="BQ152" s="555"/>
      <c r="BR152" s="555"/>
      <c r="BS152" s="555"/>
      <c r="BT152" s="555"/>
      <c r="BU152" s="555"/>
      <c r="BV152" s="555"/>
      <c r="BW152" s="555"/>
      <c r="BX152" s="555"/>
      <c r="BY152" s="555"/>
      <c r="BZ152" s="555"/>
      <c r="CA152" s="555"/>
      <c r="CB152" s="555"/>
      <c r="CC152" s="555"/>
      <c r="CD152" s="555"/>
      <c r="CE152" s="555"/>
      <c r="CF152" s="555"/>
      <c r="CG152" s="555"/>
      <c r="CH152" s="555"/>
      <c r="CI152" s="555"/>
      <c r="CJ152" s="555"/>
      <c r="CK152" s="555"/>
      <c r="CL152" s="555"/>
      <c r="CM152" s="555"/>
      <c r="CN152" s="555"/>
      <c r="CO152" s="555"/>
      <c r="CP152" s="555"/>
      <c r="CQ152" s="555"/>
      <c r="CR152" s="555"/>
      <c r="CS152" s="555"/>
      <c r="CT152" s="555"/>
      <c r="CU152" s="555"/>
      <c r="CV152" s="555"/>
      <c r="CW152" s="555"/>
      <c r="CX152" s="555"/>
      <c r="CY152" s="555"/>
      <c r="CZ152" s="555"/>
      <c r="DA152" s="555"/>
      <c r="DB152" s="555"/>
      <c r="DC152" s="555"/>
      <c r="DD152" s="555"/>
      <c r="DE152" s="555"/>
      <c r="DF152" s="555"/>
      <c r="DG152" s="555"/>
      <c r="DH152" s="555"/>
      <c r="DI152" s="555"/>
      <c r="DJ152" s="50"/>
      <c r="DK152" s="50"/>
      <c r="DL152" s="81"/>
      <c r="DM152" s="50"/>
      <c r="DN152" s="50"/>
      <c r="DO152" s="122"/>
      <c r="DP152" s="520"/>
      <c r="DQ152" s="520"/>
      <c r="DR152" s="520"/>
      <c r="DS152" s="520"/>
      <c r="DT152" s="520"/>
      <c r="DU152" s="520"/>
      <c r="DV152" s="520"/>
      <c r="DW152" s="520"/>
      <c r="DX152" s="520"/>
      <c r="DY152" s="520"/>
      <c r="DZ152" s="520"/>
      <c r="EA152" s="520"/>
      <c r="EB152" s="520"/>
      <c r="EC152" s="520"/>
      <c r="ED152" s="520"/>
      <c r="EE152" s="520"/>
      <c r="EF152" s="520"/>
      <c r="EG152" s="520"/>
      <c r="EH152" s="520"/>
      <c r="EI152" s="520"/>
      <c r="EJ152" s="520"/>
      <c r="EK152" s="520"/>
      <c r="EL152" s="520"/>
      <c r="EM152" s="520"/>
      <c r="EN152" s="520"/>
      <c r="EO152" s="520"/>
      <c r="EP152" s="520"/>
      <c r="EQ152" s="520"/>
      <c r="ER152" s="520"/>
      <c r="ES152" s="520"/>
      <c r="ET152" s="520"/>
      <c r="EU152" s="520"/>
      <c r="EV152" s="520"/>
      <c r="EW152" s="520"/>
      <c r="EX152" s="520"/>
      <c r="EY152" s="520"/>
      <c r="EZ152" s="123"/>
      <c r="FA152" s="50"/>
      <c r="FB152" s="51"/>
    </row>
    <row r="153" spans="1:158" ht="9" customHeight="1">
      <c r="A153" s="49"/>
      <c r="B153" s="81"/>
      <c r="C153" s="50"/>
      <c r="D153" s="50"/>
      <c r="E153" s="555"/>
      <c r="F153" s="555"/>
      <c r="G153" s="555"/>
      <c r="H153" s="555"/>
      <c r="I153" s="555"/>
      <c r="J153" s="555"/>
      <c r="K153" s="555"/>
      <c r="L153" s="555"/>
      <c r="M153" s="555"/>
      <c r="N153" s="555"/>
      <c r="O153" s="555"/>
      <c r="P153" s="555"/>
      <c r="Q153" s="555"/>
      <c r="R153" s="555"/>
      <c r="S153" s="555"/>
      <c r="T153" s="555"/>
      <c r="U153" s="555"/>
      <c r="V153" s="555"/>
      <c r="W153" s="555"/>
      <c r="X153" s="555"/>
      <c r="Y153" s="555"/>
      <c r="Z153" s="555"/>
      <c r="AA153" s="555"/>
      <c r="AB153" s="555"/>
      <c r="AC153" s="555"/>
      <c r="AD153" s="555"/>
      <c r="AE153" s="555"/>
      <c r="AF153" s="555"/>
      <c r="AG153" s="555"/>
      <c r="AH153" s="555"/>
      <c r="AI153" s="555"/>
      <c r="AJ153" s="555"/>
      <c r="AK153" s="555"/>
      <c r="AL153" s="555"/>
      <c r="AM153" s="555"/>
      <c r="AN153" s="555"/>
      <c r="AO153" s="555"/>
      <c r="AP153" s="555"/>
      <c r="AQ153" s="555"/>
      <c r="AR153" s="555"/>
      <c r="AS153" s="555"/>
      <c r="AT153" s="555"/>
      <c r="AU153" s="555"/>
      <c r="AV153" s="555"/>
      <c r="AW153" s="555"/>
      <c r="AX153" s="555"/>
      <c r="AY153" s="555"/>
      <c r="AZ153" s="555"/>
      <c r="BA153" s="555"/>
      <c r="BB153" s="555"/>
      <c r="BC153" s="555"/>
      <c r="BD153" s="555"/>
      <c r="BE153" s="555"/>
      <c r="BF153" s="555"/>
      <c r="BG153" s="555"/>
      <c r="BH153" s="555"/>
      <c r="BI153" s="555"/>
      <c r="BJ153" s="555"/>
      <c r="BK153" s="555"/>
      <c r="BL153" s="555"/>
      <c r="BM153" s="555"/>
      <c r="BN153" s="555"/>
      <c r="BO153" s="555"/>
      <c r="BP153" s="555"/>
      <c r="BQ153" s="555"/>
      <c r="BR153" s="555"/>
      <c r="BS153" s="555"/>
      <c r="BT153" s="555"/>
      <c r="BU153" s="555"/>
      <c r="BV153" s="555"/>
      <c r="BW153" s="555"/>
      <c r="BX153" s="555"/>
      <c r="BY153" s="555"/>
      <c r="BZ153" s="555"/>
      <c r="CA153" s="555"/>
      <c r="CB153" s="555"/>
      <c r="CC153" s="555"/>
      <c r="CD153" s="555"/>
      <c r="CE153" s="555"/>
      <c r="CF153" s="555"/>
      <c r="CG153" s="555"/>
      <c r="CH153" s="555"/>
      <c r="CI153" s="555"/>
      <c r="CJ153" s="555"/>
      <c r="CK153" s="555"/>
      <c r="CL153" s="555"/>
      <c r="CM153" s="555"/>
      <c r="CN153" s="555"/>
      <c r="CO153" s="555"/>
      <c r="CP153" s="555"/>
      <c r="CQ153" s="555"/>
      <c r="CR153" s="555"/>
      <c r="CS153" s="555"/>
      <c r="CT153" s="555"/>
      <c r="CU153" s="555"/>
      <c r="CV153" s="555"/>
      <c r="CW153" s="555"/>
      <c r="CX153" s="555"/>
      <c r="CY153" s="555"/>
      <c r="CZ153" s="555"/>
      <c r="DA153" s="555"/>
      <c r="DB153" s="555"/>
      <c r="DC153" s="555"/>
      <c r="DD153" s="555"/>
      <c r="DE153" s="555"/>
      <c r="DF153" s="555"/>
      <c r="DG153" s="555"/>
      <c r="DH153" s="555"/>
      <c r="DI153" s="555"/>
      <c r="DJ153" s="50"/>
      <c r="DK153" s="50"/>
      <c r="DL153" s="81"/>
      <c r="DM153" s="50"/>
      <c r="DN153" s="50"/>
      <c r="DO153" s="122"/>
      <c r="DP153" s="520"/>
      <c r="DQ153" s="520"/>
      <c r="DR153" s="520"/>
      <c r="DS153" s="520"/>
      <c r="DT153" s="520"/>
      <c r="DU153" s="520"/>
      <c r="DV153" s="520"/>
      <c r="DW153" s="520"/>
      <c r="DX153" s="520"/>
      <c r="DY153" s="520"/>
      <c r="DZ153" s="520"/>
      <c r="EA153" s="520"/>
      <c r="EB153" s="520"/>
      <c r="EC153" s="520"/>
      <c r="ED153" s="520"/>
      <c r="EE153" s="520"/>
      <c r="EF153" s="520"/>
      <c r="EG153" s="520"/>
      <c r="EH153" s="520"/>
      <c r="EI153" s="520"/>
      <c r="EJ153" s="520"/>
      <c r="EK153" s="520"/>
      <c r="EL153" s="520"/>
      <c r="EM153" s="520"/>
      <c r="EN153" s="520"/>
      <c r="EO153" s="520"/>
      <c r="EP153" s="520"/>
      <c r="EQ153" s="520"/>
      <c r="ER153" s="520"/>
      <c r="ES153" s="520"/>
      <c r="ET153" s="520"/>
      <c r="EU153" s="520"/>
      <c r="EV153" s="520"/>
      <c r="EW153" s="520"/>
      <c r="EX153" s="520"/>
      <c r="EY153" s="520"/>
      <c r="EZ153" s="123"/>
      <c r="FA153" s="50"/>
      <c r="FB153" s="51"/>
    </row>
    <row r="154" spans="1:158" ht="9" customHeight="1">
      <c r="A154" s="49"/>
      <c r="B154" s="81"/>
      <c r="C154" s="50"/>
      <c r="D154" s="50"/>
      <c r="E154" s="555"/>
      <c r="F154" s="555"/>
      <c r="G154" s="555"/>
      <c r="H154" s="555"/>
      <c r="I154" s="555"/>
      <c r="J154" s="555"/>
      <c r="K154" s="555"/>
      <c r="L154" s="555"/>
      <c r="M154" s="555"/>
      <c r="N154" s="555"/>
      <c r="O154" s="555"/>
      <c r="P154" s="555"/>
      <c r="Q154" s="555"/>
      <c r="R154" s="555"/>
      <c r="S154" s="555"/>
      <c r="T154" s="555"/>
      <c r="U154" s="555"/>
      <c r="V154" s="555"/>
      <c r="W154" s="555"/>
      <c r="X154" s="555"/>
      <c r="Y154" s="555"/>
      <c r="Z154" s="555"/>
      <c r="AA154" s="555"/>
      <c r="AB154" s="555"/>
      <c r="AC154" s="555"/>
      <c r="AD154" s="555"/>
      <c r="AE154" s="555"/>
      <c r="AF154" s="555"/>
      <c r="AG154" s="555"/>
      <c r="AH154" s="555"/>
      <c r="AI154" s="555"/>
      <c r="AJ154" s="555"/>
      <c r="AK154" s="555"/>
      <c r="AL154" s="555"/>
      <c r="AM154" s="555"/>
      <c r="AN154" s="555"/>
      <c r="AO154" s="555"/>
      <c r="AP154" s="555"/>
      <c r="AQ154" s="555"/>
      <c r="AR154" s="555"/>
      <c r="AS154" s="555"/>
      <c r="AT154" s="555"/>
      <c r="AU154" s="555"/>
      <c r="AV154" s="555"/>
      <c r="AW154" s="555"/>
      <c r="AX154" s="555"/>
      <c r="AY154" s="555"/>
      <c r="AZ154" s="555"/>
      <c r="BA154" s="555"/>
      <c r="BB154" s="555"/>
      <c r="BC154" s="555"/>
      <c r="BD154" s="555"/>
      <c r="BE154" s="555"/>
      <c r="BF154" s="555"/>
      <c r="BG154" s="555"/>
      <c r="BH154" s="555"/>
      <c r="BI154" s="555"/>
      <c r="BJ154" s="555"/>
      <c r="BK154" s="555"/>
      <c r="BL154" s="555"/>
      <c r="BM154" s="555"/>
      <c r="BN154" s="555"/>
      <c r="BO154" s="555"/>
      <c r="BP154" s="555"/>
      <c r="BQ154" s="555"/>
      <c r="BR154" s="555"/>
      <c r="BS154" s="555"/>
      <c r="BT154" s="555"/>
      <c r="BU154" s="555"/>
      <c r="BV154" s="555"/>
      <c r="BW154" s="555"/>
      <c r="BX154" s="555"/>
      <c r="BY154" s="555"/>
      <c r="BZ154" s="555"/>
      <c r="CA154" s="555"/>
      <c r="CB154" s="555"/>
      <c r="CC154" s="555"/>
      <c r="CD154" s="555"/>
      <c r="CE154" s="555"/>
      <c r="CF154" s="555"/>
      <c r="CG154" s="555"/>
      <c r="CH154" s="555"/>
      <c r="CI154" s="555"/>
      <c r="CJ154" s="555"/>
      <c r="CK154" s="555"/>
      <c r="CL154" s="555"/>
      <c r="CM154" s="555"/>
      <c r="CN154" s="555"/>
      <c r="CO154" s="555"/>
      <c r="CP154" s="555"/>
      <c r="CQ154" s="555"/>
      <c r="CR154" s="555"/>
      <c r="CS154" s="555"/>
      <c r="CT154" s="555"/>
      <c r="CU154" s="555"/>
      <c r="CV154" s="555"/>
      <c r="CW154" s="555"/>
      <c r="CX154" s="555"/>
      <c r="CY154" s="555"/>
      <c r="CZ154" s="555"/>
      <c r="DA154" s="555"/>
      <c r="DB154" s="555"/>
      <c r="DC154" s="555"/>
      <c r="DD154" s="555"/>
      <c r="DE154" s="555"/>
      <c r="DF154" s="555"/>
      <c r="DG154" s="555"/>
      <c r="DH154" s="555"/>
      <c r="DI154" s="555"/>
      <c r="DJ154" s="50"/>
      <c r="DK154" s="50"/>
      <c r="DL154" s="81"/>
      <c r="DM154" s="50"/>
      <c r="DN154" s="50"/>
      <c r="DO154" s="122"/>
      <c r="DP154" s="521"/>
      <c r="DQ154" s="521"/>
      <c r="DR154" s="521"/>
      <c r="DS154" s="521"/>
      <c r="DT154" s="521"/>
      <c r="DU154" s="521"/>
      <c r="DV154" s="521"/>
      <c r="DW154" s="521"/>
      <c r="DX154" s="521"/>
      <c r="DY154" s="521"/>
      <c r="DZ154" s="521"/>
      <c r="EA154" s="521"/>
      <c r="EB154" s="521"/>
      <c r="EC154" s="521"/>
      <c r="ED154" s="521"/>
      <c r="EE154" s="521"/>
      <c r="EF154" s="521"/>
      <c r="EG154" s="521"/>
      <c r="EH154" s="521"/>
      <c r="EI154" s="521"/>
      <c r="EJ154" s="521"/>
      <c r="EK154" s="521"/>
      <c r="EL154" s="521"/>
      <c r="EM154" s="521"/>
      <c r="EN154" s="521"/>
      <c r="EO154" s="521"/>
      <c r="EP154" s="521"/>
      <c r="EQ154" s="521"/>
      <c r="ER154" s="521"/>
      <c r="ES154" s="521"/>
      <c r="ET154" s="521"/>
      <c r="EU154" s="521"/>
      <c r="EV154" s="521"/>
      <c r="EW154" s="521"/>
      <c r="EX154" s="521"/>
      <c r="EY154" s="521"/>
      <c r="EZ154" s="123"/>
      <c r="FA154" s="50"/>
      <c r="FB154" s="51"/>
    </row>
    <row r="155" spans="1:158" ht="9" customHeight="1">
      <c r="A155" s="49"/>
      <c r="B155" s="81"/>
      <c r="C155" s="50"/>
      <c r="D155" s="50"/>
      <c r="E155" s="555"/>
      <c r="F155" s="555"/>
      <c r="G155" s="555"/>
      <c r="H155" s="555"/>
      <c r="I155" s="555"/>
      <c r="J155" s="555"/>
      <c r="K155" s="555"/>
      <c r="L155" s="555"/>
      <c r="M155" s="555"/>
      <c r="N155" s="555"/>
      <c r="O155" s="555"/>
      <c r="P155" s="555"/>
      <c r="Q155" s="555"/>
      <c r="R155" s="555"/>
      <c r="S155" s="555"/>
      <c r="T155" s="555"/>
      <c r="U155" s="555"/>
      <c r="V155" s="555"/>
      <c r="W155" s="555"/>
      <c r="X155" s="555"/>
      <c r="Y155" s="555"/>
      <c r="Z155" s="555"/>
      <c r="AA155" s="555"/>
      <c r="AB155" s="555"/>
      <c r="AC155" s="555"/>
      <c r="AD155" s="555"/>
      <c r="AE155" s="555"/>
      <c r="AF155" s="555"/>
      <c r="AG155" s="555"/>
      <c r="AH155" s="555"/>
      <c r="AI155" s="555"/>
      <c r="AJ155" s="555"/>
      <c r="AK155" s="555"/>
      <c r="AL155" s="555"/>
      <c r="AM155" s="555"/>
      <c r="AN155" s="555"/>
      <c r="AO155" s="555"/>
      <c r="AP155" s="555"/>
      <c r="AQ155" s="555"/>
      <c r="AR155" s="555"/>
      <c r="AS155" s="555"/>
      <c r="AT155" s="555"/>
      <c r="AU155" s="555"/>
      <c r="AV155" s="555"/>
      <c r="AW155" s="555"/>
      <c r="AX155" s="555"/>
      <c r="AY155" s="555"/>
      <c r="AZ155" s="555"/>
      <c r="BA155" s="555"/>
      <c r="BB155" s="555"/>
      <c r="BC155" s="555"/>
      <c r="BD155" s="555"/>
      <c r="BE155" s="555"/>
      <c r="BF155" s="555"/>
      <c r="BG155" s="555"/>
      <c r="BH155" s="555"/>
      <c r="BI155" s="555"/>
      <c r="BJ155" s="555"/>
      <c r="BK155" s="555"/>
      <c r="BL155" s="555"/>
      <c r="BM155" s="555"/>
      <c r="BN155" s="555"/>
      <c r="BO155" s="555"/>
      <c r="BP155" s="555"/>
      <c r="BQ155" s="555"/>
      <c r="BR155" s="555"/>
      <c r="BS155" s="555"/>
      <c r="BT155" s="555"/>
      <c r="BU155" s="555"/>
      <c r="BV155" s="555"/>
      <c r="BW155" s="555"/>
      <c r="BX155" s="555"/>
      <c r="BY155" s="555"/>
      <c r="BZ155" s="555"/>
      <c r="CA155" s="555"/>
      <c r="CB155" s="555"/>
      <c r="CC155" s="555"/>
      <c r="CD155" s="555"/>
      <c r="CE155" s="555"/>
      <c r="CF155" s="555"/>
      <c r="CG155" s="555"/>
      <c r="CH155" s="555"/>
      <c r="CI155" s="555"/>
      <c r="CJ155" s="555"/>
      <c r="CK155" s="555"/>
      <c r="CL155" s="555"/>
      <c r="CM155" s="555"/>
      <c r="CN155" s="555"/>
      <c r="CO155" s="555"/>
      <c r="CP155" s="555"/>
      <c r="CQ155" s="555"/>
      <c r="CR155" s="555"/>
      <c r="CS155" s="555"/>
      <c r="CT155" s="555"/>
      <c r="CU155" s="555"/>
      <c r="CV155" s="555"/>
      <c r="CW155" s="555"/>
      <c r="CX155" s="555"/>
      <c r="CY155" s="555"/>
      <c r="CZ155" s="555"/>
      <c r="DA155" s="555"/>
      <c r="DB155" s="555"/>
      <c r="DC155" s="555"/>
      <c r="DD155" s="555"/>
      <c r="DE155" s="555"/>
      <c r="DF155" s="555"/>
      <c r="DG155" s="555"/>
      <c r="DH155" s="555"/>
      <c r="DI155" s="555"/>
      <c r="DJ155" s="50"/>
      <c r="DK155" s="50"/>
      <c r="DL155" s="81"/>
      <c r="DM155" s="50"/>
      <c r="DN155" s="50"/>
      <c r="DO155" s="122"/>
      <c r="DP155" s="520" t="str">
        <f>IF(Skills!AB8="","","Close Combat ["&amp;Skills!AB8&amp;"] "&amp;IF(Skills!X8&lt;0,"-","+")&amp;Skills!X8)</f>
        <v/>
      </c>
      <c r="DQ155" s="520"/>
      <c r="DR155" s="520"/>
      <c r="DS155" s="520"/>
      <c r="DT155" s="520"/>
      <c r="DU155" s="520"/>
      <c r="DV155" s="520"/>
      <c r="DW155" s="520"/>
      <c r="DX155" s="520"/>
      <c r="DY155" s="520"/>
      <c r="DZ155" s="520"/>
      <c r="EA155" s="520"/>
      <c r="EB155" s="520"/>
      <c r="EC155" s="520"/>
      <c r="ED155" s="520"/>
      <c r="EE155" s="520"/>
      <c r="EF155" s="520"/>
      <c r="EG155" s="520"/>
      <c r="EH155" s="520"/>
      <c r="EI155" s="520"/>
      <c r="EJ155" s="520"/>
      <c r="EK155" s="520"/>
      <c r="EL155" s="520"/>
      <c r="EM155" s="520"/>
      <c r="EN155" s="520"/>
      <c r="EO155" s="520"/>
      <c r="EP155" s="520"/>
      <c r="EQ155" s="520"/>
      <c r="ER155" s="520"/>
      <c r="ES155" s="520"/>
      <c r="ET155" s="520"/>
      <c r="EU155" s="520"/>
      <c r="EV155" s="520"/>
      <c r="EW155" s="520"/>
      <c r="EX155" s="520"/>
      <c r="EY155" s="520"/>
      <c r="EZ155" s="123"/>
      <c r="FA155" s="50"/>
      <c r="FB155" s="51"/>
    </row>
    <row r="156" spans="1:158" ht="9" customHeight="1">
      <c r="A156" s="49"/>
      <c r="B156" s="81"/>
      <c r="C156" s="50"/>
      <c r="D156" s="50"/>
      <c r="E156" s="555"/>
      <c r="F156" s="555"/>
      <c r="G156" s="555"/>
      <c r="H156" s="555"/>
      <c r="I156" s="555"/>
      <c r="J156" s="555"/>
      <c r="K156" s="555"/>
      <c r="L156" s="555"/>
      <c r="M156" s="555"/>
      <c r="N156" s="555"/>
      <c r="O156" s="555"/>
      <c r="P156" s="555"/>
      <c r="Q156" s="555"/>
      <c r="R156" s="555"/>
      <c r="S156" s="555"/>
      <c r="T156" s="555"/>
      <c r="U156" s="555"/>
      <c r="V156" s="555"/>
      <c r="W156" s="555"/>
      <c r="X156" s="555"/>
      <c r="Y156" s="555"/>
      <c r="Z156" s="555"/>
      <c r="AA156" s="555"/>
      <c r="AB156" s="555"/>
      <c r="AC156" s="555"/>
      <c r="AD156" s="555"/>
      <c r="AE156" s="555"/>
      <c r="AF156" s="555"/>
      <c r="AG156" s="555"/>
      <c r="AH156" s="555"/>
      <c r="AI156" s="555"/>
      <c r="AJ156" s="555"/>
      <c r="AK156" s="555"/>
      <c r="AL156" s="555"/>
      <c r="AM156" s="555"/>
      <c r="AN156" s="555"/>
      <c r="AO156" s="555"/>
      <c r="AP156" s="555"/>
      <c r="AQ156" s="555"/>
      <c r="AR156" s="555"/>
      <c r="AS156" s="555"/>
      <c r="AT156" s="555"/>
      <c r="AU156" s="555"/>
      <c r="AV156" s="555"/>
      <c r="AW156" s="555"/>
      <c r="AX156" s="555"/>
      <c r="AY156" s="555"/>
      <c r="AZ156" s="555"/>
      <c r="BA156" s="555"/>
      <c r="BB156" s="555"/>
      <c r="BC156" s="555"/>
      <c r="BD156" s="555"/>
      <c r="BE156" s="555"/>
      <c r="BF156" s="555"/>
      <c r="BG156" s="555"/>
      <c r="BH156" s="555"/>
      <c r="BI156" s="555"/>
      <c r="BJ156" s="555"/>
      <c r="BK156" s="555"/>
      <c r="BL156" s="555"/>
      <c r="BM156" s="555"/>
      <c r="BN156" s="555"/>
      <c r="BO156" s="555"/>
      <c r="BP156" s="555"/>
      <c r="BQ156" s="555"/>
      <c r="BR156" s="555"/>
      <c r="BS156" s="555"/>
      <c r="BT156" s="555"/>
      <c r="BU156" s="555"/>
      <c r="BV156" s="555"/>
      <c r="BW156" s="555"/>
      <c r="BX156" s="555"/>
      <c r="BY156" s="555"/>
      <c r="BZ156" s="555"/>
      <c r="CA156" s="555"/>
      <c r="CB156" s="555"/>
      <c r="CC156" s="555"/>
      <c r="CD156" s="555"/>
      <c r="CE156" s="555"/>
      <c r="CF156" s="555"/>
      <c r="CG156" s="555"/>
      <c r="CH156" s="555"/>
      <c r="CI156" s="555"/>
      <c r="CJ156" s="555"/>
      <c r="CK156" s="555"/>
      <c r="CL156" s="555"/>
      <c r="CM156" s="555"/>
      <c r="CN156" s="555"/>
      <c r="CO156" s="555"/>
      <c r="CP156" s="555"/>
      <c r="CQ156" s="555"/>
      <c r="CR156" s="555"/>
      <c r="CS156" s="555"/>
      <c r="CT156" s="555"/>
      <c r="CU156" s="555"/>
      <c r="CV156" s="555"/>
      <c r="CW156" s="555"/>
      <c r="CX156" s="555"/>
      <c r="CY156" s="555"/>
      <c r="CZ156" s="555"/>
      <c r="DA156" s="555"/>
      <c r="DB156" s="555"/>
      <c r="DC156" s="555"/>
      <c r="DD156" s="555"/>
      <c r="DE156" s="555"/>
      <c r="DF156" s="555"/>
      <c r="DG156" s="555"/>
      <c r="DH156" s="555"/>
      <c r="DI156" s="555"/>
      <c r="DJ156" s="50"/>
      <c r="DK156" s="50"/>
      <c r="DL156" s="81"/>
      <c r="DM156" s="50"/>
      <c r="DN156" s="50"/>
      <c r="DO156" s="122"/>
      <c r="DP156" s="520"/>
      <c r="DQ156" s="520"/>
      <c r="DR156" s="520"/>
      <c r="DS156" s="520"/>
      <c r="DT156" s="520"/>
      <c r="DU156" s="520"/>
      <c r="DV156" s="520"/>
      <c r="DW156" s="520"/>
      <c r="DX156" s="520"/>
      <c r="DY156" s="520"/>
      <c r="DZ156" s="520"/>
      <c r="EA156" s="520"/>
      <c r="EB156" s="520"/>
      <c r="EC156" s="520"/>
      <c r="ED156" s="520"/>
      <c r="EE156" s="520"/>
      <c r="EF156" s="520"/>
      <c r="EG156" s="520"/>
      <c r="EH156" s="520"/>
      <c r="EI156" s="520"/>
      <c r="EJ156" s="520"/>
      <c r="EK156" s="520"/>
      <c r="EL156" s="520"/>
      <c r="EM156" s="520"/>
      <c r="EN156" s="520"/>
      <c r="EO156" s="520"/>
      <c r="EP156" s="520"/>
      <c r="EQ156" s="520"/>
      <c r="ER156" s="520"/>
      <c r="ES156" s="520"/>
      <c r="ET156" s="520"/>
      <c r="EU156" s="520"/>
      <c r="EV156" s="520"/>
      <c r="EW156" s="520"/>
      <c r="EX156" s="520"/>
      <c r="EY156" s="520"/>
      <c r="EZ156" s="123"/>
      <c r="FA156" s="50"/>
      <c r="FB156" s="51"/>
    </row>
    <row r="157" spans="1:158" ht="9" customHeight="1">
      <c r="A157" s="49"/>
      <c r="B157" s="81"/>
      <c r="C157" s="50"/>
      <c r="D157" s="50"/>
      <c r="E157" s="555"/>
      <c r="F157" s="555"/>
      <c r="G157" s="555"/>
      <c r="H157" s="555"/>
      <c r="I157" s="555"/>
      <c r="J157" s="555"/>
      <c r="K157" s="555"/>
      <c r="L157" s="555"/>
      <c r="M157" s="555"/>
      <c r="N157" s="555"/>
      <c r="O157" s="555"/>
      <c r="P157" s="555"/>
      <c r="Q157" s="555"/>
      <c r="R157" s="555"/>
      <c r="S157" s="555"/>
      <c r="T157" s="555"/>
      <c r="U157" s="555"/>
      <c r="V157" s="555"/>
      <c r="W157" s="555"/>
      <c r="X157" s="555"/>
      <c r="Y157" s="555"/>
      <c r="Z157" s="555"/>
      <c r="AA157" s="555"/>
      <c r="AB157" s="555"/>
      <c r="AC157" s="555"/>
      <c r="AD157" s="555"/>
      <c r="AE157" s="555"/>
      <c r="AF157" s="555"/>
      <c r="AG157" s="555"/>
      <c r="AH157" s="555"/>
      <c r="AI157" s="555"/>
      <c r="AJ157" s="555"/>
      <c r="AK157" s="555"/>
      <c r="AL157" s="555"/>
      <c r="AM157" s="555"/>
      <c r="AN157" s="555"/>
      <c r="AO157" s="555"/>
      <c r="AP157" s="555"/>
      <c r="AQ157" s="555"/>
      <c r="AR157" s="555"/>
      <c r="AS157" s="555"/>
      <c r="AT157" s="555"/>
      <c r="AU157" s="555"/>
      <c r="AV157" s="555"/>
      <c r="AW157" s="555"/>
      <c r="AX157" s="555"/>
      <c r="AY157" s="555"/>
      <c r="AZ157" s="555"/>
      <c r="BA157" s="555"/>
      <c r="BB157" s="555"/>
      <c r="BC157" s="555"/>
      <c r="BD157" s="555"/>
      <c r="BE157" s="555"/>
      <c r="BF157" s="555"/>
      <c r="BG157" s="555"/>
      <c r="BH157" s="555"/>
      <c r="BI157" s="555"/>
      <c r="BJ157" s="555"/>
      <c r="BK157" s="555"/>
      <c r="BL157" s="555"/>
      <c r="BM157" s="555"/>
      <c r="BN157" s="555"/>
      <c r="BO157" s="555"/>
      <c r="BP157" s="555"/>
      <c r="BQ157" s="555"/>
      <c r="BR157" s="555"/>
      <c r="BS157" s="555"/>
      <c r="BT157" s="555"/>
      <c r="BU157" s="555"/>
      <c r="BV157" s="555"/>
      <c r="BW157" s="555"/>
      <c r="BX157" s="555"/>
      <c r="BY157" s="555"/>
      <c r="BZ157" s="555"/>
      <c r="CA157" s="555"/>
      <c r="CB157" s="555"/>
      <c r="CC157" s="555"/>
      <c r="CD157" s="555"/>
      <c r="CE157" s="555"/>
      <c r="CF157" s="555"/>
      <c r="CG157" s="555"/>
      <c r="CH157" s="555"/>
      <c r="CI157" s="555"/>
      <c r="CJ157" s="555"/>
      <c r="CK157" s="555"/>
      <c r="CL157" s="555"/>
      <c r="CM157" s="555"/>
      <c r="CN157" s="555"/>
      <c r="CO157" s="555"/>
      <c r="CP157" s="555"/>
      <c r="CQ157" s="555"/>
      <c r="CR157" s="555"/>
      <c r="CS157" s="555"/>
      <c r="CT157" s="555"/>
      <c r="CU157" s="555"/>
      <c r="CV157" s="555"/>
      <c r="CW157" s="555"/>
      <c r="CX157" s="555"/>
      <c r="CY157" s="555"/>
      <c r="CZ157" s="555"/>
      <c r="DA157" s="555"/>
      <c r="DB157" s="555"/>
      <c r="DC157" s="555"/>
      <c r="DD157" s="555"/>
      <c r="DE157" s="555"/>
      <c r="DF157" s="555"/>
      <c r="DG157" s="555"/>
      <c r="DH157" s="555"/>
      <c r="DI157" s="555"/>
      <c r="DJ157" s="50"/>
      <c r="DK157" s="50"/>
      <c r="DL157" s="81"/>
      <c r="DM157" s="50"/>
      <c r="DN157" s="50"/>
      <c r="DO157" s="122"/>
      <c r="DP157" s="520"/>
      <c r="DQ157" s="520"/>
      <c r="DR157" s="520"/>
      <c r="DS157" s="520"/>
      <c r="DT157" s="520"/>
      <c r="DU157" s="520"/>
      <c r="DV157" s="520"/>
      <c r="DW157" s="520"/>
      <c r="DX157" s="520"/>
      <c r="DY157" s="520"/>
      <c r="DZ157" s="520"/>
      <c r="EA157" s="520"/>
      <c r="EB157" s="520"/>
      <c r="EC157" s="520"/>
      <c r="ED157" s="520"/>
      <c r="EE157" s="520"/>
      <c r="EF157" s="520"/>
      <c r="EG157" s="520"/>
      <c r="EH157" s="520"/>
      <c r="EI157" s="520"/>
      <c r="EJ157" s="520"/>
      <c r="EK157" s="520"/>
      <c r="EL157" s="520"/>
      <c r="EM157" s="520"/>
      <c r="EN157" s="520"/>
      <c r="EO157" s="520"/>
      <c r="EP157" s="520"/>
      <c r="EQ157" s="520"/>
      <c r="ER157" s="520"/>
      <c r="ES157" s="520"/>
      <c r="ET157" s="520"/>
      <c r="EU157" s="520"/>
      <c r="EV157" s="520"/>
      <c r="EW157" s="520"/>
      <c r="EX157" s="520"/>
      <c r="EY157" s="520"/>
      <c r="EZ157" s="123"/>
      <c r="FA157" s="50"/>
      <c r="FB157" s="51"/>
    </row>
    <row r="158" spans="1:158" ht="9" customHeight="1">
      <c r="A158" s="49"/>
      <c r="B158" s="81"/>
      <c r="C158" s="50"/>
      <c r="D158" s="50"/>
      <c r="E158" s="555"/>
      <c r="F158" s="555"/>
      <c r="G158" s="555"/>
      <c r="H158" s="555"/>
      <c r="I158" s="555"/>
      <c r="J158" s="555"/>
      <c r="K158" s="555"/>
      <c r="L158" s="555"/>
      <c r="M158" s="555"/>
      <c r="N158" s="555"/>
      <c r="O158" s="555"/>
      <c r="P158" s="555"/>
      <c r="Q158" s="555"/>
      <c r="R158" s="555"/>
      <c r="S158" s="555"/>
      <c r="T158" s="555"/>
      <c r="U158" s="555"/>
      <c r="V158" s="555"/>
      <c r="W158" s="555"/>
      <c r="X158" s="555"/>
      <c r="Y158" s="555"/>
      <c r="Z158" s="555"/>
      <c r="AA158" s="555"/>
      <c r="AB158" s="555"/>
      <c r="AC158" s="555"/>
      <c r="AD158" s="555"/>
      <c r="AE158" s="555"/>
      <c r="AF158" s="555"/>
      <c r="AG158" s="555"/>
      <c r="AH158" s="555"/>
      <c r="AI158" s="555"/>
      <c r="AJ158" s="555"/>
      <c r="AK158" s="555"/>
      <c r="AL158" s="555"/>
      <c r="AM158" s="555"/>
      <c r="AN158" s="555"/>
      <c r="AO158" s="555"/>
      <c r="AP158" s="555"/>
      <c r="AQ158" s="555"/>
      <c r="AR158" s="555"/>
      <c r="AS158" s="555"/>
      <c r="AT158" s="555"/>
      <c r="AU158" s="555"/>
      <c r="AV158" s="555"/>
      <c r="AW158" s="555"/>
      <c r="AX158" s="555"/>
      <c r="AY158" s="555"/>
      <c r="AZ158" s="555"/>
      <c r="BA158" s="555"/>
      <c r="BB158" s="555"/>
      <c r="BC158" s="555"/>
      <c r="BD158" s="555"/>
      <c r="BE158" s="555"/>
      <c r="BF158" s="555"/>
      <c r="BG158" s="555"/>
      <c r="BH158" s="555"/>
      <c r="BI158" s="555"/>
      <c r="BJ158" s="555"/>
      <c r="BK158" s="555"/>
      <c r="BL158" s="555"/>
      <c r="BM158" s="555"/>
      <c r="BN158" s="555"/>
      <c r="BO158" s="555"/>
      <c r="BP158" s="555"/>
      <c r="BQ158" s="555"/>
      <c r="BR158" s="555"/>
      <c r="BS158" s="555"/>
      <c r="BT158" s="555"/>
      <c r="BU158" s="555"/>
      <c r="BV158" s="555"/>
      <c r="BW158" s="555"/>
      <c r="BX158" s="555"/>
      <c r="BY158" s="555"/>
      <c r="BZ158" s="555"/>
      <c r="CA158" s="555"/>
      <c r="CB158" s="555"/>
      <c r="CC158" s="555"/>
      <c r="CD158" s="555"/>
      <c r="CE158" s="555"/>
      <c r="CF158" s="555"/>
      <c r="CG158" s="555"/>
      <c r="CH158" s="555"/>
      <c r="CI158" s="555"/>
      <c r="CJ158" s="555"/>
      <c r="CK158" s="555"/>
      <c r="CL158" s="555"/>
      <c r="CM158" s="555"/>
      <c r="CN158" s="555"/>
      <c r="CO158" s="555"/>
      <c r="CP158" s="555"/>
      <c r="CQ158" s="555"/>
      <c r="CR158" s="555"/>
      <c r="CS158" s="555"/>
      <c r="CT158" s="555"/>
      <c r="CU158" s="555"/>
      <c r="CV158" s="555"/>
      <c r="CW158" s="555"/>
      <c r="CX158" s="555"/>
      <c r="CY158" s="555"/>
      <c r="CZ158" s="555"/>
      <c r="DA158" s="555"/>
      <c r="DB158" s="555"/>
      <c r="DC158" s="555"/>
      <c r="DD158" s="555"/>
      <c r="DE158" s="555"/>
      <c r="DF158" s="555"/>
      <c r="DG158" s="555"/>
      <c r="DH158" s="555"/>
      <c r="DI158" s="555"/>
      <c r="DJ158" s="50"/>
      <c r="DK158" s="50"/>
      <c r="DL158" s="81"/>
      <c r="DM158" s="50"/>
      <c r="DN158" s="50"/>
      <c r="DO158" s="122"/>
      <c r="DP158" s="521"/>
      <c r="DQ158" s="521"/>
      <c r="DR158" s="521"/>
      <c r="DS158" s="521"/>
      <c r="DT158" s="521"/>
      <c r="DU158" s="521"/>
      <c r="DV158" s="521"/>
      <c r="DW158" s="521"/>
      <c r="DX158" s="521"/>
      <c r="DY158" s="521"/>
      <c r="DZ158" s="521"/>
      <c r="EA158" s="521"/>
      <c r="EB158" s="521"/>
      <c r="EC158" s="521"/>
      <c r="ED158" s="521"/>
      <c r="EE158" s="521"/>
      <c r="EF158" s="521"/>
      <c r="EG158" s="521"/>
      <c r="EH158" s="521"/>
      <c r="EI158" s="521"/>
      <c r="EJ158" s="521"/>
      <c r="EK158" s="521"/>
      <c r="EL158" s="521"/>
      <c r="EM158" s="521"/>
      <c r="EN158" s="521"/>
      <c r="EO158" s="521"/>
      <c r="EP158" s="521"/>
      <c r="EQ158" s="521"/>
      <c r="ER158" s="521"/>
      <c r="ES158" s="521"/>
      <c r="ET158" s="521"/>
      <c r="EU158" s="521"/>
      <c r="EV158" s="521"/>
      <c r="EW158" s="521"/>
      <c r="EX158" s="521"/>
      <c r="EY158" s="521"/>
      <c r="EZ158" s="123"/>
      <c r="FA158" s="50"/>
      <c r="FB158" s="51"/>
    </row>
    <row r="159" spans="1:158" ht="9" customHeight="1">
      <c r="A159" s="49"/>
      <c r="B159" s="81"/>
      <c r="C159" s="50"/>
      <c r="D159" s="50"/>
      <c r="E159" s="555"/>
      <c r="F159" s="555"/>
      <c r="G159" s="555"/>
      <c r="H159" s="555"/>
      <c r="I159" s="555"/>
      <c r="J159" s="555"/>
      <c r="K159" s="555"/>
      <c r="L159" s="555"/>
      <c r="M159" s="555"/>
      <c r="N159" s="555"/>
      <c r="O159" s="555"/>
      <c r="P159" s="555"/>
      <c r="Q159" s="555"/>
      <c r="R159" s="555"/>
      <c r="S159" s="555"/>
      <c r="T159" s="555"/>
      <c r="U159" s="555"/>
      <c r="V159" s="555"/>
      <c r="W159" s="555"/>
      <c r="X159" s="555"/>
      <c r="Y159" s="555"/>
      <c r="Z159" s="555"/>
      <c r="AA159" s="555"/>
      <c r="AB159" s="555"/>
      <c r="AC159" s="555"/>
      <c r="AD159" s="555"/>
      <c r="AE159" s="555"/>
      <c r="AF159" s="555"/>
      <c r="AG159" s="555"/>
      <c r="AH159" s="555"/>
      <c r="AI159" s="555"/>
      <c r="AJ159" s="555"/>
      <c r="AK159" s="555"/>
      <c r="AL159" s="555"/>
      <c r="AM159" s="555"/>
      <c r="AN159" s="555"/>
      <c r="AO159" s="555"/>
      <c r="AP159" s="555"/>
      <c r="AQ159" s="555"/>
      <c r="AR159" s="555"/>
      <c r="AS159" s="555"/>
      <c r="AT159" s="555"/>
      <c r="AU159" s="555"/>
      <c r="AV159" s="555"/>
      <c r="AW159" s="555"/>
      <c r="AX159" s="555"/>
      <c r="AY159" s="555"/>
      <c r="AZ159" s="555"/>
      <c r="BA159" s="555"/>
      <c r="BB159" s="555"/>
      <c r="BC159" s="555"/>
      <c r="BD159" s="555"/>
      <c r="BE159" s="555"/>
      <c r="BF159" s="555"/>
      <c r="BG159" s="555"/>
      <c r="BH159" s="555"/>
      <c r="BI159" s="555"/>
      <c r="BJ159" s="555"/>
      <c r="BK159" s="555"/>
      <c r="BL159" s="555"/>
      <c r="BM159" s="555"/>
      <c r="BN159" s="555"/>
      <c r="BO159" s="555"/>
      <c r="BP159" s="555"/>
      <c r="BQ159" s="555"/>
      <c r="BR159" s="555"/>
      <c r="BS159" s="555"/>
      <c r="BT159" s="555"/>
      <c r="BU159" s="555"/>
      <c r="BV159" s="555"/>
      <c r="BW159" s="555"/>
      <c r="BX159" s="555"/>
      <c r="BY159" s="555"/>
      <c r="BZ159" s="555"/>
      <c r="CA159" s="555"/>
      <c r="CB159" s="555"/>
      <c r="CC159" s="555"/>
      <c r="CD159" s="555"/>
      <c r="CE159" s="555"/>
      <c r="CF159" s="555"/>
      <c r="CG159" s="555"/>
      <c r="CH159" s="555"/>
      <c r="CI159" s="555"/>
      <c r="CJ159" s="555"/>
      <c r="CK159" s="555"/>
      <c r="CL159" s="555"/>
      <c r="CM159" s="555"/>
      <c r="CN159" s="555"/>
      <c r="CO159" s="555"/>
      <c r="CP159" s="555"/>
      <c r="CQ159" s="555"/>
      <c r="CR159" s="555"/>
      <c r="CS159" s="555"/>
      <c r="CT159" s="555"/>
      <c r="CU159" s="555"/>
      <c r="CV159" s="555"/>
      <c r="CW159" s="555"/>
      <c r="CX159" s="555"/>
      <c r="CY159" s="555"/>
      <c r="CZ159" s="555"/>
      <c r="DA159" s="555"/>
      <c r="DB159" s="555"/>
      <c r="DC159" s="555"/>
      <c r="DD159" s="555"/>
      <c r="DE159" s="555"/>
      <c r="DF159" s="555"/>
      <c r="DG159" s="555"/>
      <c r="DH159" s="555"/>
      <c r="DI159" s="555"/>
      <c r="DJ159" s="50"/>
      <c r="DK159" s="50"/>
      <c r="DL159" s="81"/>
      <c r="DM159" s="50"/>
      <c r="DN159" s="50"/>
      <c r="DO159" s="122"/>
      <c r="DP159" s="520" t="str">
        <f>IF(Skills!AB9="","","Close Combat ["&amp;Skills!AB9&amp;"] "&amp;IF(Skills!X9&lt;0,"-","+")&amp;Skills!X9)</f>
        <v/>
      </c>
      <c r="DQ159" s="520"/>
      <c r="DR159" s="520"/>
      <c r="DS159" s="520"/>
      <c r="DT159" s="520"/>
      <c r="DU159" s="520"/>
      <c r="DV159" s="520"/>
      <c r="DW159" s="520"/>
      <c r="DX159" s="520"/>
      <c r="DY159" s="520"/>
      <c r="DZ159" s="520"/>
      <c r="EA159" s="520"/>
      <c r="EB159" s="520"/>
      <c r="EC159" s="520"/>
      <c r="ED159" s="520"/>
      <c r="EE159" s="520"/>
      <c r="EF159" s="520"/>
      <c r="EG159" s="520"/>
      <c r="EH159" s="520"/>
      <c r="EI159" s="520"/>
      <c r="EJ159" s="520"/>
      <c r="EK159" s="520"/>
      <c r="EL159" s="520"/>
      <c r="EM159" s="520"/>
      <c r="EN159" s="520"/>
      <c r="EO159" s="520"/>
      <c r="EP159" s="520"/>
      <c r="EQ159" s="520"/>
      <c r="ER159" s="520"/>
      <c r="ES159" s="520"/>
      <c r="ET159" s="520"/>
      <c r="EU159" s="520"/>
      <c r="EV159" s="520"/>
      <c r="EW159" s="520"/>
      <c r="EX159" s="520"/>
      <c r="EY159" s="520"/>
      <c r="EZ159" s="123"/>
      <c r="FA159" s="50"/>
      <c r="FB159" s="51"/>
    </row>
    <row r="160" spans="1:158" ht="9" customHeight="1">
      <c r="A160" s="49"/>
      <c r="B160" s="81"/>
      <c r="C160" s="50"/>
      <c r="D160" s="50"/>
      <c r="E160" s="555"/>
      <c r="F160" s="555"/>
      <c r="G160" s="555"/>
      <c r="H160" s="555"/>
      <c r="I160" s="555"/>
      <c r="J160" s="555"/>
      <c r="K160" s="555"/>
      <c r="L160" s="555"/>
      <c r="M160" s="555"/>
      <c r="N160" s="555"/>
      <c r="O160" s="555"/>
      <c r="P160" s="555"/>
      <c r="Q160" s="555"/>
      <c r="R160" s="555"/>
      <c r="S160" s="555"/>
      <c r="T160" s="555"/>
      <c r="U160" s="555"/>
      <c r="V160" s="555"/>
      <c r="W160" s="555"/>
      <c r="X160" s="555"/>
      <c r="Y160" s="555"/>
      <c r="Z160" s="555"/>
      <c r="AA160" s="555"/>
      <c r="AB160" s="555"/>
      <c r="AC160" s="555"/>
      <c r="AD160" s="555"/>
      <c r="AE160" s="555"/>
      <c r="AF160" s="555"/>
      <c r="AG160" s="555"/>
      <c r="AH160" s="555"/>
      <c r="AI160" s="555"/>
      <c r="AJ160" s="555"/>
      <c r="AK160" s="555"/>
      <c r="AL160" s="555"/>
      <c r="AM160" s="555"/>
      <c r="AN160" s="555"/>
      <c r="AO160" s="555"/>
      <c r="AP160" s="555"/>
      <c r="AQ160" s="555"/>
      <c r="AR160" s="555"/>
      <c r="AS160" s="555"/>
      <c r="AT160" s="555"/>
      <c r="AU160" s="555"/>
      <c r="AV160" s="555"/>
      <c r="AW160" s="555"/>
      <c r="AX160" s="555"/>
      <c r="AY160" s="555"/>
      <c r="AZ160" s="555"/>
      <c r="BA160" s="555"/>
      <c r="BB160" s="555"/>
      <c r="BC160" s="555"/>
      <c r="BD160" s="555"/>
      <c r="BE160" s="555"/>
      <c r="BF160" s="555"/>
      <c r="BG160" s="555"/>
      <c r="BH160" s="555"/>
      <c r="BI160" s="555"/>
      <c r="BJ160" s="555"/>
      <c r="BK160" s="555"/>
      <c r="BL160" s="555"/>
      <c r="BM160" s="555"/>
      <c r="BN160" s="555"/>
      <c r="BO160" s="555"/>
      <c r="BP160" s="555"/>
      <c r="BQ160" s="555"/>
      <c r="BR160" s="555"/>
      <c r="BS160" s="555"/>
      <c r="BT160" s="555"/>
      <c r="BU160" s="555"/>
      <c r="BV160" s="555"/>
      <c r="BW160" s="555"/>
      <c r="BX160" s="555"/>
      <c r="BY160" s="555"/>
      <c r="BZ160" s="555"/>
      <c r="CA160" s="555"/>
      <c r="CB160" s="555"/>
      <c r="CC160" s="555"/>
      <c r="CD160" s="555"/>
      <c r="CE160" s="555"/>
      <c r="CF160" s="555"/>
      <c r="CG160" s="555"/>
      <c r="CH160" s="555"/>
      <c r="CI160" s="555"/>
      <c r="CJ160" s="555"/>
      <c r="CK160" s="555"/>
      <c r="CL160" s="555"/>
      <c r="CM160" s="555"/>
      <c r="CN160" s="555"/>
      <c r="CO160" s="555"/>
      <c r="CP160" s="555"/>
      <c r="CQ160" s="555"/>
      <c r="CR160" s="555"/>
      <c r="CS160" s="555"/>
      <c r="CT160" s="555"/>
      <c r="CU160" s="555"/>
      <c r="CV160" s="555"/>
      <c r="CW160" s="555"/>
      <c r="CX160" s="555"/>
      <c r="CY160" s="555"/>
      <c r="CZ160" s="555"/>
      <c r="DA160" s="555"/>
      <c r="DB160" s="555"/>
      <c r="DC160" s="555"/>
      <c r="DD160" s="555"/>
      <c r="DE160" s="555"/>
      <c r="DF160" s="555"/>
      <c r="DG160" s="555"/>
      <c r="DH160" s="555"/>
      <c r="DI160" s="555"/>
      <c r="DJ160" s="50"/>
      <c r="DK160" s="50"/>
      <c r="DL160" s="81"/>
      <c r="DM160" s="50"/>
      <c r="DN160" s="50"/>
      <c r="DO160" s="122"/>
      <c r="DP160" s="520"/>
      <c r="DQ160" s="520"/>
      <c r="DR160" s="520"/>
      <c r="DS160" s="520"/>
      <c r="DT160" s="520"/>
      <c r="DU160" s="520"/>
      <c r="DV160" s="520"/>
      <c r="DW160" s="520"/>
      <c r="DX160" s="520"/>
      <c r="DY160" s="520"/>
      <c r="DZ160" s="520"/>
      <c r="EA160" s="520"/>
      <c r="EB160" s="520"/>
      <c r="EC160" s="520"/>
      <c r="ED160" s="520"/>
      <c r="EE160" s="520"/>
      <c r="EF160" s="520"/>
      <c r="EG160" s="520"/>
      <c r="EH160" s="520"/>
      <c r="EI160" s="520"/>
      <c r="EJ160" s="520"/>
      <c r="EK160" s="520"/>
      <c r="EL160" s="520"/>
      <c r="EM160" s="520"/>
      <c r="EN160" s="520"/>
      <c r="EO160" s="520"/>
      <c r="EP160" s="520"/>
      <c r="EQ160" s="520"/>
      <c r="ER160" s="520"/>
      <c r="ES160" s="520"/>
      <c r="ET160" s="520"/>
      <c r="EU160" s="520"/>
      <c r="EV160" s="520"/>
      <c r="EW160" s="520"/>
      <c r="EX160" s="520"/>
      <c r="EY160" s="520"/>
      <c r="EZ160" s="123"/>
      <c r="FA160" s="50"/>
      <c r="FB160" s="51"/>
    </row>
    <row r="161" spans="1:158" ht="9" customHeight="1">
      <c r="A161" s="49"/>
      <c r="B161" s="81"/>
      <c r="C161" s="50"/>
      <c r="D161" s="50"/>
      <c r="E161" s="555"/>
      <c r="F161" s="555"/>
      <c r="G161" s="555"/>
      <c r="H161" s="555"/>
      <c r="I161" s="555"/>
      <c r="J161" s="555"/>
      <c r="K161" s="555"/>
      <c r="L161" s="555"/>
      <c r="M161" s="555"/>
      <c r="N161" s="555"/>
      <c r="O161" s="555"/>
      <c r="P161" s="555"/>
      <c r="Q161" s="555"/>
      <c r="R161" s="555"/>
      <c r="S161" s="555"/>
      <c r="T161" s="555"/>
      <c r="U161" s="555"/>
      <c r="V161" s="555"/>
      <c r="W161" s="555"/>
      <c r="X161" s="555"/>
      <c r="Y161" s="555"/>
      <c r="Z161" s="555"/>
      <c r="AA161" s="555"/>
      <c r="AB161" s="555"/>
      <c r="AC161" s="555"/>
      <c r="AD161" s="555"/>
      <c r="AE161" s="555"/>
      <c r="AF161" s="555"/>
      <c r="AG161" s="555"/>
      <c r="AH161" s="555"/>
      <c r="AI161" s="555"/>
      <c r="AJ161" s="555"/>
      <c r="AK161" s="555"/>
      <c r="AL161" s="555"/>
      <c r="AM161" s="555"/>
      <c r="AN161" s="555"/>
      <c r="AO161" s="555"/>
      <c r="AP161" s="555"/>
      <c r="AQ161" s="555"/>
      <c r="AR161" s="555"/>
      <c r="AS161" s="555"/>
      <c r="AT161" s="555"/>
      <c r="AU161" s="555"/>
      <c r="AV161" s="555"/>
      <c r="AW161" s="555"/>
      <c r="AX161" s="555"/>
      <c r="AY161" s="555"/>
      <c r="AZ161" s="555"/>
      <c r="BA161" s="555"/>
      <c r="BB161" s="555"/>
      <c r="BC161" s="555"/>
      <c r="BD161" s="555"/>
      <c r="BE161" s="555"/>
      <c r="BF161" s="555"/>
      <c r="BG161" s="555"/>
      <c r="BH161" s="555"/>
      <c r="BI161" s="555"/>
      <c r="BJ161" s="555"/>
      <c r="BK161" s="555"/>
      <c r="BL161" s="555"/>
      <c r="BM161" s="555"/>
      <c r="BN161" s="555"/>
      <c r="BO161" s="555"/>
      <c r="BP161" s="555"/>
      <c r="BQ161" s="555"/>
      <c r="BR161" s="555"/>
      <c r="BS161" s="555"/>
      <c r="BT161" s="555"/>
      <c r="BU161" s="555"/>
      <c r="BV161" s="555"/>
      <c r="BW161" s="555"/>
      <c r="BX161" s="555"/>
      <c r="BY161" s="555"/>
      <c r="BZ161" s="555"/>
      <c r="CA161" s="555"/>
      <c r="CB161" s="555"/>
      <c r="CC161" s="555"/>
      <c r="CD161" s="555"/>
      <c r="CE161" s="555"/>
      <c r="CF161" s="555"/>
      <c r="CG161" s="555"/>
      <c r="CH161" s="555"/>
      <c r="CI161" s="555"/>
      <c r="CJ161" s="555"/>
      <c r="CK161" s="555"/>
      <c r="CL161" s="555"/>
      <c r="CM161" s="555"/>
      <c r="CN161" s="555"/>
      <c r="CO161" s="555"/>
      <c r="CP161" s="555"/>
      <c r="CQ161" s="555"/>
      <c r="CR161" s="555"/>
      <c r="CS161" s="555"/>
      <c r="CT161" s="555"/>
      <c r="CU161" s="555"/>
      <c r="CV161" s="555"/>
      <c r="CW161" s="555"/>
      <c r="CX161" s="555"/>
      <c r="CY161" s="555"/>
      <c r="CZ161" s="555"/>
      <c r="DA161" s="555"/>
      <c r="DB161" s="555"/>
      <c r="DC161" s="555"/>
      <c r="DD161" s="555"/>
      <c r="DE161" s="555"/>
      <c r="DF161" s="555"/>
      <c r="DG161" s="555"/>
      <c r="DH161" s="555"/>
      <c r="DI161" s="555"/>
      <c r="DJ161" s="50"/>
      <c r="DK161" s="50"/>
      <c r="DL161" s="81"/>
      <c r="DM161" s="50"/>
      <c r="DN161" s="50"/>
      <c r="DO161" s="122"/>
      <c r="DP161" s="520"/>
      <c r="DQ161" s="520"/>
      <c r="DR161" s="520"/>
      <c r="DS161" s="520"/>
      <c r="DT161" s="520"/>
      <c r="DU161" s="520"/>
      <c r="DV161" s="520"/>
      <c r="DW161" s="520"/>
      <c r="DX161" s="520"/>
      <c r="DY161" s="520"/>
      <c r="DZ161" s="520"/>
      <c r="EA161" s="520"/>
      <c r="EB161" s="520"/>
      <c r="EC161" s="520"/>
      <c r="ED161" s="520"/>
      <c r="EE161" s="520"/>
      <c r="EF161" s="520"/>
      <c r="EG161" s="520"/>
      <c r="EH161" s="520"/>
      <c r="EI161" s="520"/>
      <c r="EJ161" s="520"/>
      <c r="EK161" s="520"/>
      <c r="EL161" s="520"/>
      <c r="EM161" s="520"/>
      <c r="EN161" s="520"/>
      <c r="EO161" s="520"/>
      <c r="EP161" s="520"/>
      <c r="EQ161" s="520"/>
      <c r="ER161" s="520"/>
      <c r="ES161" s="520"/>
      <c r="ET161" s="520"/>
      <c r="EU161" s="520"/>
      <c r="EV161" s="520"/>
      <c r="EW161" s="520"/>
      <c r="EX161" s="520"/>
      <c r="EY161" s="520"/>
      <c r="EZ161" s="123"/>
      <c r="FA161" s="50"/>
      <c r="FB161" s="51"/>
    </row>
    <row r="162" spans="1:158" ht="9" customHeight="1">
      <c r="A162" s="49"/>
      <c r="B162" s="81"/>
      <c r="C162" s="50"/>
      <c r="D162" s="50"/>
      <c r="E162" s="555"/>
      <c r="F162" s="555"/>
      <c r="G162" s="555"/>
      <c r="H162" s="555"/>
      <c r="I162" s="555"/>
      <c r="J162" s="555"/>
      <c r="K162" s="555"/>
      <c r="L162" s="555"/>
      <c r="M162" s="555"/>
      <c r="N162" s="555"/>
      <c r="O162" s="555"/>
      <c r="P162" s="555"/>
      <c r="Q162" s="555"/>
      <c r="R162" s="555"/>
      <c r="S162" s="555"/>
      <c r="T162" s="555"/>
      <c r="U162" s="555"/>
      <c r="V162" s="555"/>
      <c r="W162" s="555"/>
      <c r="X162" s="555"/>
      <c r="Y162" s="555"/>
      <c r="Z162" s="555"/>
      <c r="AA162" s="555"/>
      <c r="AB162" s="555"/>
      <c r="AC162" s="555"/>
      <c r="AD162" s="555"/>
      <c r="AE162" s="555"/>
      <c r="AF162" s="555"/>
      <c r="AG162" s="555"/>
      <c r="AH162" s="555"/>
      <c r="AI162" s="555"/>
      <c r="AJ162" s="555"/>
      <c r="AK162" s="555"/>
      <c r="AL162" s="555"/>
      <c r="AM162" s="555"/>
      <c r="AN162" s="555"/>
      <c r="AO162" s="555"/>
      <c r="AP162" s="555"/>
      <c r="AQ162" s="555"/>
      <c r="AR162" s="555"/>
      <c r="AS162" s="555"/>
      <c r="AT162" s="555"/>
      <c r="AU162" s="555"/>
      <c r="AV162" s="555"/>
      <c r="AW162" s="555"/>
      <c r="AX162" s="555"/>
      <c r="AY162" s="555"/>
      <c r="AZ162" s="555"/>
      <c r="BA162" s="555"/>
      <c r="BB162" s="555"/>
      <c r="BC162" s="555"/>
      <c r="BD162" s="555"/>
      <c r="BE162" s="555"/>
      <c r="BF162" s="555"/>
      <c r="BG162" s="555"/>
      <c r="BH162" s="555"/>
      <c r="BI162" s="555"/>
      <c r="BJ162" s="555"/>
      <c r="BK162" s="555"/>
      <c r="BL162" s="555"/>
      <c r="BM162" s="555"/>
      <c r="BN162" s="555"/>
      <c r="BO162" s="555"/>
      <c r="BP162" s="555"/>
      <c r="BQ162" s="555"/>
      <c r="BR162" s="555"/>
      <c r="BS162" s="555"/>
      <c r="BT162" s="555"/>
      <c r="BU162" s="555"/>
      <c r="BV162" s="555"/>
      <c r="BW162" s="555"/>
      <c r="BX162" s="555"/>
      <c r="BY162" s="555"/>
      <c r="BZ162" s="555"/>
      <c r="CA162" s="555"/>
      <c r="CB162" s="555"/>
      <c r="CC162" s="555"/>
      <c r="CD162" s="555"/>
      <c r="CE162" s="555"/>
      <c r="CF162" s="555"/>
      <c r="CG162" s="555"/>
      <c r="CH162" s="555"/>
      <c r="CI162" s="555"/>
      <c r="CJ162" s="555"/>
      <c r="CK162" s="555"/>
      <c r="CL162" s="555"/>
      <c r="CM162" s="555"/>
      <c r="CN162" s="555"/>
      <c r="CO162" s="555"/>
      <c r="CP162" s="555"/>
      <c r="CQ162" s="555"/>
      <c r="CR162" s="555"/>
      <c r="CS162" s="555"/>
      <c r="CT162" s="555"/>
      <c r="CU162" s="555"/>
      <c r="CV162" s="555"/>
      <c r="CW162" s="555"/>
      <c r="CX162" s="555"/>
      <c r="CY162" s="555"/>
      <c r="CZ162" s="555"/>
      <c r="DA162" s="555"/>
      <c r="DB162" s="555"/>
      <c r="DC162" s="555"/>
      <c r="DD162" s="555"/>
      <c r="DE162" s="555"/>
      <c r="DF162" s="555"/>
      <c r="DG162" s="555"/>
      <c r="DH162" s="555"/>
      <c r="DI162" s="555"/>
      <c r="DJ162" s="50"/>
      <c r="DK162" s="50"/>
      <c r="DL162" s="81"/>
      <c r="DM162" s="50"/>
      <c r="DN162" s="50"/>
      <c r="DO162" s="122"/>
      <c r="DP162" s="521"/>
      <c r="DQ162" s="521"/>
      <c r="DR162" s="521"/>
      <c r="DS162" s="521"/>
      <c r="DT162" s="521"/>
      <c r="DU162" s="521"/>
      <c r="DV162" s="521"/>
      <c r="DW162" s="521"/>
      <c r="DX162" s="521"/>
      <c r="DY162" s="521"/>
      <c r="DZ162" s="521"/>
      <c r="EA162" s="521"/>
      <c r="EB162" s="521"/>
      <c r="EC162" s="521"/>
      <c r="ED162" s="521"/>
      <c r="EE162" s="521"/>
      <c r="EF162" s="521"/>
      <c r="EG162" s="521"/>
      <c r="EH162" s="521"/>
      <c r="EI162" s="521"/>
      <c r="EJ162" s="521"/>
      <c r="EK162" s="521"/>
      <c r="EL162" s="521"/>
      <c r="EM162" s="521"/>
      <c r="EN162" s="521"/>
      <c r="EO162" s="521"/>
      <c r="EP162" s="521"/>
      <c r="EQ162" s="521"/>
      <c r="ER162" s="521"/>
      <c r="ES162" s="521"/>
      <c r="ET162" s="521"/>
      <c r="EU162" s="521"/>
      <c r="EV162" s="521"/>
      <c r="EW162" s="521"/>
      <c r="EX162" s="521"/>
      <c r="EY162" s="521"/>
      <c r="EZ162" s="123"/>
      <c r="FA162" s="50"/>
      <c r="FB162" s="51"/>
    </row>
    <row r="163" spans="1:158" ht="9" customHeight="1">
      <c r="A163" s="49"/>
      <c r="B163" s="81"/>
      <c r="C163" s="50"/>
      <c r="D163" s="50"/>
      <c r="E163" s="50"/>
      <c r="F163" s="50"/>
      <c r="G163" s="50"/>
      <c r="H163" s="50"/>
      <c r="I163" s="5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81"/>
      <c r="DM163" s="50"/>
      <c r="DN163" s="50"/>
      <c r="DO163" s="122"/>
      <c r="DP163" s="520" t="str">
        <f>IF(Skills!AB10="","","Close Combat ["&amp;Skills!AB10&amp;"] "&amp;IF(Skills!X10&lt;0,"-","+")&amp;Skills!X10)</f>
        <v/>
      </c>
      <c r="DQ163" s="520"/>
      <c r="DR163" s="520"/>
      <c r="DS163" s="520"/>
      <c r="DT163" s="520"/>
      <c r="DU163" s="520"/>
      <c r="DV163" s="520"/>
      <c r="DW163" s="520"/>
      <c r="DX163" s="520"/>
      <c r="DY163" s="520"/>
      <c r="DZ163" s="520"/>
      <c r="EA163" s="520"/>
      <c r="EB163" s="520"/>
      <c r="EC163" s="520"/>
      <c r="ED163" s="520"/>
      <c r="EE163" s="520"/>
      <c r="EF163" s="520"/>
      <c r="EG163" s="520"/>
      <c r="EH163" s="520"/>
      <c r="EI163" s="520"/>
      <c r="EJ163" s="520"/>
      <c r="EK163" s="520"/>
      <c r="EL163" s="520"/>
      <c r="EM163" s="520"/>
      <c r="EN163" s="520"/>
      <c r="EO163" s="520"/>
      <c r="EP163" s="520"/>
      <c r="EQ163" s="520"/>
      <c r="ER163" s="520"/>
      <c r="ES163" s="520"/>
      <c r="ET163" s="520"/>
      <c r="EU163" s="520"/>
      <c r="EV163" s="520"/>
      <c r="EW163" s="520"/>
      <c r="EX163" s="520"/>
      <c r="EY163" s="520"/>
      <c r="EZ163" s="123"/>
      <c r="FA163" s="50"/>
      <c r="FB163" s="51"/>
    </row>
    <row r="164" spans="1:158" ht="9" customHeight="1">
      <c r="A164" s="49"/>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50"/>
      <c r="DN164" s="50"/>
      <c r="DO164" s="122"/>
      <c r="DP164" s="520"/>
      <c r="DQ164" s="520"/>
      <c r="DR164" s="520"/>
      <c r="DS164" s="520"/>
      <c r="DT164" s="520"/>
      <c r="DU164" s="520"/>
      <c r="DV164" s="520"/>
      <c r="DW164" s="520"/>
      <c r="DX164" s="520"/>
      <c r="DY164" s="520"/>
      <c r="DZ164" s="520"/>
      <c r="EA164" s="520"/>
      <c r="EB164" s="520"/>
      <c r="EC164" s="520"/>
      <c r="ED164" s="520"/>
      <c r="EE164" s="520"/>
      <c r="EF164" s="520"/>
      <c r="EG164" s="520"/>
      <c r="EH164" s="520"/>
      <c r="EI164" s="520"/>
      <c r="EJ164" s="520"/>
      <c r="EK164" s="520"/>
      <c r="EL164" s="520"/>
      <c r="EM164" s="520"/>
      <c r="EN164" s="520"/>
      <c r="EO164" s="520"/>
      <c r="EP164" s="520"/>
      <c r="EQ164" s="520"/>
      <c r="ER164" s="520"/>
      <c r="ES164" s="520"/>
      <c r="ET164" s="520"/>
      <c r="EU164" s="520"/>
      <c r="EV164" s="520"/>
      <c r="EW164" s="520"/>
      <c r="EX164" s="520"/>
      <c r="EY164" s="520"/>
      <c r="EZ164" s="123"/>
      <c r="FA164" s="50"/>
      <c r="FB164" s="51"/>
    </row>
    <row r="165" spans="1:158" ht="9" customHeight="1">
      <c r="A165" s="49"/>
      <c r="B165" s="50"/>
      <c r="C165" s="50"/>
      <c r="D165" s="50"/>
      <c r="E165" s="50"/>
      <c r="F165" s="50"/>
      <c r="G165" s="50"/>
      <c r="H165" s="50"/>
      <c r="I165" s="5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122"/>
      <c r="DP165" s="520"/>
      <c r="DQ165" s="520"/>
      <c r="DR165" s="520"/>
      <c r="DS165" s="520"/>
      <c r="DT165" s="520"/>
      <c r="DU165" s="520"/>
      <c r="DV165" s="520"/>
      <c r="DW165" s="520"/>
      <c r="DX165" s="520"/>
      <c r="DY165" s="520"/>
      <c r="DZ165" s="520"/>
      <c r="EA165" s="520"/>
      <c r="EB165" s="520"/>
      <c r="EC165" s="520"/>
      <c r="ED165" s="520"/>
      <c r="EE165" s="520"/>
      <c r="EF165" s="520"/>
      <c r="EG165" s="520"/>
      <c r="EH165" s="520"/>
      <c r="EI165" s="520"/>
      <c r="EJ165" s="520"/>
      <c r="EK165" s="520"/>
      <c r="EL165" s="520"/>
      <c r="EM165" s="520"/>
      <c r="EN165" s="520"/>
      <c r="EO165" s="520"/>
      <c r="EP165" s="520"/>
      <c r="EQ165" s="520"/>
      <c r="ER165" s="520"/>
      <c r="ES165" s="520"/>
      <c r="ET165" s="520"/>
      <c r="EU165" s="520"/>
      <c r="EV165" s="520"/>
      <c r="EW165" s="520"/>
      <c r="EX165" s="520"/>
      <c r="EY165" s="520"/>
      <c r="EZ165" s="123"/>
      <c r="FA165" s="50"/>
      <c r="FB165" s="51"/>
    </row>
    <row r="166" spans="1:158" ht="9" customHeight="1">
      <c r="A166" s="49"/>
      <c r="B166" s="50"/>
      <c r="C166" s="50"/>
      <c r="D166" s="50"/>
      <c r="E166" s="50"/>
      <c r="F166" s="50"/>
      <c r="G166" s="50"/>
      <c r="H166" s="50"/>
      <c r="I166" s="5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122"/>
      <c r="DP166" s="521"/>
      <c r="DQ166" s="521"/>
      <c r="DR166" s="521"/>
      <c r="DS166" s="521"/>
      <c r="DT166" s="521"/>
      <c r="DU166" s="521"/>
      <c r="DV166" s="521"/>
      <c r="DW166" s="521"/>
      <c r="DX166" s="521"/>
      <c r="DY166" s="521"/>
      <c r="DZ166" s="521"/>
      <c r="EA166" s="521"/>
      <c r="EB166" s="521"/>
      <c r="EC166" s="521"/>
      <c r="ED166" s="521"/>
      <c r="EE166" s="521"/>
      <c r="EF166" s="521"/>
      <c r="EG166" s="521"/>
      <c r="EH166" s="521"/>
      <c r="EI166" s="521"/>
      <c r="EJ166" s="521"/>
      <c r="EK166" s="521"/>
      <c r="EL166" s="521"/>
      <c r="EM166" s="521"/>
      <c r="EN166" s="521"/>
      <c r="EO166" s="521"/>
      <c r="EP166" s="521"/>
      <c r="EQ166" s="521"/>
      <c r="ER166" s="521"/>
      <c r="ES166" s="521"/>
      <c r="ET166" s="521"/>
      <c r="EU166" s="521"/>
      <c r="EV166" s="521"/>
      <c r="EW166" s="521"/>
      <c r="EX166" s="521"/>
      <c r="EY166" s="521"/>
      <c r="EZ166" s="123"/>
      <c r="FA166" s="50"/>
      <c r="FB166" s="51"/>
    </row>
    <row r="167" spans="1:158" ht="9" customHeight="1">
      <c r="A167" s="49"/>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122"/>
      <c r="DP167" s="520" t="str">
        <f>IF(Skills!AB11="","","Close Combat ["&amp;Skills!AB11&amp;"] "&amp;IF(Skills!X11&lt;0,"-","+")&amp;Skills!X114)</f>
        <v/>
      </c>
      <c r="DQ167" s="520"/>
      <c r="DR167" s="520"/>
      <c r="DS167" s="520"/>
      <c r="DT167" s="520"/>
      <c r="DU167" s="520"/>
      <c r="DV167" s="520"/>
      <c r="DW167" s="520"/>
      <c r="DX167" s="520"/>
      <c r="DY167" s="520"/>
      <c r="DZ167" s="520"/>
      <c r="EA167" s="520"/>
      <c r="EB167" s="520"/>
      <c r="EC167" s="520"/>
      <c r="ED167" s="520"/>
      <c r="EE167" s="520"/>
      <c r="EF167" s="520"/>
      <c r="EG167" s="520"/>
      <c r="EH167" s="520"/>
      <c r="EI167" s="520"/>
      <c r="EJ167" s="520"/>
      <c r="EK167" s="520"/>
      <c r="EL167" s="520"/>
      <c r="EM167" s="520"/>
      <c r="EN167" s="520"/>
      <c r="EO167" s="520"/>
      <c r="EP167" s="520"/>
      <c r="EQ167" s="520"/>
      <c r="ER167" s="520"/>
      <c r="ES167" s="520"/>
      <c r="ET167" s="520"/>
      <c r="EU167" s="520"/>
      <c r="EV167" s="520"/>
      <c r="EW167" s="520"/>
      <c r="EX167" s="520"/>
      <c r="EY167" s="520"/>
      <c r="EZ167" s="123"/>
      <c r="FA167" s="50"/>
      <c r="FB167" s="51"/>
    </row>
    <row r="168" spans="1:158" ht="9" customHeight="1">
      <c r="A168" s="49"/>
      <c r="B168" s="102"/>
      <c r="C168" s="50"/>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102"/>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122"/>
      <c r="DP168" s="520"/>
      <c r="DQ168" s="520"/>
      <c r="DR168" s="520"/>
      <c r="DS168" s="520"/>
      <c r="DT168" s="520"/>
      <c r="DU168" s="520"/>
      <c r="DV168" s="520"/>
      <c r="DW168" s="520"/>
      <c r="DX168" s="520"/>
      <c r="DY168" s="520"/>
      <c r="DZ168" s="520"/>
      <c r="EA168" s="520"/>
      <c r="EB168" s="520"/>
      <c r="EC168" s="520"/>
      <c r="ED168" s="520"/>
      <c r="EE168" s="520"/>
      <c r="EF168" s="520"/>
      <c r="EG168" s="520"/>
      <c r="EH168" s="520"/>
      <c r="EI168" s="520"/>
      <c r="EJ168" s="520"/>
      <c r="EK168" s="520"/>
      <c r="EL168" s="520"/>
      <c r="EM168" s="520"/>
      <c r="EN168" s="520"/>
      <c r="EO168" s="520"/>
      <c r="EP168" s="520"/>
      <c r="EQ168" s="520"/>
      <c r="ER168" s="520"/>
      <c r="ES168" s="520"/>
      <c r="ET168" s="520"/>
      <c r="EU168" s="520"/>
      <c r="EV168" s="520"/>
      <c r="EW168" s="520"/>
      <c r="EX168" s="520"/>
      <c r="EY168" s="520"/>
      <c r="EZ168" s="123"/>
      <c r="FA168" s="50"/>
      <c r="FB168" s="51"/>
    </row>
    <row r="169" spans="1:158" ht="9" customHeight="1">
      <c r="A169" s="49"/>
      <c r="B169" s="88"/>
      <c r="C169" s="50"/>
      <c r="W169" s="50"/>
      <c r="X169" s="50"/>
      <c r="Y169" s="50"/>
      <c r="Z169" s="50"/>
      <c r="AA169" s="50"/>
      <c r="AB169" s="50"/>
      <c r="AC169" s="50"/>
      <c r="AD169" s="50"/>
      <c r="AE169" s="50"/>
      <c r="AF169" s="50"/>
      <c r="AG169" s="50"/>
      <c r="AH169" s="50"/>
      <c r="AI169" s="88"/>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122"/>
      <c r="DP169" s="520"/>
      <c r="DQ169" s="520"/>
      <c r="DR169" s="520"/>
      <c r="DS169" s="520"/>
      <c r="DT169" s="520"/>
      <c r="DU169" s="520"/>
      <c r="DV169" s="520"/>
      <c r="DW169" s="520"/>
      <c r="DX169" s="520"/>
      <c r="DY169" s="520"/>
      <c r="DZ169" s="520"/>
      <c r="EA169" s="520"/>
      <c r="EB169" s="520"/>
      <c r="EC169" s="520"/>
      <c r="ED169" s="520"/>
      <c r="EE169" s="520"/>
      <c r="EF169" s="520"/>
      <c r="EG169" s="520"/>
      <c r="EH169" s="520"/>
      <c r="EI169" s="520"/>
      <c r="EJ169" s="520"/>
      <c r="EK169" s="520"/>
      <c r="EL169" s="520"/>
      <c r="EM169" s="520"/>
      <c r="EN169" s="520"/>
      <c r="EO169" s="520"/>
      <c r="EP169" s="520"/>
      <c r="EQ169" s="520"/>
      <c r="ER169" s="520"/>
      <c r="ES169" s="520"/>
      <c r="ET169" s="520"/>
      <c r="EU169" s="520"/>
      <c r="EV169" s="520"/>
      <c r="EW169" s="520"/>
      <c r="EX169" s="520"/>
      <c r="EY169" s="520"/>
      <c r="EZ169" s="123"/>
      <c r="FA169" s="50"/>
      <c r="FB169" s="51"/>
    </row>
    <row r="170" spans="1:158" ht="9" customHeight="1">
      <c r="A170" s="49"/>
      <c r="B170" s="87"/>
      <c r="C170" s="50"/>
      <c r="F170" s="556" t="s">
        <v>622</v>
      </c>
      <c r="G170" s="556"/>
      <c r="H170" s="556"/>
      <c r="I170" s="556"/>
      <c r="J170" s="556"/>
      <c r="K170" s="556"/>
      <c r="L170" s="556"/>
      <c r="M170" s="556"/>
      <c r="N170" s="556"/>
      <c r="O170" s="556"/>
      <c r="P170" s="556"/>
      <c r="Q170" s="556"/>
      <c r="R170" s="556"/>
      <c r="S170" s="556"/>
      <c r="T170" s="556"/>
      <c r="U170" s="556"/>
      <c r="V170" s="556"/>
      <c r="W170" s="556"/>
      <c r="X170" s="556"/>
      <c r="Y170" s="50"/>
      <c r="Z170" s="50"/>
      <c r="AA170" s="50"/>
      <c r="AB170" s="50"/>
      <c r="AC170" s="50"/>
      <c r="AD170" s="50"/>
      <c r="AE170" s="50"/>
      <c r="AF170" s="50"/>
      <c r="AG170" s="50"/>
      <c r="AH170" s="50"/>
      <c r="AI170" s="87"/>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122"/>
      <c r="DP170" s="521"/>
      <c r="DQ170" s="521"/>
      <c r="DR170" s="521"/>
      <c r="DS170" s="521"/>
      <c r="DT170" s="521"/>
      <c r="DU170" s="521"/>
      <c r="DV170" s="521"/>
      <c r="DW170" s="521"/>
      <c r="DX170" s="521"/>
      <c r="DY170" s="521"/>
      <c r="DZ170" s="521"/>
      <c r="EA170" s="521"/>
      <c r="EB170" s="521"/>
      <c r="EC170" s="521"/>
      <c r="ED170" s="521"/>
      <c r="EE170" s="521"/>
      <c r="EF170" s="521"/>
      <c r="EG170" s="521"/>
      <c r="EH170" s="521"/>
      <c r="EI170" s="521"/>
      <c r="EJ170" s="521"/>
      <c r="EK170" s="521"/>
      <c r="EL170" s="521"/>
      <c r="EM170" s="521"/>
      <c r="EN170" s="521"/>
      <c r="EO170" s="521"/>
      <c r="EP170" s="521"/>
      <c r="EQ170" s="521"/>
      <c r="ER170" s="521"/>
      <c r="ES170" s="521"/>
      <c r="ET170" s="521"/>
      <c r="EU170" s="521"/>
      <c r="EV170" s="521"/>
      <c r="EW170" s="521"/>
      <c r="EX170" s="521"/>
      <c r="EY170" s="521"/>
      <c r="EZ170" s="123"/>
      <c r="FA170" s="50"/>
      <c r="FB170" s="51"/>
    </row>
    <row r="171" spans="1:158" ht="9" customHeight="1">
      <c r="A171" s="49"/>
      <c r="B171" s="86"/>
      <c r="C171" s="50"/>
      <c r="F171" s="556"/>
      <c r="G171" s="556"/>
      <c r="H171" s="556"/>
      <c r="I171" s="556"/>
      <c r="J171" s="556"/>
      <c r="K171" s="556"/>
      <c r="L171" s="556"/>
      <c r="M171" s="556"/>
      <c r="N171" s="556"/>
      <c r="O171" s="556"/>
      <c r="P171" s="556"/>
      <c r="Q171" s="556"/>
      <c r="R171" s="556"/>
      <c r="S171" s="556"/>
      <c r="T171" s="556"/>
      <c r="U171" s="556"/>
      <c r="V171" s="556"/>
      <c r="W171" s="556"/>
      <c r="X171" s="556"/>
      <c r="Y171" s="50"/>
      <c r="Z171" s="50"/>
      <c r="AA171" s="50"/>
      <c r="AB171" s="50"/>
      <c r="AC171" s="50"/>
      <c r="AD171" s="50"/>
      <c r="AE171" s="50"/>
      <c r="AF171" s="50"/>
      <c r="AG171" s="50"/>
      <c r="AH171" s="50"/>
      <c r="AI171" s="86"/>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122"/>
      <c r="DP171" s="520" t="str">
        <f>IF(Skills!X12="","","Deception "&amp;IF(Skills!X12&lt;0,"-","+")&amp;Skills!X12)</f>
        <v>Deception +16</v>
      </c>
      <c r="DQ171" s="520"/>
      <c r="DR171" s="520"/>
      <c r="DS171" s="520"/>
      <c r="DT171" s="520"/>
      <c r="DU171" s="520"/>
      <c r="DV171" s="520"/>
      <c r="DW171" s="520"/>
      <c r="DX171" s="520"/>
      <c r="DY171" s="520"/>
      <c r="DZ171" s="520"/>
      <c r="EA171" s="520"/>
      <c r="EB171" s="520"/>
      <c r="EC171" s="520"/>
      <c r="ED171" s="520"/>
      <c r="EE171" s="520"/>
      <c r="EF171" s="520"/>
      <c r="EG171" s="520"/>
      <c r="EH171" s="520"/>
      <c r="EI171" s="520"/>
      <c r="EJ171" s="520"/>
      <c r="EK171" s="520"/>
      <c r="EL171" s="520"/>
      <c r="EM171" s="520"/>
      <c r="EN171" s="520"/>
      <c r="EO171" s="520"/>
      <c r="EP171" s="520"/>
      <c r="EQ171" s="520"/>
      <c r="ER171" s="520"/>
      <c r="ES171" s="520"/>
      <c r="ET171" s="520"/>
      <c r="EU171" s="520"/>
      <c r="EV171" s="520"/>
      <c r="EW171" s="520"/>
      <c r="EX171" s="520"/>
      <c r="EY171" s="520"/>
      <c r="EZ171" s="123"/>
      <c r="FA171" s="50"/>
      <c r="FB171" s="51"/>
    </row>
    <row r="172" spans="1:158" ht="9" customHeight="1">
      <c r="A172" s="49"/>
      <c r="B172" s="84"/>
      <c r="C172" s="50"/>
      <c r="D172" s="50"/>
      <c r="E172" s="50"/>
      <c r="F172" s="556"/>
      <c r="G172" s="556"/>
      <c r="H172" s="556"/>
      <c r="I172" s="556"/>
      <c r="J172" s="556"/>
      <c r="K172" s="556"/>
      <c r="L172" s="556"/>
      <c r="M172" s="556"/>
      <c r="N172" s="556"/>
      <c r="O172" s="556"/>
      <c r="P172" s="556"/>
      <c r="Q172" s="556"/>
      <c r="R172" s="556"/>
      <c r="S172" s="556"/>
      <c r="T172" s="556"/>
      <c r="U172" s="556"/>
      <c r="V172" s="556"/>
      <c r="W172" s="556"/>
      <c r="X172" s="556"/>
      <c r="Y172" s="50"/>
      <c r="Z172" s="50"/>
      <c r="AA172" s="50"/>
      <c r="AB172" s="50"/>
      <c r="AC172" s="50"/>
      <c r="AD172" s="50"/>
      <c r="AE172" s="50"/>
      <c r="AF172" s="50"/>
      <c r="AG172" s="50"/>
      <c r="AH172" s="50"/>
      <c r="AI172" s="84"/>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122"/>
      <c r="DP172" s="520"/>
      <c r="DQ172" s="520"/>
      <c r="DR172" s="520"/>
      <c r="DS172" s="520"/>
      <c r="DT172" s="520"/>
      <c r="DU172" s="520"/>
      <c r="DV172" s="520"/>
      <c r="DW172" s="520"/>
      <c r="DX172" s="520"/>
      <c r="DY172" s="520"/>
      <c r="DZ172" s="520"/>
      <c r="EA172" s="520"/>
      <c r="EB172" s="520"/>
      <c r="EC172" s="520"/>
      <c r="ED172" s="520"/>
      <c r="EE172" s="520"/>
      <c r="EF172" s="520"/>
      <c r="EG172" s="520"/>
      <c r="EH172" s="520"/>
      <c r="EI172" s="520"/>
      <c r="EJ172" s="520"/>
      <c r="EK172" s="520"/>
      <c r="EL172" s="520"/>
      <c r="EM172" s="520"/>
      <c r="EN172" s="520"/>
      <c r="EO172" s="520"/>
      <c r="EP172" s="520"/>
      <c r="EQ172" s="520"/>
      <c r="ER172" s="520"/>
      <c r="ES172" s="520"/>
      <c r="ET172" s="520"/>
      <c r="EU172" s="520"/>
      <c r="EV172" s="520"/>
      <c r="EW172" s="520"/>
      <c r="EX172" s="520"/>
      <c r="EY172" s="520"/>
      <c r="EZ172" s="123"/>
      <c r="FA172" s="50"/>
      <c r="FB172" s="51"/>
    </row>
    <row r="173" spans="1:158" ht="9" customHeight="1">
      <c r="A173" s="49"/>
      <c r="B173" s="89"/>
      <c r="C173" s="50"/>
      <c r="D173"/>
      <c r="E173"/>
      <c r="F173"/>
      <c r="G173"/>
      <c r="H173"/>
      <c r="I173"/>
      <c r="J173"/>
      <c r="K173"/>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89"/>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122"/>
      <c r="DP173" s="520"/>
      <c r="DQ173" s="520"/>
      <c r="DR173" s="520"/>
      <c r="DS173" s="520"/>
      <c r="DT173" s="520"/>
      <c r="DU173" s="520"/>
      <c r="DV173" s="520"/>
      <c r="DW173" s="520"/>
      <c r="DX173" s="520"/>
      <c r="DY173" s="520"/>
      <c r="DZ173" s="520"/>
      <c r="EA173" s="520"/>
      <c r="EB173" s="520"/>
      <c r="EC173" s="520"/>
      <c r="ED173" s="520"/>
      <c r="EE173" s="520"/>
      <c r="EF173" s="520"/>
      <c r="EG173" s="520"/>
      <c r="EH173" s="520"/>
      <c r="EI173" s="520"/>
      <c r="EJ173" s="520"/>
      <c r="EK173" s="520"/>
      <c r="EL173" s="520"/>
      <c r="EM173" s="520"/>
      <c r="EN173" s="520"/>
      <c r="EO173" s="520"/>
      <c r="EP173" s="520"/>
      <c r="EQ173" s="520"/>
      <c r="ER173" s="520"/>
      <c r="ES173" s="520"/>
      <c r="ET173" s="520"/>
      <c r="EU173" s="520"/>
      <c r="EV173" s="520"/>
      <c r="EW173" s="520"/>
      <c r="EX173" s="520"/>
      <c r="EY173" s="520"/>
      <c r="EZ173" s="123"/>
      <c r="FA173" s="50"/>
      <c r="FB173" s="51"/>
    </row>
    <row r="174" spans="1:158" ht="9" customHeight="1">
      <c r="A174" s="49"/>
      <c r="B174" s="81"/>
      <c r="C174" s="50"/>
      <c r="D174"/>
      <c r="E174"/>
      <c r="F174"/>
      <c r="G174"/>
      <c r="H174"/>
      <c r="I174"/>
      <c r="J174"/>
      <c r="K174"/>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50"/>
      <c r="DN174" s="50"/>
      <c r="DO174" s="122"/>
      <c r="DP174" s="521"/>
      <c r="DQ174" s="521"/>
      <c r="DR174" s="521"/>
      <c r="DS174" s="521"/>
      <c r="DT174" s="521"/>
      <c r="DU174" s="521"/>
      <c r="DV174" s="521"/>
      <c r="DW174" s="521"/>
      <c r="DX174" s="521"/>
      <c r="DY174" s="521"/>
      <c r="DZ174" s="521"/>
      <c r="EA174" s="521"/>
      <c r="EB174" s="521"/>
      <c r="EC174" s="521"/>
      <c r="ED174" s="521"/>
      <c r="EE174" s="521"/>
      <c r="EF174" s="521"/>
      <c r="EG174" s="521"/>
      <c r="EH174" s="521"/>
      <c r="EI174" s="521"/>
      <c r="EJ174" s="521"/>
      <c r="EK174" s="521"/>
      <c r="EL174" s="521"/>
      <c r="EM174" s="521"/>
      <c r="EN174" s="521"/>
      <c r="EO174" s="521"/>
      <c r="EP174" s="521"/>
      <c r="EQ174" s="521"/>
      <c r="ER174" s="521"/>
      <c r="ES174" s="521"/>
      <c r="ET174" s="521"/>
      <c r="EU174" s="521"/>
      <c r="EV174" s="521"/>
      <c r="EW174" s="521"/>
      <c r="EX174" s="521"/>
      <c r="EY174" s="521"/>
      <c r="EZ174" s="123"/>
      <c r="FA174" s="50"/>
      <c r="FB174" s="51"/>
    </row>
    <row r="175" spans="1:158" ht="9" customHeight="1">
      <c r="A175" s="49"/>
      <c r="B175" s="81"/>
      <c r="C175" s="50"/>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81"/>
      <c r="DM175" s="50"/>
      <c r="DN175" s="50"/>
      <c r="DO175" s="122"/>
      <c r="DP175" s="520" t="str">
        <f>IF(Skills!AB13="","","Expertise ["&amp;Skills!AB13&amp;"] "&amp;IF(Skills!X13&lt;0,"-","+")&amp;Skills!X13)</f>
        <v>Expertise [Underworld] +12</v>
      </c>
      <c r="DQ175" s="520"/>
      <c r="DR175" s="520"/>
      <c r="DS175" s="520"/>
      <c r="DT175" s="520"/>
      <c r="DU175" s="520"/>
      <c r="DV175" s="520"/>
      <c r="DW175" s="520"/>
      <c r="DX175" s="520"/>
      <c r="DY175" s="520"/>
      <c r="DZ175" s="520"/>
      <c r="EA175" s="520"/>
      <c r="EB175" s="520"/>
      <c r="EC175" s="520"/>
      <c r="ED175" s="520"/>
      <c r="EE175" s="520"/>
      <c r="EF175" s="520"/>
      <c r="EG175" s="520"/>
      <c r="EH175" s="520"/>
      <c r="EI175" s="520"/>
      <c r="EJ175" s="520"/>
      <c r="EK175" s="520"/>
      <c r="EL175" s="520"/>
      <c r="EM175" s="520"/>
      <c r="EN175" s="520"/>
      <c r="EO175" s="520"/>
      <c r="EP175" s="520"/>
      <c r="EQ175" s="520"/>
      <c r="ER175" s="520"/>
      <c r="ES175" s="520"/>
      <c r="ET175" s="520"/>
      <c r="EU175" s="520"/>
      <c r="EV175" s="520"/>
      <c r="EW175" s="520"/>
      <c r="EX175" s="520"/>
      <c r="EY175" s="520"/>
      <c r="EZ175" s="123"/>
      <c r="FA175" s="50"/>
      <c r="FB175" s="51"/>
    </row>
    <row r="176" spans="1:158" ht="9" customHeight="1">
      <c r="A176" s="49"/>
      <c r="B176" s="81"/>
      <c r="C176" s="50"/>
      <c r="D176" s="50"/>
      <c r="E176" s="555" t="str">
        <f>Equip!CC14&amp;Equip!CC31&amp;Equip!CC48&amp;Equip!CC65&amp;Equip!CC82&amp;Equip!CC99&amp;Equip!CC116&amp;Equip!CC133&amp;Equip!CC150&amp;Equip!CV14</f>
        <v/>
      </c>
      <c r="F176" s="555"/>
      <c r="G176" s="555"/>
      <c r="H176" s="555"/>
      <c r="I176" s="555"/>
      <c r="J176" s="555"/>
      <c r="K176" s="555"/>
      <c r="L176" s="555"/>
      <c r="M176" s="555"/>
      <c r="N176" s="555"/>
      <c r="O176" s="555"/>
      <c r="P176" s="555"/>
      <c r="Q176" s="555"/>
      <c r="R176" s="555"/>
      <c r="S176" s="555"/>
      <c r="T176" s="555"/>
      <c r="U176" s="555"/>
      <c r="V176" s="555"/>
      <c r="W176" s="555"/>
      <c r="X176" s="555"/>
      <c r="Y176" s="555"/>
      <c r="Z176" s="555"/>
      <c r="AA176" s="555"/>
      <c r="AB176" s="555"/>
      <c r="AC176" s="555"/>
      <c r="AD176" s="555"/>
      <c r="AE176" s="555"/>
      <c r="AF176" s="555"/>
      <c r="AG176" s="555"/>
      <c r="AH176" s="555"/>
      <c r="AI176" s="555"/>
      <c r="AJ176" s="555"/>
      <c r="AK176" s="555"/>
      <c r="AL176" s="555"/>
      <c r="AM176" s="555"/>
      <c r="AN176" s="555"/>
      <c r="AO176" s="555"/>
      <c r="AP176" s="555"/>
      <c r="AQ176" s="555"/>
      <c r="AR176" s="555"/>
      <c r="AS176" s="555"/>
      <c r="AT176" s="555"/>
      <c r="AU176" s="555"/>
      <c r="AV176" s="555"/>
      <c r="AW176" s="555"/>
      <c r="AX176" s="555"/>
      <c r="AY176" s="555"/>
      <c r="AZ176" s="555"/>
      <c r="BA176" s="555"/>
      <c r="BB176" s="555"/>
      <c r="BC176" s="555"/>
      <c r="BD176" s="555"/>
      <c r="BE176" s="555"/>
      <c r="BF176" s="555"/>
      <c r="BG176" s="555"/>
      <c r="BH176" s="555"/>
      <c r="BI176" s="555"/>
      <c r="BJ176" s="555"/>
      <c r="BK176" s="555"/>
      <c r="BL176" s="555"/>
      <c r="BM176" s="555"/>
      <c r="BN176" s="555"/>
      <c r="BO176" s="555"/>
      <c r="BP176" s="555"/>
      <c r="BQ176" s="555"/>
      <c r="BR176" s="555"/>
      <c r="BS176" s="555"/>
      <c r="BT176" s="555"/>
      <c r="BU176" s="555"/>
      <c r="BV176" s="555"/>
      <c r="BW176" s="555"/>
      <c r="BX176" s="555"/>
      <c r="BY176" s="555"/>
      <c r="BZ176" s="555"/>
      <c r="CA176" s="555"/>
      <c r="CB176" s="555"/>
      <c r="CC176" s="555"/>
      <c r="CD176" s="555"/>
      <c r="CE176" s="555"/>
      <c r="CF176" s="555"/>
      <c r="CG176" s="555"/>
      <c r="CH176" s="555"/>
      <c r="CI176" s="555"/>
      <c r="CJ176" s="555"/>
      <c r="CK176" s="555"/>
      <c r="CL176" s="555"/>
      <c r="CM176" s="555"/>
      <c r="CN176" s="555"/>
      <c r="CO176" s="555"/>
      <c r="CP176" s="555"/>
      <c r="CQ176" s="555"/>
      <c r="CR176" s="555"/>
      <c r="CS176" s="555"/>
      <c r="CT176" s="555"/>
      <c r="CU176" s="555"/>
      <c r="CV176" s="555"/>
      <c r="CW176" s="555"/>
      <c r="CX176" s="555"/>
      <c r="CY176" s="555"/>
      <c r="CZ176" s="555"/>
      <c r="DA176" s="555"/>
      <c r="DB176" s="555"/>
      <c r="DC176" s="555"/>
      <c r="DD176" s="555"/>
      <c r="DE176" s="555"/>
      <c r="DF176" s="555"/>
      <c r="DG176" s="555"/>
      <c r="DH176" s="555"/>
      <c r="DI176" s="555"/>
      <c r="DJ176" s="50"/>
      <c r="DK176" s="50"/>
      <c r="DL176" s="81"/>
      <c r="DM176" s="50"/>
      <c r="DN176" s="50"/>
      <c r="DO176" s="122"/>
      <c r="DP176" s="520"/>
      <c r="DQ176" s="520"/>
      <c r="DR176" s="520"/>
      <c r="DS176" s="520"/>
      <c r="DT176" s="520"/>
      <c r="DU176" s="520"/>
      <c r="DV176" s="520"/>
      <c r="DW176" s="520"/>
      <c r="DX176" s="520"/>
      <c r="DY176" s="520"/>
      <c r="DZ176" s="520"/>
      <c r="EA176" s="520"/>
      <c r="EB176" s="520"/>
      <c r="EC176" s="520"/>
      <c r="ED176" s="520"/>
      <c r="EE176" s="520"/>
      <c r="EF176" s="520"/>
      <c r="EG176" s="520"/>
      <c r="EH176" s="520"/>
      <c r="EI176" s="520"/>
      <c r="EJ176" s="520"/>
      <c r="EK176" s="520"/>
      <c r="EL176" s="520"/>
      <c r="EM176" s="520"/>
      <c r="EN176" s="520"/>
      <c r="EO176" s="520"/>
      <c r="EP176" s="520"/>
      <c r="EQ176" s="520"/>
      <c r="ER176" s="520"/>
      <c r="ES176" s="520"/>
      <c r="ET176" s="520"/>
      <c r="EU176" s="520"/>
      <c r="EV176" s="520"/>
      <c r="EW176" s="520"/>
      <c r="EX176" s="520"/>
      <c r="EY176" s="520"/>
      <c r="EZ176" s="123"/>
      <c r="FA176" s="50"/>
      <c r="FB176" s="51"/>
    </row>
    <row r="177" spans="1:158" ht="9" customHeight="1">
      <c r="A177" s="49"/>
      <c r="B177" s="81"/>
      <c r="C177" s="50"/>
      <c r="D177" s="50"/>
      <c r="E177" s="555"/>
      <c r="F177" s="555"/>
      <c r="G177" s="555"/>
      <c r="H177" s="555"/>
      <c r="I177" s="555"/>
      <c r="J177" s="555"/>
      <c r="K177" s="555"/>
      <c r="L177" s="555"/>
      <c r="M177" s="555"/>
      <c r="N177" s="555"/>
      <c r="O177" s="555"/>
      <c r="P177" s="555"/>
      <c r="Q177" s="555"/>
      <c r="R177" s="555"/>
      <c r="S177" s="555"/>
      <c r="T177" s="555"/>
      <c r="U177" s="555"/>
      <c r="V177" s="555"/>
      <c r="W177" s="555"/>
      <c r="X177" s="555"/>
      <c r="Y177" s="555"/>
      <c r="Z177" s="555"/>
      <c r="AA177" s="555"/>
      <c r="AB177" s="555"/>
      <c r="AC177" s="555"/>
      <c r="AD177" s="555"/>
      <c r="AE177" s="555"/>
      <c r="AF177" s="555"/>
      <c r="AG177" s="555"/>
      <c r="AH177" s="555"/>
      <c r="AI177" s="555"/>
      <c r="AJ177" s="555"/>
      <c r="AK177" s="555"/>
      <c r="AL177" s="555"/>
      <c r="AM177" s="555"/>
      <c r="AN177" s="555"/>
      <c r="AO177" s="555"/>
      <c r="AP177" s="555"/>
      <c r="AQ177" s="555"/>
      <c r="AR177" s="555"/>
      <c r="AS177" s="555"/>
      <c r="AT177" s="555"/>
      <c r="AU177" s="555"/>
      <c r="AV177" s="555"/>
      <c r="AW177" s="555"/>
      <c r="AX177" s="555"/>
      <c r="AY177" s="555"/>
      <c r="AZ177" s="555"/>
      <c r="BA177" s="555"/>
      <c r="BB177" s="555"/>
      <c r="BC177" s="555"/>
      <c r="BD177" s="555"/>
      <c r="BE177" s="555"/>
      <c r="BF177" s="555"/>
      <c r="BG177" s="555"/>
      <c r="BH177" s="555"/>
      <c r="BI177" s="555"/>
      <c r="BJ177" s="555"/>
      <c r="BK177" s="555"/>
      <c r="BL177" s="555"/>
      <c r="BM177" s="555"/>
      <c r="BN177" s="555"/>
      <c r="BO177" s="555"/>
      <c r="BP177" s="555"/>
      <c r="BQ177" s="555"/>
      <c r="BR177" s="555"/>
      <c r="BS177" s="555"/>
      <c r="BT177" s="555"/>
      <c r="BU177" s="555"/>
      <c r="BV177" s="555"/>
      <c r="BW177" s="555"/>
      <c r="BX177" s="555"/>
      <c r="BY177" s="555"/>
      <c r="BZ177" s="555"/>
      <c r="CA177" s="555"/>
      <c r="CB177" s="555"/>
      <c r="CC177" s="555"/>
      <c r="CD177" s="555"/>
      <c r="CE177" s="555"/>
      <c r="CF177" s="555"/>
      <c r="CG177" s="555"/>
      <c r="CH177" s="555"/>
      <c r="CI177" s="555"/>
      <c r="CJ177" s="555"/>
      <c r="CK177" s="555"/>
      <c r="CL177" s="555"/>
      <c r="CM177" s="555"/>
      <c r="CN177" s="555"/>
      <c r="CO177" s="555"/>
      <c r="CP177" s="555"/>
      <c r="CQ177" s="555"/>
      <c r="CR177" s="555"/>
      <c r="CS177" s="555"/>
      <c r="CT177" s="555"/>
      <c r="CU177" s="555"/>
      <c r="CV177" s="555"/>
      <c r="CW177" s="555"/>
      <c r="CX177" s="555"/>
      <c r="CY177" s="555"/>
      <c r="CZ177" s="555"/>
      <c r="DA177" s="555"/>
      <c r="DB177" s="555"/>
      <c r="DC177" s="555"/>
      <c r="DD177" s="555"/>
      <c r="DE177" s="555"/>
      <c r="DF177" s="555"/>
      <c r="DG177" s="555"/>
      <c r="DH177" s="555"/>
      <c r="DI177" s="555"/>
      <c r="DJ177" s="50"/>
      <c r="DK177" s="50"/>
      <c r="DL177" s="81"/>
      <c r="DM177" s="50"/>
      <c r="DN177" s="50"/>
      <c r="DO177" s="122"/>
      <c r="DP177" s="520"/>
      <c r="DQ177" s="520"/>
      <c r="DR177" s="520"/>
      <c r="DS177" s="520"/>
      <c r="DT177" s="520"/>
      <c r="DU177" s="520"/>
      <c r="DV177" s="520"/>
      <c r="DW177" s="520"/>
      <c r="DX177" s="520"/>
      <c r="DY177" s="520"/>
      <c r="DZ177" s="520"/>
      <c r="EA177" s="520"/>
      <c r="EB177" s="520"/>
      <c r="EC177" s="520"/>
      <c r="ED177" s="520"/>
      <c r="EE177" s="520"/>
      <c r="EF177" s="520"/>
      <c r="EG177" s="520"/>
      <c r="EH177" s="520"/>
      <c r="EI177" s="520"/>
      <c r="EJ177" s="520"/>
      <c r="EK177" s="520"/>
      <c r="EL177" s="520"/>
      <c r="EM177" s="520"/>
      <c r="EN177" s="520"/>
      <c r="EO177" s="520"/>
      <c r="EP177" s="520"/>
      <c r="EQ177" s="520"/>
      <c r="ER177" s="520"/>
      <c r="ES177" s="520"/>
      <c r="ET177" s="520"/>
      <c r="EU177" s="520"/>
      <c r="EV177" s="520"/>
      <c r="EW177" s="520"/>
      <c r="EX177" s="520"/>
      <c r="EY177" s="520"/>
      <c r="EZ177" s="123"/>
      <c r="FA177" s="50"/>
      <c r="FB177" s="51"/>
    </row>
    <row r="178" spans="1:158" ht="9" customHeight="1">
      <c r="A178" s="49"/>
      <c r="B178" s="81"/>
      <c r="C178" s="50"/>
      <c r="D178" s="50"/>
      <c r="E178" s="555"/>
      <c r="F178" s="555"/>
      <c r="G178" s="555"/>
      <c r="H178" s="555"/>
      <c r="I178" s="555"/>
      <c r="J178" s="555"/>
      <c r="K178" s="555"/>
      <c r="L178" s="555"/>
      <c r="M178" s="555"/>
      <c r="N178" s="555"/>
      <c r="O178" s="555"/>
      <c r="P178" s="555"/>
      <c r="Q178" s="555"/>
      <c r="R178" s="555"/>
      <c r="S178" s="555"/>
      <c r="T178" s="555"/>
      <c r="U178" s="555"/>
      <c r="V178" s="555"/>
      <c r="W178" s="555"/>
      <c r="X178" s="555"/>
      <c r="Y178" s="555"/>
      <c r="Z178" s="555"/>
      <c r="AA178" s="555"/>
      <c r="AB178" s="555"/>
      <c r="AC178" s="555"/>
      <c r="AD178" s="555"/>
      <c r="AE178" s="555"/>
      <c r="AF178" s="555"/>
      <c r="AG178" s="555"/>
      <c r="AH178" s="555"/>
      <c r="AI178" s="555"/>
      <c r="AJ178" s="555"/>
      <c r="AK178" s="555"/>
      <c r="AL178" s="555"/>
      <c r="AM178" s="555"/>
      <c r="AN178" s="555"/>
      <c r="AO178" s="555"/>
      <c r="AP178" s="555"/>
      <c r="AQ178" s="555"/>
      <c r="AR178" s="555"/>
      <c r="AS178" s="555"/>
      <c r="AT178" s="555"/>
      <c r="AU178" s="555"/>
      <c r="AV178" s="555"/>
      <c r="AW178" s="555"/>
      <c r="AX178" s="555"/>
      <c r="AY178" s="555"/>
      <c r="AZ178" s="555"/>
      <c r="BA178" s="555"/>
      <c r="BB178" s="555"/>
      <c r="BC178" s="555"/>
      <c r="BD178" s="555"/>
      <c r="BE178" s="555"/>
      <c r="BF178" s="555"/>
      <c r="BG178" s="555"/>
      <c r="BH178" s="555"/>
      <c r="BI178" s="555"/>
      <c r="BJ178" s="555"/>
      <c r="BK178" s="555"/>
      <c r="BL178" s="555"/>
      <c r="BM178" s="555"/>
      <c r="BN178" s="555"/>
      <c r="BO178" s="555"/>
      <c r="BP178" s="555"/>
      <c r="BQ178" s="555"/>
      <c r="BR178" s="555"/>
      <c r="BS178" s="555"/>
      <c r="BT178" s="555"/>
      <c r="BU178" s="555"/>
      <c r="BV178" s="555"/>
      <c r="BW178" s="555"/>
      <c r="BX178" s="555"/>
      <c r="BY178" s="555"/>
      <c r="BZ178" s="555"/>
      <c r="CA178" s="555"/>
      <c r="CB178" s="555"/>
      <c r="CC178" s="555"/>
      <c r="CD178" s="555"/>
      <c r="CE178" s="555"/>
      <c r="CF178" s="555"/>
      <c r="CG178" s="555"/>
      <c r="CH178" s="555"/>
      <c r="CI178" s="555"/>
      <c r="CJ178" s="555"/>
      <c r="CK178" s="555"/>
      <c r="CL178" s="555"/>
      <c r="CM178" s="555"/>
      <c r="CN178" s="555"/>
      <c r="CO178" s="555"/>
      <c r="CP178" s="555"/>
      <c r="CQ178" s="555"/>
      <c r="CR178" s="555"/>
      <c r="CS178" s="555"/>
      <c r="CT178" s="555"/>
      <c r="CU178" s="555"/>
      <c r="CV178" s="555"/>
      <c r="CW178" s="555"/>
      <c r="CX178" s="555"/>
      <c r="CY178" s="555"/>
      <c r="CZ178" s="555"/>
      <c r="DA178" s="555"/>
      <c r="DB178" s="555"/>
      <c r="DC178" s="555"/>
      <c r="DD178" s="555"/>
      <c r="DE178" s="555"/>
      <c r="DF178" s="555"/>
      <c r="DG178" s="555"/>
      <c r="DH178" s="555"/>
      <c r="DI178" s="555"/>
      <c r="DJ178" s="50"/>
      <c r="DK178" s="50"/>
      <c r="DL178" s="81"/>
      <c r="DM178" s="50"/>
      <c r="DN178" s="50"/>
      <c r="DO178" s="122"/>
      <c r="DP178" s="521"/>
      <c r="DQ178" s="521"/>
      <c r="DR178" s="521"/>
      <c r="DS178" s="521"/>
      <c r="DT178" s="521"/>
      <c r="DU178" s="521"/>
      <c r="DV178" s="521"/>
      <c r="DW178" s="521"/>
      <c r="DX178" s="521"/>
      <c r="DY178" s="521"/>
      <c r="DZ178" s="521"/>
      <c r="EA178" s="521"/>
      <c r="EB178" s="521"/>
      <c r="EC178" s="521"/>
      <c r="ED178" s="521"/>
      <c r="EE178" s="521"/>
      <c r="EF178" s="521"/>
      <c r="EG178" s="521"/>
      <c r="EH178" s="521"/>
      <c r="EI178" s="521"/>
      <c r="EJ178" s="521"/>
      <c r="EK178" s="521"/>
      <c r="EL178" s="521"/>
      <c r="EM178" s="521"/>
      <c r="EN178" s="521"/>
      <c r="EO178" s="521"/>
      <c r="EP178" s="521"/>
      <c r="EQ178" s="521"/>
      <c r="ER178" s="521"/>
      <c r="ES178" s="521"/>
      <c r="ET178" s="521"/>
      <c r="EU178" s="521"/>
      <c r="EV178" s="521"/>
      <c r="EW178" s="521"/>
      <c r="EX178" s="521"/>
      <c r="EY178" s="521"/>
      <c r="EZ178" s="123"/>
      <c r="FA178" s="50"/>
      <c r="FB178" s="51"/>
    </row>
    <row r="179" spans="1:158" ht="9" customHeight="1">
      <c r="A179" s="49"/>
      <c r="B179" s="81"/>
      <c r="C179" s="50"/>
      <c r="D179" s="50"/>
      <c r="E179" s="555"/>
      <c r="F179" s="555"/>
      <c r="G179" s="555"/>
      <c r="H179" s="555"/>
      <c r="I179" s="555"/>
      <c r="J179" s="555"/>
      <c r="K179" s="555"/>
      <c r="L179" s="555"/>
      <c r="M179" s="555"/>
      <c r="N179" s="555"/>
      <c r="O179" s="555"/>
      <c r="P179" s="555"/>
      <c r="Q179" s="555"/>
      <c r="R179" s="555"/>
      <c r="S179" s="555"/>
      <c r="T179" s="555"/>
      <c r="U179" s="555"/>
      <c r="V179" s="555"/>
      <c r="W179" s="555"/>
      <c r="X179" s="555"/>
      <c r="Y179" s="555"/>
      <c r="Z179" s="555"/>
      <c r="AA179" s="555"/>
      <c r="AB179" s="555"/>
      <c r="AC179" s="555"/>
      <c r="AD179" s="555"/>
      <c r="AE179" s="555"/>
      <c r="AF179" s="555"/>
      <c r="AG179" s="555"/>
      <c r="AH179" s="555"/>
      <c r="AI179" s="555"/>
      <c r="AJ179" s="555"/>
      <c r="AK179" s="555"/>
      <c r="AL179" s="555"/>
      <c r="AM179" s="555"/>
      <c r="AN179" s="555"/>
      <c r="AO179" s="555"/>
      <c r="AP179" s="555"/>
      <c r="AQ179" s="555"/>
      <c r="AR179" s="555"/>
      <c r="AS179" s="555"/>
      <c r="AT179" s="555"/>
      <c r="AU179" s="555"/>
      <c r="AV179" s="555"/>
      <c r="AW179" s="555"/>
      <c r="AX179" s="555"/>
      <c r="AY179" s="555"/>
      <c r="AZ179" s="555"/>
      <c r="BA179" s="555"/>
      <c r="BB179" s="555"/>
      <c r="BC179" s="555"/>
      <c r="BD179" s="555"/>
      <c r="BE179" s="555"/>
      <c r="BF179" s="555"/>
      <c r="BG179" s="555"/>
      <c r="BH179" s="555"/>
      <c r="BI179" s="555"/>
      <c r="BJ179" s="555"/>
      <c r="BK179" s="555"/>
      <c r="BL179" s="555"/>
      <c r="BM179" s="555"/>
      <c r="BN179" s="555"/>
      <c r="BO179" s="555"/>
      <c r="BP179" s="555"/>
      <c r="BQ179" s="555"/>
      <c r="BR179" s="555"/>
      <c r="BS179" s="555"/>
      <c r="BT179" s="555"/>
      <c r="BU179" s="555"/>
      <c r="BV179" s="555"/>
      <c r="BW179" s="555"/>
      <c r="BX179" s="555"/>
      <c r="BY179" s="555"/>
      <c r="BZ179" s="555"/>
      <c r="CA179" s="555"/>
      <c r="CB179" s="555"/>
      <c r="CC179" s="555"/>
      <c r="CD179" s="555"/>
      <c r="CE179" s="555"/>
      <c r="CF179" s="555"/>
      <c r="CG179" s="555"/>
      <c r="CH179" s="555"/>
      <c r="CI179" s="555"/>
      <c r="CJ179" s="555"/>
      <c r="CK179" s="555"/>
      <c r="CL179" s="555"/>
      <c r="CM179" s="555"/>
      <c r="CN179" s="555"/>
      <c r="CO179" s="555"/>
      <c r="CP179" s="555"/>
      <c r="CQ179" s="555"/>
      <c r="CR179" s="555"/>
      <c r="CS179" s="555"/>
      <c r="CT179" s="555"/>
      <c r="CU179" s="555"/>
      <c r="CV179" s="555"/>
      <c r="CW179" s="555"/>
      <c r="CX179" s="555"/>
      <c r="CY179" s="555"/>
      <c r="CZ179" s="555"/>
      <c r="DA179" s="555"/>
      <c r="DB179" s="555"/>
      <c r="DC179" s="555"/>
      <c r="DD179" s="555"/>
      <c r="DE179" s="555"/>
      <c r="DF179" s="555"/>
      <c r="DG179" s="555"/>
      <c r="DH179" s="555"/>
      <c r="DI179" s="555"/>
      <c r="DJ179" s="50"/>
      <c r="DK179" s="50"/>
      <c r="DL179" s="81"/>
      <c r="DM179" s="50"/>
      <c r="DN179" s="50"/>
      <c r="DO179" s="122"/>
      <c r="DP179" s="520" t="str">
        <f>IF(Skills!AB14="","","Expertise ["&amp;Skills!AB14&amp;"] "&amp;IF(Skills!X14&lt;0,"-","+")&amp;Skills!X14)</f>
        <v/>
      </c>
      <c r="DQ179" s="520"/>
      <c r="DR179" s="520"/>
      <c r="DS179" s="520"/>
      <c r="DT179" s="520"/>
      <c r="DU179" s="520"/>
      <c r="DV179" s="520"/>
      <c r="DW179" s="520"/>
      <c r="DX179" s="520"/>
      <c r="DY179" s="520"/>
      <c r="DZ179" s="520"/>
      <c r="EA179" s="520"/>
      <c r="EB179" s="520"/>
      <c r="EC179" s="520"/>
      <c r="ED179" s="520"/>
      <c r="EE179" s="520"/>
      <c r="EF179" s="520"/>
      <c r="EG179" s="520"/>
      <c r="EH179" s="520"/>
      <c r="EI179" s="520"/>
      <c r="EJ179" s="520"/>
      <c r="EK179" s="520"/>
      <c r="EL179" s="520"/>
      <c r="EM179" s="520"/>
      <c r="EN179" s="520"/>
      <c r="EO179" s="520"/>
      <c r="EP179" s="520"/>
      <c r="EQ179" s="520"/>
      <c r="ER179" s="520"/>
      <c r="ES179" s="520"/>
      <c r="ET179" s="520"/>
      <c r="EU179" s="520"/>
      <c r="EV179" s="520"/>
      <c r="EW179" s="520"/>
      <c r="EX179" s="520"/>
      <c r="EY179" s="520"/>
      <c r="EZ179" s="123"/>
      <c r="FA179" s="50"/>
      <c r="FB179" s="51"/>
    </row>
    <row r="180" spans="1:158" ht="9" customHeight="1">
      <c r="A180" s="49"/>
      <c r="B180" s="81"/>
      <c r="C180" s="50"/>
      <c r="D180" s="50"/>
      <c r="E180" s="555"/>
      <c r="F180" s="555"/>
      <c r="G180" s="555"/>
      <c r="H180" s="555"/>
      <c r="I180" s="555"/>
      <c r="J180" s="555"/>
      <c r="K180" s="555"/>
      <c r="L180" s="555"/>
      <c r="M180" s="555"/>
      <c r="N180" s="555"/>
      <c r="O180" s="555"/>
      <c r="P180" s="555"/>
      <c r="Q180" s="555"/>
      <c r="R180" s="555"/>
      <c r="S180" s="555"/>
      <c r="T180" s="555"/>
      <c r="U180" s="555"/>
      <c r="V180" s="555"/>
      <c r="W180" s="555"/>
      <c r="X180" s="555"/>
      <c r="Y180" s="555"/>
      <c r="Z180" s="555"/>
      <c r="AA180" s="555"/>
      <c r="AB180" s="555"/>
      <c r="AC180" s="555"/>
      <c r="AD180" s="555"/>
      <c r="AE180" s="555"/>
      <c r="AF180" s="555"/>
      <c r="AG180" s="555"/>
      <c r="AH180" s="555"/>
      <c r="AI180" s="555"/>
      <c r="AJ180" s="555"/>
      <c r="AK180" s="555"/>
      <c r="AL180" s="555"/>
      <c r="AM180" s="555"/>
      <c r="AN180" s="555"/>
      <c r="AO180" s="555"/>
      <c r="AP180" s="555"/>
      <c r="AQ180" s="555"/>
      <c r="AR180" s="555"/>
      <c r="AS180" s="555"/>
      <c r="AT180" s="555"/>
      <c r="AU180" s="555"/>
      <c r="AV180" s="555"/>
      <c r="AW180" s="555"/>
      <c r="AX180" s="555"/>
      <c r="AY180" s="555"/>
      <c r="AZ180" s="555"/>
      <c r="BA180" s="555"/>
      <c r="BB180" s="555"/>
      <c r="BC180" s="555"/>
      <c r="BD180" s="555"/>
      <c r="BE180" s="555"/>
      <c r="BF180" s="555"/>
      <c r="BG180" s="555"/>
      <c r="BH180" s="555"/>
      <c r="BI180" s="555"/>
      <c r="BJ180" s="555"/>
      <c r="BK180" s="555"/>
      <c r="BL180" s="555"/>
      <c r="BM180" s="555"/>
      <c r="BN180" s="555"/>
      <c r="BO180" s="555"/>
      <c r="BP180" s="555"/>
      <c r="BQ180" s="555"/>
      <c r="BR180" s="555"/>
      <c r="BS180" s="555"/>
      <c r="BT180" s="555"/>
      <c r="BU180" s="555"/>
      <c r="BV180" s="555"/>
      <c r="BW180" s="555"/>
      <c r="BX180" s="555"/>
      <c r="BY180" s="555"/>
      <c r="BZ180" s="555"/>
      <c r="CA180" s="555"/>
      <c r="CB180" s="555"/>
      <c r="CC180" s="555"/>
      <c r="CD180" s="555"/>
      <c r="CE180" s="555"/>
      <c r="CF180" s="555"/>
      <c r="CG180" s="555"/>
      <c r="CH180" s="555"/>
      <c r="CI180" s="555"/>
      <c r="CJ180" s="555"/>
      <c r="CK180" s="555"/>
      <c r="CL180" s="555"/>
      <c r="CM180" s="555"/>
      <c r="CN180" s="555"/>
      <c r="CO180" s="555"/>
      <c r="CP180" s="555"/>
      <c r="CQ180" s="555"/>
      <c r="CR180" s="555"/>
      <c r="CS180" s="555"/>
      <c r="CT180" s="555"/>
      <c r="CU180" s="555"/>
      <c r="CV180" s="555"/>
      <c r="CW180" s="555"/>
      <c r="CX180" s="555"/>
      <c r="CY180" s="555"/>
      <c r="CZ180" s="555"/>
      <c r="DA180" s="555"/>
      <c r="DB180" s="555"/>
      <c r="DC180" s="555"/>
      <c r="DD180" s="555"/>
      <c r="DE180" s="555"/>
      <c r="DF180" s="555"/>
      <c r="DG180" s="555"/>
      <c r="DH180" s="555"/>
      <c r="DI180" s="555"/>
      <c r="DJ180" s="50"/>
      <c r="DK180" s="50"/>
      <c r="DL180" s="81"/>
      <c r="DM180" s="50"/>
      <c r="DN180" s="50"/>
      <c r="DO180" s="122"/>
      <c r="DP180" s="520"/>
      <c r="DQ180" s="520"/>
      <c r="DR180" s="520"/>
      <c r="DS180" s="520"/>
      <c r="DT180" s="520"/>
      <c r="DU180" s="520"/>
      <c r="DV180" s="520"/>
      <c r="DW180" s="520"/>
      <c r="DX180" s="520"/>
      <c r="DY180" s="520"/>
      <c r="DZ180" s="520"/>
      <c r="EA180" s="520"/>
      <c r="EB180" s="520"/>
      <c r="EC180" s="520"/>
      <c r="ED180" s="520"/>
      <c r="EE180" s="520"/>
      <c r="EF180" s="520"/>
      <c r="EG180" s="520"/>
      <c r="EH180" s="520"/>
      <c r="EI180" s="520"/>
      <c r="EJ180" s="520"/>
      <c r="EK180" s="520"/>
      <c r="EL180" s="520"/>
      <c r="EM180" s="520"/>
      <c r="EN180" s="520"/>
      <c r="EO180" s="520"/>
      <c r="EP180" s="520"/>
      <c r="EQ180" s="520"/>
      <c r="ER180" s="520"/>
      <c r="ES180" s="520"/>
      <c r="ET180" s="520"/>
      <c r="EU180" s="520"/>
      <c r="EV180" s="520"/>
      <c r="EW180" s="520"/>
      <c r="EX180" s="520"/>
      <c r="EY180" s="520"/>
      <c r="EZ180" s="123"/>
      <c r="FA180" s="50"/>
      <c r="FB180" s="51"/>
    </row>
    <row r="181" spans="1:158" ht="9" customHeight="1">
      <c r="A181" s="49"/>
      <c r="B181" s="81"/>
      <c r="C181" s="50"/>
      <c r="D181" s="50"/>
      <c r="E181" s="555"/>
      <c r="F181" s="555"/>
      <c r="G181" s="555"/>
      <c r="H181" s="555"/>
      <c r="I181" s="555"/>
      <c r="J181" s="555"/>
      <c r="K181" s="555"/>
      <c r="L181" s="555"/>
      <c r="M181" s="555"/>
      <c r="N181" s="555"/>
      <c r="O181" s="555"/>
      <c r="P181" s="555"/>
      <c r="Q181" s="555"/>
      <c r="R181" s="555"/>
      <c r="S181" s="555"/>
      <c r="T181" s="555"/>
      <c r="U181" s="555"/>
      <c r="V181" s="555"/>
      <c r="W181" s="555"/>
      <c r="X181" s="555"/>
      <c r="Y181" s="555"/>
      <c r="Z181" s="555"/>
      <c r="AA181" s="555"/>
      <c r="AB181" s="555"/>
      <c r="AC181" s="555"/>
      <c r="AD181" s="555"/>
      <c r="AE181" s="555"/>
      <c r="AF181" s="555"/>
      <c r="AG181" s="555"/>
      <c r="AH181" s="555"/>
      <c r="AI181" s="555"/>
      <c r="AJ181" s="555"/>
      <c r="AK181" s="555"/>
      <c r="AL181" s="555"/>
      <c r="AM181" s="555"/>
      <c r="AN181" s="555"/>
      <c r="AO181" s="555"/>
      <c r="AP181" s="555"/>
      <c r="AQ181" s="555"/>
      <c r="AR181" s="555"/>
      <c r="AS181" s="555"/>
      <c r="AT181" s="555"/>
      <c r="AU181" s="555"/>
      <c r="AV181" s="555"/>
      <c r="AW181" s="555"/>
      <c r="AX181" s="555"/>
      <c r="AY181" s="555"/>
      <c r="AZ181" s="555"/>
      <c r="BA181" s="555"/>
      <c r="BB181" s="555"/>
      <c r="BC181" s="555"/>
      <c r="BD181" s="555"/>
      <c r="BE181" s="555"/>
      <c r="BF181" s="555"/>
      <c r="BG181" s="555"/>
      <c r="BH181" s="555"/>
      <c r="BI181" s="555"/>
      <c r="BJ181" s="555"/>
      <c r="BK181" s="555"/>
      <c r="BL181" s="555"/>
      <c r="BM181" s="555"/>
      <c r="BN181" s="555"/>
      <c r="BO181" s="555"/>
      <c r="BP181" s="555"/>
      <c r="BQ181" s="555"/>
      <c r="BR181" s="555"/>
      <c r="BS181" s="555"/>
      <c r="BT181" s="555"/>
      <c r="BU181" s="555"/>
      <c r="BV181" s="555"/>
      <c r="BW181" s="555"/>
      <c r="BX181" s="555"/>
      <c r="BY181" s="555"/>
      <c r="BZ181" s="555"/>
      <c r="CA181" s="555"/>
      <c r="CB181" s="555"/>
      <c r="CC181" s="555"/>
      <c r="CD181" s="555"/>
      <c r="CE181" s="555"/>
      <c r="CF181" s="555"/>
      <c r="CG181" s="555"/>
      <c r="CH181" s="555"/>
      <c r="CI181" s="555"/>
      <c r="CJ181" s="555"/>
      <c r="CK181" s="555"/>
      <c r="CL181" s="555"/>
      <c r="CM181" s="555"/>
      <c r="CN181" s="555"/>
      <c r="CO181" s="555"/>
      <c r="CP181" s="555"/>
      <c r="CQ181" s="555"/>
      <c r="CR181" s="555"/>
      <c r="CS181" s="555"/>
      <c r="CT181" s="555"/>
      <c r="CU181" s="555"/>
      <c r="CV181" s="555"/>
      <c r="CW181" s="555"/>
      <c r="CX181" s="555"/>
      <c r="CY181" s="555"/>
      <c r="CZ181" s="555"/>
      <c r="DA181" s="555"/>
      <c r="DB181" s="555"/>
      <c r="DC181" s="555"/>
      <c r="DD181" s="555"/>
      <c r="DE181" s="555"/>
      <c r="DF181" s="555"/>
      <c r="DG181" s="555"/>
      <c r="DH181" s="555"/>
      <c r="DI181" s="555"/>
      <c r="DJ181" s="50"/>
      <c r="DK181" s="50"/>
      <c r="DL181" s="81"/>
      <c r="DM181" s="50"/>
      <c r="DN181" s="50"/>
      <c r="DO181" s="122"/>
      <c r="DP181" s="520"/>
      <c r="DQ181" s="520"/>
      <c r="DR181" s="520"/>
      <c r="DS181" s="520"/>
      <c r="DT181" s="520"/>
      <c r="DU181" s="520"/>
      <c r="DV181" s="520"/>
      <c r="DW181" s="520"/>
      <c r="DX181" s="520"/>
      <c r="DY181" s="520"/>
      <c r="DZ181" s="520"/>
      <c r="EA181" s="520"/>
      <c r="EB181" s="520"/>
      <c r="EC181" s="520"/>
      <c r="ED181" s="520"/>
      <c r="EE181" s="520"/>
      <c r="EF181" s="520"/>
      <c r="EG181" s="520"/>
      <c r="EH181" s="520"/>
      <c r="EI181" s="520"/>
      <c r="EJ181" s="520"/>
      <c r="EK181" s="520"/>
      <c r="EL181" s="520"/>
      <c r="EM181" s="520"/>
      <c r="EN181" s="520"/>
      <c r="EO181" s="520"/>
      <c r="EP181" s="520"/>
      <c r="EQ181" s="520"/>
      <c r="ER181" s="520"/>
      <c r="ES181" s="520"/>
      <c r="ET181" s="520"/>
      <c r="EU181" s="520"/>
      <c r="EV181" s="520"/>
      <c r="EW181" s="520"/>
      <c r="EX181" s="520"/>
      <c r="EY181" s="520"/>
      <c r="EZ181" s="123"/>
      <c r="FA181" s="50"/>
      <c r="FB181" s="51"/>
    </row>
    <row r="182" spans="1:158" ht="9" customHeight="1">
      <c r="A182" s="49"/>
      <c r="B182" s="81"/>
      <c r="C182" s="50"/>
      <c r="D182" s="50"/>
      <c r="E182" s="555"/>
      <c r="F182" s="555"/>
      <c r="G182" s="555"/>
      <c r="H182" s="555"/>
      <c r="I182" s="555"/>
      <c r="J182" s="555"/>
      <c r="K182" s="555"/>
      <c r="L182" s="555"/>
      <c r="M182" s="555"/>
      <c r="N182" s="555"/>
      <c r="O182" s="555"/>
      <c r="P182" s="555"/>
      <c r="Q182" s="555"/>
      <c r="R182" s="555"/>
      <c r="S182" s="555"/>
      <c r="T182" s="555"/>
      <c r="U182" s="555"/>
      <c r="V182" s="555"/>
      <c r="W182" s="555"/>
      <c r="X182" s="555"/>
      <c r="Y182" s="555"/>
      <c r="Z182" s="555"/>
      <c r="AA182" s="555"/>
      <c r="AB182" s="555"/>
      <c r="AC182" s="555"/>
      <c r="AD182" s="555"/>
      <c r="AE182" s="555"/>
      <c r="AF182" s="555"/>
      <c r="AG182" s="555"/>
      <c r="AH182" s="555"/>
      <c r="AI182" s="555"/>
      <c r="AJ182" s="555"/>
      <c r="AK182" s="555"/>
      <c r="AL182" s="555"/>
      <c r="AM182" s="555"/>
      <c r="AN182" s="555"/>
      <c r="AO182" s="555"/>
      <c r="AP182" s="555"/>
      <c r="AQ182" s="555"/>
      <c r="AR182" s="555"/>
      <c r="AS182" s="555"/>
      <c r="AT182" s="555"/>
      <c r="AU182" s="555"/>
      <c r="AV182" s="555"/>
      <c r="AW182" s="555"/>
      <c r="AX182" s="555"/>
      <c r="AY182" s="555"/>
      <c r="AZ182" s="555"/>
      <c r="BA182" s="555"/>
      <c r="BB182" s="555"/>
      <c r="BC182" s="555"/>
      <c r="BD182" s="555"/>
      <c r="BE182" s="555"/>
      <c r="BF182" s="555"/>
      <c r="BG182" s="555"/>
      <c r="BH182" s="555"/>
      <c r="BI182" s="555"/>
      <c r="BJ182" s="555"/>
      <c r="BK182" s="555"/>
      <c r="BL182" s="555"/>
      <c r="BM182" s="555"/>
      <c r="BN182" s="555"/>
      <c r="BO182" s="555"/>
      <c r="BP182" s="555"/>
      <c r="BQ182" s="555"/>
      <c r="BR182" s="555"/>
      <c r="BS182" s="555"/>
      <c r="BT182" s="555"/>
      <c r="BU182" s="555"/>
      <c r="BV182" s="555"/>
      <c r="BW182" s="555"/>
      <c r="BX182" s="555"/>
      <c r="BY182" s="555"/>
      <c r="BZ182" s="555"/>
      <c r="CA182" s="555"/>
      <c r="CB182" s="555"/>
      <c r="CC182" s="555"/>
      <c r="CD182" s="555"/>
      <c r="CE182" s="555"/>
      <c r="CF182" s="555"/>
      <c r="CG182" s="555"/>
      <c r="CH182" s="555"/>
      <c r="CI182" s="555"/>
      <c r="CJ182" s="555"/>
      <c r="CK182" s="555"/>
      <c r="CL182" s="555"/>
      <c r="CM182" s="555"/>
      <c r="CN182" s="555"/>
      <c r="CO182" s="555"/>
      <c r="CP182" s="555"/>
      <c r="CQ182" s="555"/>
      <c r="CR182" s="555"/>
      <c r="CS182" s="555"/>
      <c r="CT182" s="555"/>
      <c r="CU182" s="555"/>
      <c r="CV182" s="555"/>
      <c r="CW182" s="555"/>
      <c r="CX182" s="555"/>
      <c r="CY182" s="555"/>
      <c r="CZ182" s="555"/>
      <c r="DA182" s="555"/>
      <c r="DB182" s="555"/>
      <c r="DC182" s="555"/>
      <c r="DD182" s="555"/>
      <c r="DE182" s="555"/>
      <c r="DF182" s="555"/>
      <c r="DG182" s="555"/>
      <c r="DH182" s="555"/>
      <c r="DI182" s="555"/>
      <c r="DJ182" s="50"/>
      <c r="DK182" s="50"/>
      <c r="DL182" s="81"/>
      <c r="DM182" s="50"/>
      <c r="DN182" s="50"/>
      <c r="DO182" s="122"/>
      <c r="DP182" s="521"/>
      <c r="DQ182" s="521"/>
      <c r="DR182" s="521"/>
      <c r="DS182" s="521"/>
      <c r="DT182" s="521"/>
      <c r="DU182" s="521"/>
      <c r="DV182" s="521"/>
      <c r="DW182" s="521"/>
      <c r="DX182" s="521"/>
      <c r="DY182" s="521"/>
      <c r="DZ182" s="521"/>
      <c r="EA182" s="521"/>
      <c r="EB182" s="521"/>
      <c r="EC182" s="521"/>
      <c r="ED182" s="521"/>
      <c r="EE182" s="521"/>
      <c r="EF182" s="521"/>
      <c r="EG182" s="521"/>
      <c r="EH182" s="521"/>
      <c r="EI182" s="521"/>
      <c r="EJ182" s="521"/>
      <c r="EK182" s="521"/>
      <c r="EL182" s="521"/>
      <c r="EM182" s="521"/>
      <c r="EN182" s="521"/>
      <c r="EO182" s="521"/>
      <c r="EP182" s="521"/>
      <c r="EQ182" s="521"/>
      <c r="ER182" s="521"/>
      <c r="ES182" s="521"/>
      <c r="ET182" s="521"/>
      <c r="EU182" s="521"/>
      <c r="EV182" s="521"/>
      <c r="EW182" s="521"/>
      <c r="EX182" s="521"/>
      <c r="EY182" s="521"/>
      <c r="EZ182" s="123"/>
      <c r="FA182" s="50"/>
      <c r="FB182" s="51"/>
    </row>
    <row r="183" spans="1:158" ht="9" customHeight="1">
      <c r="A183" s="49"/>
      <c r="B183" s="81"/>
      <c r="C183" s="50"/>
      <c r="D183" s="50"/>
      <c r="E183" s="555"/>
      <c r="F183" s="555"/>
      <c r="G183" s="555"/>
      <c r="H183" s="555"/>
      <c r="I183" s="555"/>
      <c r="J183" s="555"/>
      <c r="K183" s="555"/>
      <c r="L183" s="555"/>
      <c r="M183" s="555"/>
      <c r="N183" s="555"/>
      <c r="O183" s="555"/>
      <c r="P183" s="555"/>
      <c r="Q183" s="555"/>
      <c r="R183" s="555"/>
      <c r="S183" s="555"/>
      <c r="T183" s="555"/>
      <c r="U183" s="555"/>
      <c r="V183" s="555"/>
      <c r="W183" s="555"/>
      <c r="X183" s="555"/>
      <c r="Y183" s="555"/>
      <c r="Z183" s="555"/>
      <c r="AA183" s="555"/>
      <c r="AB183" s="555"/>
      <c r="AC183" s="555"/>
      <c r="AD183" s="555"/>
      <c r="AE183" s="555"/>
      <c r="AF183" s="555"/>
      <c r="AG183" s="555"/>
      <c r="AH183" s="555"/>
      <c r="AI183" s="555"/>
      <c r="AJ183" s="555"/>
      <c r="AK183" s="555"/>
      <c r="AL183" s="555"/>
      <c r="AM183" s="555"/>
      <c r="AN183" s="555"/>
      <c r="AO183" s="555"/>
      <c r="AP183" s="555"/>
      <c r="AQ183" s="555"/>
      <c r="AR183" s="555"/>
      <c r="AS183" s="555"/>
      <c r="AT183" s="555"/>
      <c r="AU183" s="555"/>
      <c r="AV183" s="555"/>
      <c r="AW183" s="555"/>
      <c r="AX183" s="555"/>
      <c r="AY183" s="555"/>
      <c r="AZ183" s="555"/>
      <c r="BA183" s="555"/>
      <c r="BB183" s="555"/>
      <c r="BC183" s="555"/>
      <c r="BD183" s="555"/>
      <c r="BE183" s="555"/>
      <c r="BF183" s="555"/>
      <c r="BG183" s="555"/>
      <c r="BH183" s="555"/>
      <c r="BI183" s="555"/>
      <c r="BJ183" s="555"/>
      <c r="BK183" s="555"/>
      <c r="BL183" s="555"/>
      <c r="BM183" s="555"/>
      <c r="BN183" s="555"/>
      <c r="BO183" s="555"/>
      <c r="BP183" s="555"/>
      <c r="BQ183" s="555"/>
      <c r="BR183" s="555"/>
      <c r="BS183" s="555"/>
      <c r="BT183" s="555"/>
      <c r="BU183" s="555"/>
      <c r="BV183" s="555"/>
      <c r="BW183" s="555"/>
      <c r="BX183" s="555"/>
      <c r="BY183" s="555"/>
      <c r="BZ183" s="555"/>
      <c r="CA183" s="555"/>
      <c r="CB183" s="555"/>
      <c r="CC183" s="555"/>
      <c r="CD183" s="555"/>
      <c r="CE183" s="555"/>
      <c r="CF183" s="555"/>
      <c r="CG183" s="555"/>
      <c r="CH183" s="555"/>
      <c r="CI183" s="555"/>
      <c r="CJ183" s="555"/>
      <c r="CK183" s="555"/>
      <c r="CL183" s="555"/>
      <c r="CM183" s="555"/>
      <c r="CN183" s="555"/>
      <c r="CO183" s="555"/>
      <c r="CP183" s="555"/>
      <c r="CQ183" s="555"/>
      <c r="CR183" s="555"/>
      <c r="CS183" s="555"/>
      <c r="CT183" s="555"/>
      <c r="CU183" s="555"/>
      <c r="CV183" s="555"/>
      <c r="CW183" s="555"/>
      <c r="CX183" s="555"/>
      <c r="CY183" s="555"/>
      <c r="CZ183" s="555"/>
      <c r="DA183" s="555"/>
      <c r="DB183" s="555"/>
      <c r="DC183" s="555"/>
      <c r="DD183" s="555"/>
      <c r="DE183" s="555"/>
      <c r="DF183" s="555"/>
      <c r="DG183" s="555"/>
      <c r="DH183" s="555"/>
      <c r="DI183" s="555"/>
      <c r="DJ183" s="50"/>
      <c r="DK183" s="50"/>
      <c r="DL183" s="81"/>
      <c r="DM183" s="50"/>
      <c r="DN183" s="50"/>
      <c r="DO183" s="122"/>
      <c r="DP183" s="520" t="str">
        <f>IF(Skills!AB15="","","Expertise ["&amp;Skills!AB15&amp;"] "&amp;IF(Skills!X15&lt;0,"-","+")&amp;Skills!X15)</f>
        <v/>
      </c>
      <c r="DQ183" s="520"/>
      <c r="DR183" s="520"/>
      <c r="DS183" s="520"/>
      <c r="DT183" s="520"/>
      <c r="DU183" s="520"/>
      <c r="DV183" s="520"/>
      <c r="DW183" s="520"/>
      <c r="DX183" s="520"/>
      <c r="DY183" s="520"/>
      <c r="DZ183" s="520"/>
      <c r="EA183" s="520"/>
      <c r="EB183" s="520"/>
      <c r="EC183" s="520"/>
      <c r="ED183" s="520"/>
      <c r="EE183" s="520"/>
      <c r="EF183" s="520"/>
      <c r="EG183" s="520"/>
      <c r="EH183" s="520"/>
      <c r="EI183" s="520"/>
      <c r="EJ183" s="520"/>
      <c r="EK183" s="520"/>
      <c r="EL183" s="520"/>
      <c r="EM183" s="520"/>
      <c r="EN183" s="520"/>
      <c r="EO183" s="520"/>
      <c r="EP183" s="520"/>
      <c r="EQ183" s="520"/>
      <c r="ER183" s="520"/>
      <c r="ES183" s="520"/>
      <c r="ET183" s="520"/>
      <c r="EU183" s="520"/>
      <c r="EV183" s="520"/>
      <c r="EW183" s="520"/>
      <c r="EX183" s="520"/>
      <c r="EY183" s="520"/>
      <c r="EZ183" s="123"/>
      <c r="FA183" s="50"/>
      <c r="FB183" s="51"/>
    </row>
    <row r="184" spans="1:158" ht="9" customHeight="1">
      <c r="A184" s="49"/>
      <c r="B184" s="81"/>
      <c r="C184" s="50"/>
      <c r="D184" s="50"/>
      <c r="E184" s="555"/>
      <c r="F184" s="555"/>
      <c r="G184" s="555"/>
      <c r="H184" s="555"/>
      <c r="I184" s="555"/>
      <c r="J184" s="555"/>
      <c r="K184" s="555"/>
      <c r="L184" s="555"/>
      <c r="M184" s="555"/>
      <c r="N184" s="555"/>
      <c r="O184" s="555"/>
      <c r="P184" s="555"/>
      <c r="Q184" s="555"/>
      <c r="R184" s="555"/>
      <c r="S184" s="555"/>
      <c r="T184" s="555"/>
      <c r="U184" s="555"/>
      <c r="V184" s="555"/>
      <c r="W184" s="555"/>
      <c r="X184" s="555"/>
      <c r="Y184" s="555"/>
      <c r="Z184" s="555"/>
      <c r="AA184" s="555"/>
      <c r="AB184" s="555"/>
      <c r="AC184" s="555"/>
      <c r="AD184" s="555"/>
      <c r="AE184" s="555"/>
      <c r="AF184" s="555"/>
      <c r="AG184" s="555"/>
      <c r="AH184" s="555"/>
      <c r="AI184" s="555"/>
      <c r="AJ184" s="555"/>
      <c r="AK184" s="555"/>
      <c r="AL184" s="555"/>
      <c r="AM184" s="555"/>
      <c r="AN184" s="555"/>
      <c r="AO184" s="555"/>
      <c r="AP184" s="555"/>
      <c r="AQ184" s="555"/>
      <c r="AR184" s="555"/>
      <c r="AS184" s="555"/>
      <c r="AT184" s="555"/>
      <c r="AU184" s="555"/>
      <c r="AV184" s="555"/>
      <c r="AW184" s="555"/>
      <c r="AX184" s="555"/>
      <c r="AY184" s="555"/>
      <c r="AZ184" s="555"/>
      <c r="BA184" s="555"/>
      <c r="BB184" s="555"/>
      <c r="BC184" s="555"/>
      <c r="BD184" s="555"/>
      <c r="BE184" s="555"/>
      <c r="BF184" s="555"/>
      <c r="BG184" s="555"/>
      <c r="BH184" s="555"/>
      <c r="BI184" s="555"/>
      <c r="BJ184" s="555"/>
      <c r="BK184" s="555"/>
      <c r="BL184" s="555"/>
      <c r="BM184" s="555"/>
      <c r="BN184" s="555"/>
      <c r="BO184" s="555"/>
      <c r="BP184" s="555"/>
      <c r="BQ184" s="555"/>
      <c r="BR184" s="555"/>
      <c r="BS184" s="555"/>
      <c r="BT184" s="555"/>
      <c r="BU184" s="555"/>
      <c r="BV184" s="555"/>
      <c r="BW184" s="555"/>
      <c r="BX184" s="555"/>
      <c r="BY184" s="555"/>
      <c r="BZ184" s="555"/>
      <c r="CA184" s="555"/>
      <c r="CB184" s="555"/>
      <c r="CC184" s="555"/>
      <c r="CD184" s="555"/>
      <c r="CE184" s="555"/>
      <c r="CF184" s="555"/>
      <c r="CG184" s="555"/>
      <c r="CH184" s="555"/>
      <c r="CI184" s="555"/>
      <c r="CJ184" s="555"/>
      <c r="CK184" s="555"/>
      <c r="CL184" s="555"/>
      <c r="CM184" s="555"/>
      <c r="CN184" s="555"/>
      <c r="CO184" s="555"/>
      <c r="CP184" s="555"/>
      <c r="CQ184" s="555"/>
      <c r="CR184" s="555"/>
      <c r="CS184" s="555"/>
      <c r="CT184" s="555"/>
      <c r="CU184" s="555"/>
      <c r="CV184" s="555"/>
      <c r="CW184" s="555"/>
      <c r="CX184" s="555"/>
      <c r="CY184" s="555"/>
      <c r="CZ184" s="555"/>
      <c r="DA184" s="555"/>
      <c r="DB184" s="555"/>
      <c r="DC184" s="555"/>
      <c r="DD184" s="555"/>
      <c r="DE184" s="555"/>
      <c r="DF184" s="555"/>
      <c r="DG184" s="555"/>
      <c r="DH184" s="555"/>
      <c r="DI184" s="555"/>
      <c r="DJ184" s="50"/>
      <c r="DK184" s="50"/>
      <c r="DL184" s="81"/>
      <c r="DM184" s="50"/>
      <c r="DN184" s="50"/>
      <c r="DO184" s="122"/>
      <c r="DP184" s="520"/>
      <c r="DQ184" s="520"/>
      <c r="DR184" s="520"/>
      <c r="DS184" s="520"/>
      <c r="DT184" s="520"/>
      <c r="DU184" s="520"/>
      <c r="DV184" s="520"/>
      <c r="DW184" s="520"/>
      <c r="DX184" s="520"/>
      <c r="DY184" s="520"/>
      <c r="DZ184" s="520"/>
      <c r="EA184" s="520"/>
      <c r="EB184" s="520"/>
      <c r="EC184" s="520"/>
      <c r="ED184" s="520"/>
      <c r="EE184" s="520"/>
      <c r="EF184" s="520"/>
      <c r="EG184" s="520"/>
      <c r="EH184" s="520"/>
      <c r="EI184" s="520"/>
      <c r="EJ184" s="520"/>
      <c r="EK184" s="520"/>
      <c r="EL184" s="520"/>
      <c r="EM184" s="520"/>
      <c r="EN184" s="520"/>
      <c r="EO184" s="520"/>
      <c r="EP184" s="520"/>
      <c r="EQ184" s="520"/>
      <c r="ER184" s="520"/>
      <c r="ES184" s="520"/>
      <c r="ET184" s="520"/>
      <c r="EU184" s="520"/>
      <c r="EV184" s="520"/>
      <c r="EW184" s="520"/>
      <c r="EX184" s="520"/>
      <c r="EY184" s="520"/>
      <c r="EZ184" s="123"/>
      <c r="FA184" s="50"/>
      <c r="FB184" s="51"/>
    </row>
    <row r="185" spans="1:158" ht="9" customHeight="1">
      <c r="A185" s="49"/>
      <c r="B185" s="81"/>
      <c r="C185" s="50"/>
      <c r="D185" s="50"/>
      <c r="E185" s="555"/>
      <c r="F185" s="555"/>
      <c r="G185" s="555"/>
      <c r="H185" s="555"/>
      <c r="I185" s="555"/>
      <c r="J185" s="555"/>
      <c r="K185" s="555"/>
      <c r="L185" s="555"/>
      <c r="M185" s="555"/>
      <c r="N185" s="555"/>
      <c r="O185" s="555"/>
      <c r="P185" s="555"/>
      <c r="Q185" s="555"/>
      <c r="R185" s="555"/>
      <c r="S185" s="555"/>
      <c r="T185" s="555"/>
      <c r="U185" s="555"/>
      <c r="V185" s="555"/>
      <c r="W185" s="555"/>
      <c r="X185" s="555"/>
      <c r="Y185" s="555"/>
      <c r="Z185" s="555"/>
      <c r="AA185" s="555"/>
      <c r="AB185" s="555"/>
      <c r="AC185" s="555"/>
      <c r="AD185" s="555"/>
      <c r="AE185" s="555"/>
      <c r="AF185" s="555"/>
      <c r="AG185" s="555"/>
      <c r="AH185" s="555"/>
      <c r="AI185" s="555"/>
      <c r="AJ185" s="555"/>
      <c r="AK185" s="555"/>
      <c r="AL185" s="555"/>
      <c r="AM185" s="555"/>
      <c r="AN185" s="555"/>
      <c r="AO185" s="555"/>
      <c r="AP185" s="555"/>
      <c r="AQ185" s="555"/>
      <c r="AR185" s="555"/>
      <c r="AS185" s="555"/>
      <c r="AT185" s="555"/>
      <c r="AU185" s="555"/>
      <c r="AV185" s="555"/>
      <c r="AW185" s="555"/>
      <c r="AX185" s="555"/>
      <c r="AY185" s="555"/>
      <c r="AZ185" s="555"/>
      <c r="BA185" s="555"/>
      <c r="BB185" s="555"/>
      <c r="BC185" s="555"/>
      <c r="BD185" s="555"/>
      <c r="BE185" s="555"/>
      <c r="BF185" s="555"/>
      <c r="BG185" s="555"/>
      <c r="BH185" s="555"/>
      <c r="BI185" s="555"/>
      <c r="BJ185" s="555"/>
      <c r="BK185" s="555"/>
      <c r="BL185" s="555"/>
      <c r="BM185" s="555"/>
      <c r="BN185" s="555"/>
      <c r="BO185" s="555"/>
      <c r="BP185" s="555"/>
      <c r="BQ185" s="555"/>
      <c r="BR185" s="555"/>
      <c r="BS185" s="555"/>
      <c r="BT185" s="555"/>
      <c r="BU185" s="555"/>
      <c r="BV185" s="555"/>
      <c r="BW185" s="555"/>
      <c r="BX185" s="555"/>
      <c r="BY185" s="555"/>
      <c r="BZ185" s="555"/>
      <c r="CA185" s="555"/>
      <c r="CB185" s="555"/>
      <c r="CC185" s="555"/>
      <c r="CD185" s="555"/>
      <c r="CE185" s="555"/>
      <c r="CF185" s="555"/>
      <c r="CG185" s="555"/>
      <c r="CH185" s="555"/>
      <c r="CI185" s="555"/>
      <c r="CJ185" s="555"/>
      <c r="CK185" s="555"/>
      <c r="CL185" s="555"/>
      <c r="CM185" s="555"/>
      <c r="CN185" s="555"/>
      <c r="CO185" s="555"/>
      <c r="CP185" s="555"/>
      <c r="CQ185" s="555"/>
      <c r="CR185" s="555"/>
      <c r="CS185" s="555"/>
      <c r="CT185" s="555"/>
      <c r="CU185" s="555"/>
      <c r="CV185" s="555"/>
      <c r="CW185" s="555"/>
      <c r="CX185" s="555"/>
      <c r="CY185" s="555"/>
      <c r="CZ185" s="555"/>
      <c r="DA185" s="555"/>
      <c r="DB185" s="555"/>
      <c r="DC185" s="555"/>
      <c r="DD185" s="555"/>
      <c r="DE185" s="555"/>
      <c r="DF185" s="555"/>
      <c r="DG185" s="555"/>
      <c r="DH185" s="555"/>
      <c r="DI185" s="555"/>
      <c r="DJ185" s="50"/>
      <c r="DK185" s="50"/>
      <c r="DL185" s="81"/>
      <c r="DM185" s="50"/>
      <c r="DN185" s="50"/>
      <c r="DO185" s="122"/>
      <c r="DP185" s="520"/>
      <c r="DQ185" s="520"/>
      <c r="DR185" s="520"/>
      <c r="DS185" s="520"/>
      <c r="DT185" s="520"/>
      <c r="DU185" s="520"/>
      <c r="DV185" s="520"/>
      <c r="DW185" s="520"/>
      <c r="DX185" s="520"/>
      <c r="DY185" s="520"/>
      <c r="DZ185" s="520"/>
      <c r="EA185" s="520"/>
      <c r="EB185" s="520"/>
      <c r="EC185" s="520"/>
      <c r="ED185" s="520"/>
      <c r="EE185" s="520"/>
      <c r="EF185" s="520"/>
      <c r="EG185" s="520"/>
      <c r="EH185" s="520"/>
      <c r="EI185" s="520"/>
      <c r="EJ185" s="520"/>
      <c r="EK185" s="520"/>
      <c r="EL185" s="520"/>
      <c r="EM185" s="520"/>
      <c r="EN185" s="520"/>
      <c r="EO185" s="520"/>
      <c r="EP185" s="520"/>
      <c r="EQ185" s="520"/>
      <c r="ER185" s="520"/>
      <c r="ES185" s="520"/>
      <c r="ET185" s="520"/>
      <c r="EU185" s="520"/>
      <c r="EV185" s="520"/>
      <c r="EW185" s="520"/>
      <c r="EX185" s="520"/>
      <c r="EY185" s="520"/>
      <c r="EZ185" s="123"/>
      <c r="FA185" s="50"/>
      <c r="FB185" s="51"/>
    </row>
    <row r="186" spans="1:158" ht="9" customHeight="1">
      <c r="A186" s="49"/>
      <c r="B186" s="81"/>
      <c r="C186" s="50"/>
      <c r="D186" s="50"/>
      <c r="E186" s="555"/>
      <c r="F186" s="555"/>
      <c r="G186" s="555"/>
      <c r="H186" s="555"/>
      <c r="I186" s="555"/>
      <c r="J186" s="555"/>
      <c r="K186" s="555"/>
      <c r="L186" s="555"/>
      <c r="M186" s="555"/>
      <c r="N186" s="555"/>
      <c r="O186" s="555"/>
      <c r="P186" s="555"/>
      <c r="Q186" s="555"/>
      <c r="R186" s="555"/>
      <c r="S186" s="555"/>
      <c r="T186" s="555"/>
      <c r="U186" s="555"/>
      <c r="V186" s="555"/>
      <c r="W186" s="555"/>
      <c r="X186" s="555"/>
      <c r="Y186" s="555"/>
      <c r="Z186" s="555"/>
      <c r="AA186" s="555"/>
      <c r="AB186" s="555"/>
      <c r="AC186" s="555"/>
      <c r="AD186" s="555"/>
      <c r="AE186" s="555"/>
      <c r="AF186" s="555"/>
      <c r="AG186" s="555"/>
      <c r="AH186" s="555"/>
      <c r="AI186" s="555"/>
      <c r="AJ186" s="555"/>
      <c r="AK186" s="555"/>
      <c r="AL186" s="555"/>
      <c r="AM186" s="555"/>
      <c r="AN186" s="555"/>
      <c r="AO186" s="555"/>
      <c r="AP186" s="555"/>
      <c r="AQ186" s="555"/>
      <c r="AR186" s="555"/>
      <c r="AS186" s="555"/>
      <c r="AT186" s="555"/>
      <c r="AU186" s="555"/>
      <c r="AV186" s="555"/>
      <c r="AW186" s="555"/>
      <c r="AX186" s="555"/>
      <c r="AY186" s="555"/>
      <c r="AZ186" s="555"/>
      <c r="BA186" s="555"/>
      <c r="BB186" s="555"/>
      <c r="BC186" s="555"/>
      <c r="BD186" s="555"/>
      <c r="BE186" s="555"/>
      <c r="BF186" s="555"/>
      <c r="BG186" s="555"/>
      <c r="BH186" s="555"/>
      <c r="BI186" s="555"/>
      <c r="BJ186" s="555"/>
      <c r="BK186" s="555"/>
      <c r="BL186" s="555"/>
      <c r="BM186" s="555"/>
      <c r="BN186" s="555"/>
      <c r="BO186" s="555"/>
      <c r="BP186" s="555"/>
      <c r="BQ186" s="555"/>
      <c r="BR186" s="555"/>
      <c r="BS186" s="555"/>
      <c r="BT186" s="555"/>
      <c r="BU186" s="555"/>
      <c r="BV186" s="555"/>
      <c r="BW186" s="555"/>
      <c r="BX186" s="555"/>
      <c r="BY186" s="555"/>
      <c r="BZ186" s="555"/>
      <c r="CA186" s="555"/>
      <c r="CB186" s="555"/>
      <c r="CC186" s="555"/>
      <c r="CD186" s="555"/>
      <c r="CE186" s="555"/>
      <c r="CF186" s="555"/>
      <c r="CG186" s="555"/>
      <c r="CH186" s="555"/>
      <c r="CI186" s="555"/>
      <c r="CJ186" s="555"/>
      <c r="CK186" s="555"/>
      <c r="CL186" s="555"/>
      <c r="CM186" s="555"/>
      <c r="CN186" s="555"/>
      <c r="CO186" s="555"/>
      <c r="CP186" s="555"/>
      <c r="CQ186" s="555"/>
      <c r="CR186" s="555"/>
      <c r="CS186" s="555"/>
      <c r="CT186" s="555"/>
      <c r="CU186" s="555"/>
      <c r="CV186" s="555"/>
      <c r="CW186" s="555"/>
      <c r="CX186" s="555"/>
      <c r="CY186" s="555"/>
      <c r="CZ186" s="555"/>
      <c r="DA186" s="555"/>
      <c r="DB186" s="555"/>
      <c r="DC186" s="555"/>
      <c r="DD186" s="555"/>
      <c r="DE186" s="555"/>
      <c r="DF186" s="555"/>
      <c r="DG186" s="555"/>
      <c r="DH186" s="555"/>
      <c r="DI186" s="555"/>
      <c r="DJ186" s="50"/>
      <c r="DK186" s="50"/>
      <c r="DL186" s="81"/>
      <c r="DM186" s="50"/>
      <c r="DN186" s="50"/>
      <c r="DO186" s="122"/>
      <c r="DP186" s="521"/>
      <c r="DQ186" s="521"/>
      <c r="DR186" s="521"/>
      <c r="DS186" s="521"/>
      <c r="DT186" s="521"/>
      <c r="DU186" s="521"/>
      <c r="DV186" s="521"/>
      <c r="DW186" s="521"/>
      <c r="DX186" s="521"/>
      <c r="DY186" s="521"/>
      <c r="DZ186" s="521"/>
      <c r="EA186" s="521"/>
      <c r="EB186" s="521"/>
      <c r="EC186" s="521"/>
      <c r="ED186" s="521"/>
      <c r="EE186" s="521"/>
      <c r="EF186" s="521"/>
      <c r="EG186" s="521"/>
      <c r="EH186" s="521"/>
      <c r="EI186" s="521"/>
      <c r="EJ186" s="521"/>
      <c r="EK186" s="521"/>
      <c r="EL186" s="521"/>
      <c r="EM186" s="521"/>
      <c r="EN186" s="521"/>
      <c r="EO186" s="521"/>
      <c r="EP186" s="521"/>
      <c r="EQ186" s="521"/>
      <c r="ER186" s="521"/>
      <c r="ES186" s="521"/>
      <c r="ET186" s="521"/>
      <c r="EU186" s="521"/>
      <c r="EV186" s="521"/>
      <c r="EW186" s="521"/>
      <c r="EX186" s="521"/>
      <c r="EY186" s="521"/>
      <c r="EZ186" s="123"/>
      <c r="FA186" s="50"/>
      <c r="FB186" s="51"/>
    </row>
    <row r="187" spans="1:158" ht="9" customHeight="1">
      <c r="A187" s="49"/>
      <c r="B187" s="81"/>
      <c r="C187" s="50"/>
      <c r="D187" s="50"/>
      <c r="E187" s="555"/>
      <c r="F187" s="555"/>
      <c r="G187" s="555"/>
      <c r="H187" s="555"/>
      <c r="I187" s="555"/>
      <c r="J187" s="555"/>
      <c r="K187" s="555"/>
      <c r="L187" s="555"/>
      <c r="M187" s="555"/>
      <c r="N187" s="555"/>
      <c r="O187" s="555"/>
      <c r="P187" s="555"/>
      <c r="Q187" s="555"/>
      <c r="R187" s="555"/>
      <c r="S187" s="555"/>
      <c r="T187" s="555"/>
      <c r="U187" s="555"/>
      <c r="V187" s="555"/>
      <c r="W187" s="555"/>
      <c r="X187" s="555"/>
      <c r="Y187" s="555"/>
      <c r="Z187" s="555"/>
      <c r="AA187" s="555"/>
      <c r="AB187" s="555"/>
      <c r="AC187" s="555"/>
      <c r="AD187" s="555"/>
      <c r="AE187" s="555"/>
      <c r="AF187" s="555"/>
      <c r="AG187" s="555"/>
      <c r="AH187" s="555"/>
      <c r="AI187" s="555"/>
      <c r="AJ187" s="555"/>
      <c r="AK187" s="555"/>
      <c r="AL187" s="555"/>
      <c r="AM187" s="555"/>
      <c r="AN187" s="555"/>
      <c r="AO187" s="555"/>
      <c r="AP187" s="555"/>
      <c r="AQ187" s="555"/>
      <c r="AR187" s="555"/>
      <c r="AS187" s="555"/>
      <c r="AT187" s="555"/>
      <c r="AU187" s="555"/>
      <c r="AV187" s="555"/>
      <c r="AW187" s="555"/>
      <c r="AX187" s="555"/>
      <c r="AY187" s="555"/>
      <c r="AZ187" s="555"/>
      <c r="BA187" s="555"/>
      <c r="BB187" s="555"/>
      <c r="BC187" s="555"/>
      <c r="BD187" s="555"/>
      <c r="BE187" s="555"/>
      <c r="BF187" s="555"/>
      <c r="BG187" s="555"/>
      <c r="BH187" s="555"/>
      <c r="BI187" s="555"/>
      <c r="BJ187" s="555"/>
      <c r="BK187" s="555"/>
      <c r="BL187" s="555"/>
      <c r="BM187" s="555"/>
      <c r="BN187" s="555"/>
      <c r="BO187" s="555"/>
      <c r="BP187" s="555"/>
      <c r="BQ187" s="555"/>
      <c r="BR187" s="555"/>
      <c r="BS187" s="555"/>
      <c r="BT187" s="555"/>
      <c r="BU187" s="555"/>
      <c r="BV187" s="555"/>
      <c r="BW187" s="555"/>
      <c r="BX187" s="555"/>
      <c r="BY187" s="555"/>
      <c r="BZ187" s="555"/>
      <c r="CA187" s="555"/>
      <c r="CB187" s="555"/>
      <c r="CC187" s="555"/>
      <c r="CD187" s="555"/>
      <c r="CE187" s="555"/>
      <c r="CF187" s="555"/>
      <c r="CG187" s="555"/>
      <c r="CH187" s="555"/>
      <c r="CI187" s="555"/>
      <c r="CJ187" s="555"/>
      <c r="CK187" s="555"/>
      <c r="CL187" s="555"/>
      <c r="CM187" s="555"/>
      <c r="CN187" s="555"/>
      <c r="CO187" s="555"/>
      <c r="CP187" s="555"/>
      <c r="CQ187" s="555"/>
      <c r="CR187" s="555"/>
      <c r="CS187" s="555"/>
      <c r="CT187" s="555"/>
      <c r="CU187" s="555"/>
      <c r="CV187" s="555"/>
      <c r="CW187" s="555"/>
      <c r="CX187" s="555"/>
      <c r="CY187" s="555"/>
      <c r="CZ187" s="555"/>
      <c r="DA187" s="555"/>
      <c r="DB187" s="555"/>
      <c r="DC187" s="555"/>
      <c r="DD187" s="555"/>
      <c r="DE187" s="555"/>
      <c r="DF187" s="555"/>
      <c r="DG187" s="555"/>
      <c r="DH187" s="555"/>
      <c r="DI187" s="555"/>
      <c r="DJ187" s="50"/>
      <c r="DK187" s="50"/>
      <c r="DL187" s="81"/>
      <c r="DM187" s="50"/>
      <c r="DN187" s="50"/>
      <c r="DO187" s="122"/>
      <c r="DP187" s="520" t="str">
        <f>IF(Skills!AB16="","","Expertise ["&amp;Skills!AB16&amp;"] "&amp;IF(Skills!X16&lt;0,"-","+")&amp;Skills!X16)</f>
        <v/>
      </c>
      <c r="DQ187" s="520"/>
      <c r="DR187" s="520"/>
      <c r="DS187" s="520"/>
      <c r="DT187" s="520"/>
      <c r="DU187" s="520"/>
      <c r="DV187" s="520"/>
      <c r="DW187" s="520"/>
      <c r="DX187" s="520"/>
      <c r="DY187" s="520"/>
      <c r="DZ187" s="520"/>
      <c r="EA187" s="520"/>
      <c r="EB187" s="520"/>
      <c r="EC187" s="520"/>
      <c r="ED187" s="520"/>
      <c r="EE187" s="520"/>
      <c r="EF187" s="520"/>
      <c r="EG187" s="520"/>
      <c r="EH187" s="520"/>
      <c r="EI187" s="520"/>
      <c r="EJ187" s="520"/>
      <c r="EK187" s="520"/>
      <c r="EL187" s="520"/>
      <c r="EM187" s="520"/>
      <c r="EN187" s="520"/>
      <c r="EO187" s="520"/>
      <c r="EP187" s="520"/>
      <c r="EQ187" s="520"/>
      <c r="ER187" s="520"/>
      <c r="ES187" s="520"/>
      <c r="ET187" s="520"/>
      <c r="EU187" s="520"/>
      <c r="EV187" s="520"/>
      <c r="EW187" s="520"/>
      <c r="EX187" s="520"/>
      <c r="EY187" s="520"/>
      <c r="EZ187" s="123"/>
      <c r="FA187" s="50"/>
      <c r="FB187" s="51"/>
    </row>
    <row r="188" spans="1:158" ht="9" customHeight="1">
      <c r="A188" s="49"/>
      <c r="B188" s="81"/>
      <c r="C188" s="50"/>
      <c r="D188" s="50"/>
      <c r="E188" s="555"/>
      <c r="F188" s="555"/>
      <c r="G188" s="555"/>
      <c r="H188" s="555"/>
      <c r="I188" s="555"/>
      <c r="J188" s="555"/>
      <c r="K188" s="555"/>
      <c r="L188" s="555"/>
      <c r="M188" s="555"/>
      <c r="N188" s="555"/>
      <c r="O188" s="555"/>
      <c r="P188" s="555"/>
      <c r="Q188" s="555"/>
      <c r="R188" s="555"/>
      <c r="S188" s="555"/>
      <c r="T188" s="555"/>
      <c r="U188" s="555"/>
      <c r="V188" s="555"/>
      <c r="W188" s="555"/>
      <c r="X188" s="555"/>
      <c r="Y188" s="555"/>
      <c r="Z188" s="555"/>
      <c r="AA188" s="555"/>
      <c r="AB188" s="555"/>
      <c r="AC188" s="555"/>
      <c r="AD188" s="555"/>
      <c r="AE188" s="555"/>
      <c r="AF188" s="555"/>
      <c r="AG188" s="555"/>
      <c r="AH188" s="555"/>
      <c r="AI188" s="555"/>
      <c r="AJ188" s="555"/>
      <c r="AK188" s="555"/>
      <c r="AL188" s="555"/>
      <c r="AM188" s="555"/>
      <c r="AN188" s="555"/>
      <c r="AO188" s="555"/>
      <c r="AP188" s="555"/>
      <c r="AQ188" s="555"/>
      <c r="AR188" s="555"/>
      <c r="AS188" s="555"/>
      <c r="AT188" s="555"/>
      <c r="AU188" s="555"/>
      <c r="AV188" s="555"/>
      <c r="AW188" s="555"/>
      <c r="AX188" s="555"/>
      <c r="AY188" s="555"/>
      <c r="AZ188" s="555"/>
      <c r="BA188" s="555"/>
      <c r="BB188" s="555"/>
      <c r="BC188" s="555"/>
      <c r="BD188" s="555"/>
      <c r="BE188" s="555"/>
      <c r="BF188" s="555"/>
      <c r="BG188" s="555"/>
      <c r="BH188" s="555"/>
      <c r="BI188" s="555"/>
      <c r="BJ188" s="555"/>
      <c r="BK188" s="555"/>
      <c r="BL188" s="555"/>
      <c r="BM188" s="555"/>
      <c r="BN188" s="555"/>
      <c r="BO188" s="555"/>
      <c r="BP188" s="555"/>
      <c r="BQ188" s="555"/>
      <c r="BR188" s="555"/>
      <c r="BS188" s="555"/>
      <c r="BT188" s="555"/>
      <c r="BU188" s="555"/>
      <c r="BV188" s="555"/>
      <c r="BW188" s="555"/>
      <c r="BX188" s="555"/>
      <c r="BY188" s="555"/>
      <c r="BZ188" s="555"/>
      <c r="CA188" s="555"/>
      <c r="CB188" s="555"/>
      <c r="CC188" s="555"/>
      <c r="CD188" s="555"/>
      <c r="CE188" s="555"/>
      <c r="CF188" s="555"/>
      <c r="CG188" s="555"/>
      <c r="CH188" s="555"/>
      <c r="CI188" s="555"/>
      <c r="CJ188" s="555"/>
      <c r="CK188" s="555"/>
      <c r="CL188" s="555"/>
      <c r="CM188" s="555"/>
      <c r="CN188" s="555"/>
      <c r="CO188" s="555"/>
      <c r="CP188" s="555"/>
      <c r="CQ188" s="555"/>
      <c r="CR188" s="555"/>
      <c r="CS188" s="555"/>
      <c r="CT188" s="555"/>
      <c r="CU188" s="555"/>
      <c r="CV188" s="555"/>
      <c r="CW188" s="555"/>
      <c r="CX188" s="555"/>
      <c r="CY188" s="555"/>
      <c r="CZ188" s="555"/>
      <c r="DA188" s="555"/>
      <c r="DB188" s="555"/>
      <c r="DC188" s="555"/>
      <c r="DD188" s="555"/>
      <c r="DE188" s="555"/>
      <c r="DF188" s="555"/>
      <c r="DG188" s="555"/>
      <c r="DH188" s="555"/>
      <c r="DI188" s="555"/>
      <c r="DJ188" s="50"/>
      <c r="DK188" s="50"/>
      <c r="DL188" s="81"/>
      <c r="DM188" s="50"/>
      <c r="DN188" s="50"/>
      <c r="DO188" s="122"/>
      <c r="DP188" s="520"/>
      <c r="DQ188" s="520"/>
      <c r="DR188" s="520"/>
      <c r="DS188" s="520"/>
      <c r="DT188" s="520"/>
      <c r="DU188" s="520"/>
      <c r="DV188" s="520"/>
      <c r="DW188" s="520"/>
      <c r="DX188" s="520"/>
      <c r="DY188" s="520"/>
      <c r="DZ188" s="520"/>
      <c r="EA188" s="520"/>
      <c r="EB188" s="520"/>
      <c r="EC188" s="520"/>
      <c r="ED188" s="520"/>
      <c r="EE188" s="520"/>
      <c r="EF188" s="520"/>
      <c r="EG188" s="520"/>
      <c r="EH188" s="520"/>
      <c r="EI188" s="520"/>
      <c r="EJ188" s="520"/>
      <c r="EK188" s="520"/>
      <c r="EL188" s="520"/>
      <c r="EM188" s="520"/>
      <c r="EN188" s="520"/>
      <c r="EO188" s="520"/>
      <c r="EP188" s="520"/>
      <c r="EQ188" s="520"/>
      <c r="ER188" s="520"/>
      <c r="ES188" s="520"/>
      <c r="ET188" s="520"/>
      <c r="EU188" s="520"/>
      <c r="EV188" s="520"/>
      <c r="EW188" s="520"/>
      <c r="EX188" s="520"/>
      <c r="EY188" s="520"/>
      <c r="EZ188" s="123"/>
      <c r="FA188" s="50"/>
      <c r="FB188" s="51"/>
    </row>
    <row r="189" spans="1:158" ht="9" customHeight="1">
      <c r="A189" s="49"/>
      <c r="B189" s="81"/>
      <c r="C189" s="50"/>
      <c r="D189" s="50"/>
      <c r="E189" s="555"/>
      <c r="F189" s="555"/>
      <c r="G189" s="555"/>
      <c r="H189" s="555"/>
      <c r="I189" s="555"/>
      <c r="J189" s="555"/>
      <c r="K189" s="555"/>
      <c r="L189" s="555"/>
      <c r="M189" s="555"/>
      <c r="N189" s="555"/>
      <c r="O189" s="555"/>
      <c r="P189" s="555"/>
      <c r="Q189" s="555"/>
      <c r="R189" s="555"/>
      <c r="S189" s="555"/>
      <c r="T189" s="555"/>
      <c r="U189" s="555"/>
      <c r="V189" s="555"/>
      <c r="W189" s="555"/>
      <c r="X189" s="555"/>
      <c r="Y189" s="555"/>
      <c r="Z189" s="555"/>
      <c r="AA189" s="555"/>
      <c r="AB189" s="555"/>
      <c r="AC189" s="555"/>
      <c r="AD189" s="555"/>
      <c r="AE189" s="555"/>
      <c r="AF189" s="555"/>
      <c r="AG189" s="555"/>
      <c r="AH189" s="555"/>
      <c r="AI189" s="555"/>
      <c r="AJ189" s="555"/>
      <c r="AK189" s="555"/>
      <c r="AL189" s="555"/>
      <c r="AM189" s="555"/>
      <c r="AN189" s="555"/>
      <c r="AO189" s="555"/>
      <c r="AP189" s="555"/>
      <c r="AQ189" s="555"/>
      <c r="AR189" s="555"/>
      <c r="AS189" s="555"/>
      <c r="AT189" s="555"/>
      <c r="AU189" s="555"/>
      <c r="AV189" s="555"/>
      <c r="AW189" s="555"/>
      <c r="AX189" s="555"/>
      <c r="AY189" s="555"/>
      <c r="AZ189" s="555"/>
      <c r="BA189" s="555"/>
      <c r="BB189" s="555"/>
      <c r="BC189" s="555"/>
      <c r="BD189" s="555"/>
      <c r="BE189" s="555"/>
      <c r="BF189" s="555"/>
      <c r="BG189" s="555"/>
      <c r="BH189" s="555"/>
      <c r="BI189" s="555"/>
      <c r="BJ189" s="555"/>
      <c r="BK189" s="555"/>
      <c r="BL189" s="555"/>
      <c r="BM189" s="555"/>
      <c r="BN189" s="555"/>
      <c r="BO189" s="555"/>
      <c r="BP189" s="555"/>
      <c r="BQ189" s="555"/>
      <c r="BR189" s="555"/>
      <c r="BS189" s="555"/>
      <c r="BT189" s="555"/>
      <c r="BU189" s="555"/>
      <c r="BV189" s="555"/>
      <c r="BW189" s="555"/>
      <c r="BX189" s="555"/>
      <c r="BY189" s="555"/>
      <c r="BZ189" s="555"/>
      <c r="CA189" s="555"/>
      <c r="CB189" s="555"/>
      <c r="CC189" s="555"/>
      <c r="CD189" s="555"/>
      <c r="CE189" s="555"/>
      <c r="CF189" s="555"/>
      <c r="CG189" s="555"/>
      <c r="CH189" s="555"/>
      <c r="CI189" s="555"/>
      <c r="CJ189" s="555"/>
      <c r="CK189" s="555"/>
      <c r="CL189" s="555"/>
      <c r="CM189" s="555"/>
      <c r="CN189" s="555"/>
      <c r="CO189" s="555"/>
      <c r="CP189" s="555"/>
      <c r="CQ189" s="555"/>
      <c r="CR189" s="555"/>
      <c r="CS189" s="555"/>
      <c r="CT189" s="555"/>
      <c r="CU189" s="555"/>
      <c r="CV189" s="555"/>
      <c r="CW189" s="555"/>
      <c r="CX189" s="555"/>
      <c r="CY189" s="555"/>
      <c r="CZ189" s="555"/>
      <c r="DA189" s="555"/>
      <c r="DB189" s="555"/>
      <c r="DC189" s="555"/>
      <c r="DD189" s="555"/>
      <c r="DE189" s="555"/>
      <c r="DF189" s="555"/>
      <c r="DG189" s="555"/>
      <c r="DH189" s="555"/>
      <c r="DI189" s="555"/>
      <c r="DJ189" s="50"/>
      <c r="DK189" s="50"/>
      <c r="DL189" s="81"/>
      <c r="DM189" s="50"/>
      <c r="DN189" s="50"/>
      <c r="DO189" s="122"/>
      <c r="DP189" s="520"/>
      <c r="DQ189" s="520"/>
      <c r="DR189" s="520"/>
      <c r="DS189" s="520"/>
      <c r="DT189" s="520"/>
      <c r="DU189" s="520"/>
      <c r="DV189" s="520"/>
      <c r="DW189" s="520"/>
      <c r="DX189" s="520"/>
      <c r="DY189" s="520"/>
      <c r="DZ189" s="520"/>
      <c r="EA189" s="520"/>
      <c r="EB189" s="520"/>
      <c r="EC189" s="520"/>
      <c r="ED189" s="520"/>
      <c r="EE189" s="520"/>
      <c r="EF189" s="520"/>
      <c r="EG189" s="520"/>
      <c r="EH189" s="520"/>
      <c r="EI189" s="520"/>
      <c r="EJ189" s="520"/>
      <c r="EK189" s="520"/>
      <c r="EL189" s="520"/>
      <c r="EM189" s="520"/>
      <c r="EN189" s="520"/>
      <c r="EO189" s="520"/>
      <c r="EP189" s="520"/>
      <c r="EQ189" s="520"/>
      <c r="ER189" s="520"/>
      <c r="ES189" s="520"/>
      <c r="ET189" s="520"/>
      <c r="EU189" s="520"/>
      <c r="EV189" s="520"/>
      <c r="EW189" s="520"/>
      <c r="EX189" s="520"/>
      <c r="EY189" s="520"/>
      <c r="EZ189" s="123"/>
      <c r="FA189" s="50"/>
      <c r="FB189" s="51"/>
    </row>
    <row r="190" spans="1:158" ht="9" customHeight="1">
      <c r="A190" s="49"/>
      <c r="B190" s="81"/>
      <c r="C190" s="50"/>
      <c r="D190" s="50"/>
      <c r="E190" s="555"/>
      <c r="F190" s="555"/>
      <c r="G190" s="555"/>
      <c r="H190" s="555"/>
      <c r="I190" s="555"/>
      <c r="J190" s="555"/>
      <c r="K190" s="555"/>
      <c r="L190" s="555"/>
      <c r="M190" s="555"/>
      <c r="N190" s="555"/>
      <c r="O190" s="555"/>
      <c r="P190" s="555"/>
      <c r="Q190" s="555"/>
      <c r="R190" s="555"/>
      <c r="S190" s="555"/>
      <c r="T190" s="555"/>
      <c r="U190" s="555"/>
      <c r="V190" s="555"/>
      <c r="W190" s="555"/>
      <c r="X190" s="555"/>
      <c r="Y190" s="555"/>
      <c r="Z190" s="555"/>
      <c r="AA190" s="555"/>
      <c r="AB190" s="555"/>
      <c r="AC190" s="555"/>
      <c r="AD190" s="555"/>
      <c r="AE190" s="555"/>
      <c r="AF190" s="555"/>
      <c r="AG190" s="555"/>
      <c r="AH190" s="555"/>
      <c r="AI190" s="555"/>
      <c r="AJ190" s="555"/>
      <c r="AK190" s="555"/>
      <c r="AL190" s="555"/>
      <c r="AM190" s="555"/>
      <c r="AN190" s="555"/>
      <c r="AO190" s="555"/>
      <c r="AP190" s="555"/>
      <c r="AQ190" s="555"/>
      <c r="AR190" s="555"/>
      <c r="AS190" s="555"/>
      <c r="AT190" s="555"/>
      <c r="AU190" s="555"/>
      <c r="AV190" s="555"/>
      <c r="AW190" s="555"/>
      <c r="AX190" s="555"/>
      <c r="AY190" s="555"/>
      <c r="AZ190" s="555"/>
      <c r="BA190" s="555"/>
      <c r="BB190" s="555"/>
      <c r="BC190" s="555"/>
      <c r="BD190" s="555"/>
      <c r="BE190" s="555"/>
      <c r="BF190" s="555"/>
      <c r="BG190" s="555"/>
      <c r="BH190" s="555"/>
      <c r="BI190" s="555"/>
      <c r="BJ190" s="555"/>
      <c r="BK190" s="555"/>
      <c r="BL190" s="555"/>
      <c r="BM190" s="555"/>
      <c r="BN190" s="555"/>
      <c r="BO190" s="555"/>
      <c r="BP190" s="555"/>
      <c r="BQ190" s="555"/>
      <c r="BR190" s="555"/>
      <c r="BS190" s="555"/>
      <c r="BT190" s="555"/>
      <c r="BU190" s="555"/>
      <c r="BV190" s="555"/>
      <c r="BW190" s="555"/>
      <c r="BX190" s="555"/>
      <c r="BY190" s="555"/>
      <c r="BZ190" s="555"/>
      <c r="CA190" s="555"/>
      <c r="CB190" s="555"/>
      <c r="CC190" s="555"/>
      <c r="CD190" s="555"/>
      <c r="CE190" s="555"/>
      <c r="CF190" s="555"/>
      <c r="CG190" s="555"/>
      <c r="CH190" s="555"/>
      <c r="CI190" s="555"/>
      <c r="CJ190" s="555"/>
      <c r="CK190" s="555"/>
      <c r="CL190" s="555"/>
      <c r="CM190" s="555"/>
      <c r="CN190" s="555"/>
      <c r="CO190" s="555"/>
      <c r="CP190" s="555"/>
      <c r="CQ190" s="555"/>
      <c r="CR190" s="555"/>
      <c r="CS190" s="555"/>
      <c r="CT190" s="555"/>
      <c r="CU190" s="555"/>
      <c r="CV190" s="555"/>
      <c r="CW190" s="555"/>
      <c r="CX190" s="555"/>
      <c r="CY190" s="555"/>
      <c r="CZ190" s="555"/>
      <c r="DA190" s="555"/>
      <c r="DB190" s="555"/>
      <c r="DC190" s="555"/>
      <c r="DD190" s="555"/>
      <c r="DE190" s="555"/>
      <c r="DF190" s="555"/>
      <c r="DG190" s="555"/>
      <c r="DH190" s="555"/>
      <c r="DI190" s="555"/>
      <c r="DJ190" s="50"/>
      <c r="DK190" s="50"/>
      <c r="DL190" s="81"/>
      <c r="DM190" s="50"/>
      <c r="DN190" s="50"/>
      <c r="DO190" s="122"/>
      <c r="DP190" s="521"/>
      <c r="DQ190" s="521"/>
      <c r="DR190" s="521"/>
      <c r="DS190" s="521"/>
      <c r="DT190" s="521"/>
      <c r="DU190" s="521"/>
      <c r="DV190" s="521"/>
      <c r="DW190" s="521"/>
      <c r="DX190" s="521"/>
      <c r="DY190" s="521"/>
      <c r="DZ190" s="521"/>
      <c r="EA190" s="521"/>
      <c r="EB190" s="521"/>
      <c r="EC190" s="521"/>
      <c r="ED190" s="521"/>
      <c r="EE190" s="521"/>
      <c r="EF190" s="521"/>
      <c r="EG190" s="521"/>
      <c r="EH190" s="521"/>
      <c r="EI190" s="521"/>
      <c r="EJ190" s="521"/>
      <c r="EK190" s="521"/>
      <c r="EL190" s="521"/>
      <c r="EM190" s="521"/>
      <c r="EN190" s="521"/>
      <c r="EO190" s="521"/>
      <c r="EP190" s="521"/>
      <c r="EQ190" s="521"/>
      <c r="ER190" s="521"/>
      <c r="ES190" s="521"/>
      <c r="ET190" s="521"/>
      <c r="EU190" s="521"/>
      <c r="EV190" s="521"/>
      <c r="EW190" s="521"/>
      <c r="EX190" s="521"/>
      <c r="EY190" s="521"/>
      <c r="EZ190" s="123"/>
      <c r="FA190" s="50"/>
      <c r="FB190" s="51"/>
    </row>
    <row r="191" spans="1:158" ht="9" customHeight="1">
      <c r="A191" s="49"/>
      <c r="B191" s="81"/>
      <c r="C191" s="50"/>
      <c r="D191" s="50"/>
      <c r="E191" s="555"/>
      <c r="F191" s="555"/>
      <c r="G191" s="555"/>
      <c r="H191" s="555"/>
      <c r="I191" s="555"/>
      <c r="J191" s="555"/>
      <c r="K191" s="555"/>
      <c r="L191" s="555"/>
      <c r="M191" s="555"/>
      <c r="N191" s="555"/>
      <c r="O191" s="555"/>
      <c r="P191" s="555"/>
      <c r="Q191" s="555"/>
      <c r="R191" s="555"/>
      <c r="S191" s="555"/>
      <c r="T191" s="555"/>
      <c r="U191" s="555"/>
      <c r="V191" s="555"/>
      <c r="W191" s="555"/>
      <c r="X191" s="555"/>
      <c r="Y191" s="555"/>
      <c r="Z191" s="555"/>
      <c r="AA191" s="555"/>
      <c r="AB191" s="555"/>
      <c r="AC191" s="555"/>
      <c r="AD191" s="555"/>
      <c r="AE191" s="555"/>
      <c r="AF191" s="555"/>
      <c r="AG191" s="555"/>
      <c r="AH191" s="555"/>
      <c r="AI191" s="555"/>
      <c r="AJ191" s="555"/>
      <c r="AK191" s="555"/>
      <c r="AL191" s="555"/>
      <c r="AM191" s="555"/>
      <c r="AN191" s="555"/>
      <c r="AO191" s="555"/>
      <c r="AP191" s="555"/>
      <c r="AQ191" s="555"/>
      <c r="AR191" s="555"/>
      <c r="AS191" s="555"/>
      <c r="AT191" s="555"/>
      <c r="AU191" s="555"/>
      <c r="AV191" s="555"/>
      <c r="AW191" s="555"/>
      <c r="AX191" s="555"/>
      <c r="AY191" s="555"/>
      <c r="AZ191" s="555"/>
      <c r="BA191" s="555"/>
      <c r="BB191" s="555"/>
      <c r="BC191" s="555"/>
      <c r="BD191" s="555"/>
      <c r="BE191" s="555"/>
      <c r="BF191" s="555"/>
      <c r="BG191" s="555"/>
      <c r="BH191" s="555"/>
      <c r="BI191" s="555"/>
      <c r="BJ191" s="555"/>
      <c r="BK191" s="555"/>
      <c r="BL191" s="555"/>
      <c r="BM191" s="555"/>
      <c r="BN191" s="555"/>
      <c r="BO191" s="555"/>
      <c r="BP191" s="555"/>
      <c r="BQ191" s="555"/>
      <c r="BR191" s="555"/>
      <c r="BS191" s="555"/>
      <c r="BT191" s="555"/>
      <c r="BU191" s="555"/>
      <c r="BV191" s="555"/>
      <c r="BW191" s="555"/>
      <c r="BX191" s="555"/>
      <c r="BY191" s="555"/>
      <c r="BZ191" s="555"/>
      <c r="CA191" s="555"/>
      <c r="CB191" s="555"/>
      <c r="CC191" s="555"/>
      <c r="CD191" s="555"/>
      <c r="CE191" s="555"/>
      <c r="CF191" s="555"/>
      <c r="CG191" s="555"/>
      <c r="CH191" s="555"/>
      <c r="CI191" s="555"/>
      <c r="CJ191" s="555"/>
      <c r="CK191" s="555"/>
      <c r="CL191" s="555"/>
      <c r="CM191" s="555"/>
      <c r="CN191" s="555"/>
      <c r="CO191" s="555"/>
      <c r="CP191" s="555"/>
      <c r="CQ191" s="555"/>
      <c r="CR191" s="555"/>
      <c r="CS191" s="555"/>
      <c r="CT191" s="555"/>
      <c r="CU191" s="555"/>
      <c r="CV191" s="555"/>
      <c r="CW191" s="555"/>
      <c r="CX191" s="555"/>
      <c r="CY191" s="555"/>
      <c r="CZ191" s="555"/>
      <c r="DA191" s="555"/>
      <c r="DB191" s="555"/>
      <c r="DC191" s="555"/>
      <c r="DD191" s="555"/>
      <c r="DE191" s="555"/>
      <c r="DF191" s="555"/>
      <c r="DG191" s="555"/>
      <c r="DH191" s="555"/>
      <c r="DI191" s="555"/>
      <c r="DJ191" s="50"/>
      <c r="DK191" s="50"/>
      <c r="DL191" s="81"/>
      <c r="DM191" s="50"/>
      <c r="DN191" s="50"/>
      <c r="DO191" s="122"/>
      <c r="DP191" s="520" t="str">
        <f>IF(Skills!X17="","","Insight "&amp;IF(Skills!X17&lt;0,"-","+")&amp;Skills!X17)</f>
        <v>Insight +16</v>
      </c>
      <c r="DQ191" s="520"/>
      <c r="DR191" s="520"/>
      <c r="DS191" s="520"/>
      <c r="DT191" s="520"/>
      <c r="DU191" s="520"/>
      <c r="DV191" s="520"/>
      <c r="DW191" s="520"/>
      <c r="DX191" s="520"/>
      <c r="DY191" s="520"/>
      <c r="DZ191" s="520"/>
      <c r="EA191" s="520"/>
      <c r="EB191" s="520"/>
      <c r="EC191" s="520"/>
      <c r="ED191" s="520"/>
      <c r="EE191" s="520"/>
      <c r="EF191" s="520"/>
      <c r="EG191" s="520"/>
      <c r="EH191" s="520"/>
      <c r="EI191" s="520"/>
      <c r="EJ191" s="520"/>
      <c r="EK191" s="520"/>
      <c r="EL191" s="520"/>
      <c r="EM191" s="520"/>
      <c r="EN191" s="520"/>
      <c r="EO191" s="520"/>
      <c r="EP191" s="520"/>
      <c r="EQ191" s="520"/>
      <c r="ER191" s="520"/>
      <c r="ES191" s="520"/>
      <c r="ET191" s="520"/>
      <c r="EU191" s="520"/>
      <c r="EV191" s="520"/>
      <c r="EW191" s="520"/>
      <c r="EX191" s="520"/>
      <c r="EY191" s="520"/>
      <c r="EZ191" s="123"/>
      <c r="FA191" s="50"/>
      <c r="FB191" s="51"/>
    </row>
    <row r="192" spans="1:158" ht="9" customHeight="1">
      <c r="A192" s="49"/>
      <c r="B192" s="81"/>
      <c r="C192" s="50"/>
      <c r="D192" s="50"/>
      <c r="E192" s="555"/>
      <c r="F192" s="555"/>
      <c r="G192" s="555"/>
      <c r="H192" s="555"/>
      <c r="I192" s="555"/>
      <c r="J192" s="555"/>
      <c r="K192" s="555"/>
      <c r="L192" s="555"/>
      <c r="M192" s="555"/>
      <c r="N192" s="555"/>
      <c r="O192" s="555"/>
      <c r="P192" s="555"/>
      <c r="Q192" s="555"/>
      <c r="R192" s="555"/>
      <c r="S192" s="555"/>
      <c r="T192" s="555"/>
      <c r="U192" s="555"/>
      <c r="V192" s="555"/>
      <c r="W192" s="555"/>
      <c r="X192" s="555"/>
      <c r="Y192" s="555"/>
      <c r="Z192" s="555"/>
      <c r="AA192" s="555"/>
      <c r="AB192" s="555"/>
      <c r="AC192" s="555"/>
      <c r="AD192" s="555"/>
      <c r="AE192" s="555"/>
      <c r="AF192" s="555"/>
      <c r="AG192" s="555"/>
      <c r="AH192" s="555"/>
      <c r="AI192" s="555"/>
      <c r="AJ192" s="555"/>
      <c r="AK192" s="555"/>
      <c r="AL192" s="555"/>
      <c r="AM192" s="555"/>
      <c r="AN192" s="555"/>
      <c r="AO192" s="555"/>
      <c r="AP192" s="555"/>
      <c r="AQ192" s="555"/>
      <c r="AR192" s="555"/>
      <c r="AS192" s="555"/>
      <c r="AT192" s="555"/>
      <c r="AU192" s="555"/>
      <c r="AV192" s="555"/>
      <c r="AW192" s="555"/>
      <c r="AX192" s="555"/>
      <c r="AY192" s="555"/>
      <c r="AZ192" s="555"/>
      <c r="BA192" s="555"/>
      <c r="BB192" s="555"/>
      <c r="BC192" s="555"/>
      <c r="BD192" s="555"/>
      <c r="BE192" s="555"/>
      <c r="BF192" s="555"/>
      <c r="BG192" s="555"/>
      <c r="BH192" s="555"/>
      <c r="BI192" s="555"/>
      <c r="BJ192" s="555"/>
      <c r="BK192" s="555"/>
      <c r="BL192" s="555"/>
      <c r="BM192" s="555"/>
      <c r="BN192" s="555"/>
      <c r="BO192" s="555"/>
      <c r="BP192" s="555"/>
      <c r="BQ192" s="555"/>
      <c r="BR192" s="555"/>
      <c r="BS192" s="555"/>
      <c r="BT192" s="555"/>
      <c r="BU192" s="555"/>
      <c r="BV192" s="555"/>
      <c r="BW192" s="555"/>
      <c r="BX192" s="555"/>
      <c r="BY192" s="555"/>
      <c r="BZ192" s="555"/>
      <c r="CA192" s="555"/>
      <c r="CB192" s="555"/>
      <c r="CC192" s="555"/>
      <c r="CD192" s="555"/>
      <c r="CE192" s="555"/>
      <c r="CF192" s="555"/>
      <c r="CG192" s="555"/>
      <c r="CH192" s="555"/>
      <c r="CI192" s="555"/>
      <c r="CJ192" s="555"/>
      <c r="CK192" s="555"/>
      <c r="CL192" s="555"/>
      <c r="CM192" s="555"/>
      <c r="CN192" s="555"/>
      <c r="CO192" s="555"/>
      <c r="CP192" s="555"/>
      <c r="CQ192" s="555"/>
      <c r="CR192" s="555"/>
      <c r="CS192" s="555"/>
      <c r="CT192" s="555"/>
      <c r="CU192" s="555"/>
      <c r="CV192" s="555"/>
      <c r="CW192" s="555"/>
      <c r="CX192" s="555"/>
      <c r="CY192" s="555"/>
      <c r="CZ192" s="555"/>
      <c r="DA192" s="555"/>
      <c r="DB192" s="555"/>
      <c r="DC192" s="555"/>
      <c r="DD192" s="555"/>
      <c r="DE192" s="555"/>
      <c r="DF192" s="555"/>
      <c r="DG192" s="555"/>
      <c r="DH192" s="555"/>
      <c r="DI192" s="555"/>
      <c r="DJ192" s="50"/>
      <c r="DK192" s="50"/>
      <c r="DL192" s="81"/>
      <c r="DM192" s="50"/>
      <c r="DN192" s="50"/>
      <c r="DO192" s="122"/>
      <c r="DP192" s="520"/>
      <c r="DQ192" s="520"/>
      <c r="DR192" s="520"/>
      <c r="DS192" s="520"/>
      <c r="DT192" s="520"/>
      <c r="DU192" s="520"/>
      <c r="DV192" s="520"/>
      <c r="DW192" s="520"/>
      <c r="DX192" s="520"/>
      <c r="DY192" s="520"/>
      <c r="DZ192" s="520"/>
      <c r="EA192" s="520"/>
      <c r="EB192" s="520"/>
      <c r="EC192" s="520"/>
      <c r="ED192" s="520"/>
      <c r="EE192" s="520"/>
      <c r="EF192" s="520"/>
      <c r="EG192" s="520"/>
      <c r="EH192" s="520"/>
      <c r="EI192" s="520"/>
      <c r="EJ192" s="520"/>
      <c r="EK192" s="520"/>
      <c r="EL192" s="520"/>
      <c r="EM192" s="520"/>
      <c r="EN192" s="520"/>
      <c r="EO192" s="520"/>
      <c r="EP192" s="520"/>
      <c r="EQ192" s="520"/>
      <c r="ER192" s="520"/>
      <c r="ES192" s="520"/>
      <c r="ET192" s="520"/>
      <c r="EU192" s="520"/>
      <c r="EV192" s="520"/>
      <c r="EW192" s="520"/>
      <c r="EX192" s="520"/>
      <c r="EY192" s="520"/>
      <c r="EZ192" s="123"/>
      <c r="FA192" s="50"/>
      <c r="FB192" s="51"/>
    </row>
    <row r="193" spans="1:158" ht="9" customHeight="1">
      <c r="A193" s="49"/>
      <c r="B193" s="81"/>
      <c r="C193" s="50"/>
      <c r="D193" s="50"/>
      <c r="E193" s="555"/>
      <c r="F193" s="555"/>
      <c r="G193" s="555"/>
      <c r="H193" s="555"/>
      <c r="I193" s="555"/>
      <c r="J193" s="555"/>
      <c r="K193" s="555"/>
      <c r="L193" s="555"/>
      <c r="M193" s="555"/>
      <c r="N193" s="555"/>
      <c r="O193" s="555"/>
      <c r="P193" s="555"/>
      <c r="Q193" s="555"/>
      <c r="R193" s="555"/>
      <c r="S193" s="555"/>
      <c r="T193" s="555"/>
      <c r="U193" s="555"/>
      <c r="V193" s="555"/>
      <c r="W193" s="555"/>
      <c r="X193" s="555"/>
      <c r="Y193" s="555"/>
      <c r="Z193" s="555"/>
      <c r="AA193" s="555"/>
      <c r="AB193" s="555"/>
      <c r="AC193" s="555"/>
      <c r="AD193" s="555"/>
      <c r="AE193" s="555"/>
      <c r="AF193" s="555"/>
      <c r="AG193" s="555"/>
      <c r="AH193" s="555"/>
      <c r="AI193" s="555"/>
      <c r="AJ193" s="555"/>
      <c r="AK193" s="555"/>
      <c r="AL193" s="555"/>
      <c r="AM193" s="555"/>
      <c r="AN193" s="555"/>
      <c r="AO193" s="555"/>
      <c r="AP193" s="555"/>
      <c r="AQ193" s="555"/>
      <c r="AR193" s="555"/>
      <c r="AS193" s="555"/>
      <c r="AT193" s="555"/>
      <c r="AU193" s="555"/>
      <c r="AV193" s="555"/>
      <c r="AW193" s="555"/>
      <c r="AX193" s="555"/>
      <c r="AY193" s="555"/>
      <c r="AZ193" s="555"/>
      <c r="BA193" s="555"/>
      <c r="BB193" s="555"/>
      <c r="BC193" s="555"/>
      <c r="BD193" s="555"/>
      <c r="BE193" s="555"/>
      <c r="BF193" s="555"/>
      <c r="BG193" s="555"/>
      <c r="BH193" s="555"/>
      <c r="BI193" s="555"/>
      <c r="BJ193" s="555"/>
      <c r="BK193" s="555"/>
      <c r="BL193" s="555"/>
      <c r="BM193" s="555"/>
      <c r="BN193" s="555"/>
      <c r="BO193" s="555"/>
      <c r="BP193" s="555"/>
      <c r="BQ193" s="555"/>
      <c r="BR193" s="555"/>
      <c r="BS193" s="555"/>
      <c r="BT193" s="555"/>
      <c r="BU193" s="555"/>
      <c r="BV193" s="555"/>
      <c r="BW193" s="555"/>
      <c r="BX193" s="555"/>
      <c r="BY193" s="555"/>
      <c r="BZ193" s="555"/>
      <c r="CA193" s="555"/>
      <c r="CB193" s="555"/>
      <c r="CC193" s="555"/>
      <c r="CD193" s="555"/>
      <c r="CE193" s="555"/>
      <c r="CF193" s="555"/>
      <c r="CG193" s="555"/>
      <c r="CH193" s="555"/>
      <c r="CI193" s="555"/>
      <c r="CJ193" s="555"/>
      <c r="CK193" s="555"/>
      <c r="CL193" s="555"/>
      <c r="CM193" s="555"/>
      <c r="CN193" s="555"/>
      <c r="CO193" s="555"/>
      <c r="CP193" s="555"/>
      <c r="CQ193" s="555"/>
      <c r="CR193" s="555"/>
      <c r="CS193" s="555"/>
      <c r="CT193" s="555"/>
      <c r="CU193" s="555"/>
      <c r="CV193" s="555"/>
      <c r="CW193" s="555"/>
      <c r="CX193" s="555"/>
      <c r="CY193" s="555"/>
      <c r="CZ193" s="555"/>
      <c r="DA193" s="555"/>
      <c r="DB193" s="555"/>
      <c r="DC193" s="555"/>
      <c r="DD193" s="555"/>
      <c r="DE193" s="555"/>
      <c r="DF193" s="555"/>
      <c r="DG193" s="555"/>
      <c r="DH193" s="555"/>
      <c r="DI193" s="555"/>
      <c r="DJ193" s="50"/>
      <c r="DK193" s="50"/>
      <c r="DL193" s="81"/>
      <c r="DM193" s="50"/>
      <c r="DN193" s="50"/>
      <c r="DO193" s="122"/>
      <c r="DP193" s="520"/>
      <c r="DQ193" s="520"/>
      <c r="DR193" s="520"/>
      <c r="DS193" s="520"/>
      <c r="DT193" s="520"/>
      <c r="DU193" s="520"/>
      <c r="DV193" s="520"/>
      <c r="DW193" s="520"/>
      <c r="DX193" s="520"/>
      <c r="DY193" s="520"/>
      <c r="DZ193" s="520"/>
      <c r="EA193" s="520"/>
      <c r="EB193" s="520"/>
      <c r="EC193" s="520"/>
      <c r="ED193" s="520"/>
      <c r="EE193" s="520"/>
      <c r="EF193" s="520"/>
      <c r="EG193" s="520"/>
      <c r="EH193" s="520"/>
      <c r="EI193" s="520"/>
      <c r="EJ193" s="520"/>
      <c r="EK193" s="520"/>
      <c r="EL193" s="520"/>
      <c r="EM193" s="520"/>
      <c r="EN193" s="520"/>
      <c r="EO193" s="520"/>
      <c r="EP193" s="520"/>
      <c r="EQ193" s="520"/>
      <c r="ER193" s="520"/>
      <c r="ES193" s="520"/>
      <c r="ET193" s="520"/>
      <c r="EU193" s="520"/>
      <c r="EV193" s="520"/>
      <c r="EW193" s="520"/>
      <c r="EX193" s="520"/>
      <c r="EY193" s="520"/>
      <c r="EZ193" s="123"/>
      <c r="FA193" s="50"/>
      <c r="FB193" s="51"/>
    </row>
    <row r="194" spans="1:158" ht="9" customHeight="1">
      <c r="A194" s="49"/>
      <c r="B194" s="81"/>
      <c r="C194" s="50"/>
      <c r="D194" s="50"/>
      <c r="E194" s="555"/>
      <c r="F194" s="555"/>
      <c r="G194" s="555"/>
      <c r="H194" s="555"/>
      <c r="I194" s="555"/>
      <c r="J194" s="555"/>
      <c r="K194" s="555"/>
      <c r="L194" s="555"/>
      <c r="M194" s="555"/>
      <c r="N194" s="555"/>
      <c r="O194" s="555"/>
      <c r="P194" s="555"/>
      <c r="Q194" s="555"/>
      <c r="R194" s="555"/>
      <c r="S194" s="555"/>
      <c r="T194" s="555"/>
      <c r="U194" s="555"/>
      <c r="V194" s="555"/>
      <c r="W194" s="555"/>
      <c r="X194" s="555"/>
      <c r="Y194" s="555"/>
      <c r="Z194" s="555"/>
      <c r="AA194" s="555"/>
      <c r="AB194" s="555"/>
      <c r="AC194" s="555"/>
      <c r="AD194" s="555"/>
      <c r="AE194" s="555"/>
      <c r="AF194" s="555"/>
      <c r="AG194" s="555"/>
      <c r="AH194" s="555"/>
      <c r="AI194" s="555"/>
      <c r="AJ194" s="555"/>
      <c r="AK194" s="555"/>
      <c r="AL194" s="555"/>
      <c r="AM194" s="555"/>
      <c r="AN194" s="555"/>
      <c r="AO194" s="555"/>
      <c r="AP194" s="555"/>
      <c r="AQ194" s="555"/>
      <c r="AR194" s="555"/>
      <c r="AS194" s="555"/>
      <c r="AT194" s="555"/>
      <c r="AU194" s="555"/>
      <c r="AV194" s="555"/>
      <c r="AW194" s="555"/>
      <c r="AX194" s="555"/>
      <c r="AY194" s="555"/>
      <c r="AZ194" s="555"/>
      <c r="BA194" s="555"/>
      <c r="BB194" s="555"/>
      <c r="BC194" s="555"/>
      <c r="BD194" s="555"/>
      <c r="BE194" s="555"/>
      <c r="BF194" s="555"/>
      <c r="BG194" s="555"/>
      <c r="BH194" s="555"/>
      <c r="BI194" s="555"/>
      <c r="BJ194" s="555"/>
      <c r="BK194" s="555"/>
      <c r="BL194" s="555"/>
      <c r="BM194" s="555"/>
      <c r="BN194" s="555"/>
      <c r="BO194" s="555"/>
      <c r="BP194" s="555"/>
      <c r="BQ194" s="555"/>
      <c r="BR194" s="555"/>
      <c r="BS194" s="555"/>
      <c r="BT194" s="555"/>
      <c r="BU194" s="555"/>
      <c r="BV194" s="555"/>
      <c r="BW194" s="555"/>
      <c r="BX194" s="555"/>
      <c r="BY194" s="555"/>
      <c r="BZ194" s="555"/>
      <c r="CA194" s="555"/>
      <c r="CB194" s="555"/>
      <c r="CC194" s="555"/>
      <c r="CD194" s="555"/>
      <c r="CE194" s="555"/>
      <c r="CF194" s="555"/>
      <c r="CG194" s="555"/>
      <c r="CH194" s="555"/>
      <c r="CI194" s="555"/>
      <c r="CJ194" s="555"/>
      <c r="CK194" s="555"/>
      <c r="CL194" s="555"/>
      <c r="CM194" s="555"/>
      <c r="CN194" s="555"/>
      <c r="CO194" s="555"/>
      <c r="CP194" s="555"/>
      <c r="CQ194" s="555"/>
      <c r="CR194" s="555"/>
      <c r="CS194" s="555"/>
      <c r="CT194" s="555"/>
      <c r="CU194" s="555"/>
      <c r="CV194" s="555"/>
      <c r="CW194" s="555"/>
      <c r="CX194" s="555"/>
      <c r="CY194" s="555"/>
      <c r="CZ194" s="555"/>
      <c r="DA194" s="555"/>
      <c r="DB194" s="555"/>
      <c r="DC194" s="555"/>
      <c r="DD194" s="555"/>
      <c r="DE194" s="555"/>
      <c r="DF194" s="555"/>
      <c r="DG194" s="555"/>
      <c r="DH194" s="555"/>
      <c r="DI194" s="555"/>
      <c r="DJ194" s="50"/>
      <c r="DK194" s="50"/>
      <c r="DL194" s="81"/>
      <c r="DM194" s="50"/>
      <c r="DN194" s="50"/>
      <c r="DO194" s="122"/>
      <c r="DP194" s="521"/>
      <c r="DQ194" s="521"/>
      <c r="DR194" s="521"/>
      <c r="DS194" s="521"/>
      <c r="DT194" s="521"/>
      <c r="DU194" s="521"/>
      <c r="DV194" s="521"/>
      <c r="DW194" s="521"/>
      <c r="DX194" s="521"/>
      <c r="DY194" s="521"/>
      <c r="DZ194" s="521"/>
      <c r="EA194" s="521"/>
      <c r="EB194" s="521"/>
      <c r="EC194" s="521"/>
      <c r="ED194" s="521"/>
      <c r="EE194" s="521"/>
      <c r="EF194" s="521"/>
      <c r="EG194" s="521"/>
      <c r="EH194" s="521"/>
      <c r="EI194" s="521"/>
      <c r="EJ194" s="521"/>
      <c r="EK194" s="521"/>
      <c r="EL194" s="521"/>
      <c r="EM194" s="521"/>
      <c r="EN194" s="521"/>
      <c r="EO194" s="521"/>
      <c r="EP194" s="521"/>
      <c r="EQ194" s="521"/>
      <c r="ER194" s="521"/>
      <c r="ES194" s="521"/>
      <c r="ET194" s="521"/>
      <c r="EU194" s="521"/>
      <c r="EV194" s="521"/>
      <c r="EW194" s="521"/>
      <c r="EX194" s="521"/>
      <c r="EY194" s="521"/>
      <c r="EZ194" s="123"/>
      <c r="FA194" s="50"/>
      <c r="FB194" s="51"/>
    </row>
    <row r="195" spans="1:158" ht="9" customHeight="1">
      <c r="A195" s="49"/>
      <c r="B195" s="81"/>
      <c r="C195" s="50"/>
      <c r="D195" s="50"/>
      <c r="E195" s="555"/>
      <c r="F195" s="555"/>
      <c r="G195" s="555"/>
      <c r="H195" s="555"/>
      <c r="I195" s="555"/>
      <c r="J195" s="555"/>
      <c r="K195" s="555"/>
      <c r="L195" s="555"/>
      <c r="M195" s="555"/>
      <c r="N195" s="555"/>
      <c r="O195" s="555"/>
      <c r="P195" s="555"/>
      <c r="Q195" s="555"/>
      <c r="R195" s="555"/>
      <c r="S195" s="555"/>
      <c r="T195" s="555"/>
      <c r="U195" s="555"/>
      <c r="V195" s="555"/>
      <c r="W195" s="555"/>
      <c r="X195" s="555"/>
      <c r="Y195" s="555"/>
      <c r="Z195" s="555"/>
      <c r="AA195" s="555"/>
      <c r="AB195" s="555"/>
      <c r="AC195" s="555"/>
      <c r="AD195" s="555"/>
      <c r="AE195" s="555"/>
      <c r="AF195" s="555"/>
      <c r="AG195" s="555"/>
      <c r="AH195" s="555"/>
      <c r="AI195" s="555"/>
      <c r="AJ195" s="555"/>
      <c r="AK195" s="555"/>
      <c r="AL195" s="555"/>
      <c r="AM195" s="555"/>
      <c r="AN195" s="555"/>
      <c r="AO195" s="555"/>
      <c r="AP195" s="555"/>
      <c r="AQ195" s="555"/>
      <c r="AR195" s="555"/>
      <c r="AS195" s="555"/>
      <c r="AT195" s="555"/>
      <c r="AU195" s="555"/>
      <c r="AV195" s="555"/>
      <c r="AW195" s="555"/>
      <c r="AX195" s="555"/>
      <c r="AY195" s="555"/>
      <c r="AZ195" s="555"/>
      <c r="BA195" s="555"/>
      <c r="BB195" s="555"/>
      <c r="BC195" s="555"/>
      <c r="BD195" s="555"/>
      <c r="BE195" s="555"/>
      <c r="BF195" s="555"/>
      <c r="BG195" s="555"/>
      <c r="BH195" s="555"/>
      <c r="BI195" s="555"/>
      <c r="BJ195" s="555"/>
      <c r="BK195" s="555"/>
      <c r="BL195" s="555"/>
      <c r="BM195" s="555"/>
      <c r="BN195" s="555"/>
      <c r="BO195" s="555"/>
      <c r="BP195" s="555"/>
      <c r="BQ195" s="555"/>
      <c r="BR195" s="555"/>
      <c r="BS195" s="555"/>
      <c r="BT195" s="555"/>
      <c r="BU195" s="555"/>
      <c r="BV195" s="555"/>
      <c r="BW195" s="555"/>
      <c r="BX195" s="555"/>
      <c r="BY195" s="555"/>
      <c r="BZ195" s="555"/>
      <c r="CA195" s="555"/>
      <c r="CB195" s="555"/>
      <c r="CC195" s="555"/>
      <c r="CD195" s="555"/>
      <c r="CE195" s="555"/>
      <c r="CF195" s="555"/>
      <c r="CG195" s="555"/>
      <c r="CH195" s="555"/>
      <c r="CI195" s="555"/>
      <c r="CJ195" s="555"/>
      <c r="CK195" s="555"/>
      <c r="CL195" s="555"/>
      <c r="CM195" s="555"/>
      <c r="CN195" s="555"/>
      <c r="CO195" s="555"/>
      <c r="CP195" s="555"/>
      <c r="CQ195" s="555"/>
      <c r="CR195" s="555"/>
      <c r="CS195" s="555"/>
      <c r="CT195" s="555"/>
      <c r="CU195" s="555"/>
      <c r="CV195" s="555"/>
      <c r="CW195" s="555"/>
      <c r="CX195" s="555"/>
      <c r="CY195" s="555"/>
      <c r="CZ195" s="555"/>
      <c r="DA195" s="555"/>
      <c r="DB195" s="555"/>
      <c r="DC195" s="555"/>
      <c r="DD195" s="555"/>
      <c r="DE195" s="555"/>
      <c r="DF195" s="555"/>
      <c r="DG195" s="555"/>
      <c r="DH195" s="555"/>
      <c r="DI195" s="555"/>
      <c r="DJ195" s="50"/>
      <c r="DK195" s="50"/>
      <c r="DL195" s="81"/>
      <c r="DM195" s="50"/>
      <c r="DN195" s="50"/>
      <c r="DO195" s="122"/>
      <c r="DP195" s="520" t="str">
        <f>IF(Skills!X18="","","Intimidation "&amp;IF(Skills!X18&lt;0,"-","+")&amp;Skills!X18)</f>
        <v>Intimidation +12</v>
      </c>
      <c r="DQ195" s="520"/>
      <c r="DR195" s="520"/>
      <c r="DS195" s="520"/>
      <c r="DT195" s="520"/>
      <c r="DU195" s="520"/>
      <c r="DV195" s="520"/>
      <c r="DW195" s="520"/>
      <c r="DX195" s="520"/>
      <c r="DY195" s="520"/>
      <c r="DZ195" s="520"/>
      <c r="EA195" s="520"/>
      <c r="EB195" s="520"/>
      <c r="EC195" s="520"/>
      <c r="ED195" s="520"/>
      <c r="EE195" s="520"/>
      <c r="EF195" s="520"/>
      <c r="EG195" s="520"/>
      <c r="EH195" s="520"/>
      <c r="EI195" s="520"/>
      <c r="EJ195" s="520"/>
      <c r="EK195" s="520"/>
      <c r="EL195" s="520"/>
      <c r="EM195" s="520"/>
      <c r="EN195" s="520"/>
      <c r="EO195" s="520"/>
      <c r="EP195" s="520"/>
      <c r="EQ195" s="520"/>
      <c r="ER195" s="520"/>
      <c r="ES195" s="520"/>
      <c r="ET195" s="520"/>
      <c r="EU195" s="520"/>
      <c r="EV195" s="520"/>
      <c r="EW195" s="520"/>
      <c r="EX195" s="520"/>
      <c r="EY195" s="520"/>
      <c r="EZ195" s="123"/>
      <c r="FA195" s="50"/>
      <c r="FB195" s="51"/>
    </row>
    <row r="196" spans="1:158" ht="9" customHeight="1">
      <c r="A196" s="49"/>
      <c r="B196" s="81"/>
      <c r="C196" s="50"/>
      <c r="D196" s="50"/>
      <c r="E196" s="555"/>
      <c r="F196" s="555"/>
      <c r="G196" s="555"/>
      <c r="H196" s="555"/>
      <c r="I196" s="555"/>
      <c r="J196" s="555"/>
      <c r="K196" s="555"/>
      <c r="L196" s="555"/>
      <c r="M196" s="555"/>
      <c r="N196" s="555"/>
      <c r="O196" s="555"/>
      <c r="P196" s="555"/>
      <c r="Q196" s="555"/>
      <c r="R196" s="555"/>
      <c r="S196" s="555"/>
      <c r="T196" s="555"/>
      <c r="U196" s="555"/>
      <c r="V196" s="555"/>
      <c r="W196" s="555"/>
      <c r="X196" s="555"/>
      <c r="Y196" s="555"/>
      <c r="Z196" s="555"/>
      <c r="AA196" s="555"/>
      <c r="AB196" s="555"/>
      <c r="AC196" s="555"/>
      <c r="AD196" s="555"/>
      <c r="AE196" s="555"/>
      <c r="AF196" s="555"/>
      <c r="AG196" s="555"/>
      <c r="AH196" s="555"/>
      <c r="AI196" s="555"/>
      <c r="AJ196" s="555"/>
      <c r="AK196" s="555"/>
      <c r="AL196" s="555"/>
      <c r="AM196" s="555"/>
      <c r="AN196" s="555"/>
      <c r="AO196" s="555"/>
      <c r="AP196" s="555"/>
      <c r="AQ196" s="555"/>
      <c r="AR196" s="555"/>
      <c r="AS196" s="555"/>
      <c r="AT196" s="555"/>
      <c r="AU196" s="555"/>
      <c r="AV196" s="555"/>
      <c r="AW196" s="555"/>
      <c r="AX196" s="555"/>
      <c r="AY196" s="555"/>
      <c r="AZ196" s="555"/>
      <c r="BA196" s="555"/>
      <c r="BB196" s="555"/>
      <c r="BC196" s="555"/>
      <c r="BD196" s="555"/>
      <c r="BE196" s="555"/>
      <c r="BF196" s="555"/>
      <c r="BG196" s="555"/>
      <c r="BH196" s="555"/>
      <c r="BI196" s="555"/>
      <c r="BJ196" s="555"/>
      <c r="BK196" s="555"/>
      <c r="BL196" s="555"/>
      <c r="BM196" s="555"/>
      <c r="BN196" s="555"/>
      <c r="BO196" s="555"/>
      <c r="BP196" s="555"/>
      <c r="BQ196" s="555"/>
      <c r="BR196" s="555"/>
      <c r="BS196" s="555"/>
      <c r="BT196" s="555"/>
      <c r="BU196" s="555"/>
      <c r="BV196" s="555"/>
      <c r="BW196" s="555"/>
      <c r="BX196" s="555"/>
      <c r="BY196" s="555"/>
      <c r="BZ196" s="555"/>
      <c r="CA196" s="555"/>
      <c r="CB196" s="555"/>
      <c r="CC196" s="555"/>
      <c r="CD196" s="555"/>
      <c r="CE196" s="555"/>
      <c r="CF196" s="555"/>
      <c r="CG196" s="555"/>
      <c r="CH196" s="555"/>
      <c r="CI196" s="555"/>
      <c r="CJ196" s="555"/>
      <c r="CK196" s="555"/>
      <c r="CL196" s="555"/>
      <c r="CM196" s="555"/>
      <c r="CN196" s="555"/>
      <c r="CO196" s="555"/>
      <c r="CP196" s="555"/>
      <c r="CQ196" s="555"/>
      <c r="CR196" s="555"/>
      <c r="CS196" s="555"/>
      <c r="CT196" s="555"/>
      <c r="CU196" s="555"/>
      <c r="CV196" s="555"/>
      <c r="CW196" s="555"/>
      <c r="CX196" s="555"/>
      <c r="CY196" s="555"/>
      <c r="CZ196" s="555"/>
      <c r="DA196" s="555"/>
      <c r="DB196" s="555"/>
      <c r="DC196" s="555"/>
      <c r="DD196" s="555"/>
      <c r="DE196" s="555"/>
      <c r="DF196" s="555"/>
      <c r="DG196" s="555"/>
      <c r="DH196" s="555"/>
      <c r="DI196" s="555"/>
      <c r="DJ196" s="50"/>
      <c r="DK196" s="50"/>
      <c r="DL196" s="81"/>
      <c r="DM196" s="50"/>
      <c r="DN196" s="50"/>
      <c r="DO196" s="122"/>
      <c r="DP196" s="520"/>
      <c r="DQ196" s="520"/>
      <c r="DR196" s="520"/>
      <c r="DS196" s="520"/>
      <c r="DT196" s="520"/>
      <c r="DU196" s="520"/>
      <c r="DV196" s="520"/>
      <c r="DW196" s="520"/>
      <c r="DX196" s="520"/>
      <c r="DY196" s="520"/>
      <c r="DZ196" s="520"/>
      <c r="EA196" s="520"/>
      <c r="EB196" s="520"/>
      <c r="EC196" s="520"/>
      <c r="ED196" s="520"/>
      <c r="EE196" s="520"/>
      <c r="EF196" s="520"/>
      <c r="EG196" s="520"/>
      <c r="EH196" s="520"/>
      <c r="EI196" s="520"/>
      <c r="EJ196" s="520"/>
      <c r="EK196" s="520"/>
      <c r="EL196" s="520"/>
      <c r="EM196" s="520"/>
      <c r="EN196" s="520"/>
      <c r="EO196" s="520"/>
      <c r="EP196" s="520"/>
      <c r="EQ196" s="520"/>
      <c r="ER196" s="520"/>
      <c r="ES196" s="520"/>
      <c r="ET196" s="520"/>
      <c r="EU196" s="520"/>
      <c r="EV196" s="520"/>
      <c r="EW196" s="520"/>
      <c r="EX196" s="520"/>
      <c r="EY196" s="520"/>
      <c r="EZ196" s="123"/>
      <c r="FA196" s="50"/>
      <c r="FB196" s="51"/>
    </row>
    <row r="197" spans="1:158" ht="9" customHeight="1">
      <c r="A197" s="49"/>
      <c r="B197" s="81"/>
      <c r="C197" s="50"/>
      <c r="D197" s="50"/>
      <c r="E197" s="555"/>
      <c r="F197" s="555"/>
      <c r="G197" s="555"/>
      <c r="H197" s="555"/>
      <c r="I197" s="555"/>
      <c r="J197" s="555"/>
      <c r="K197" s="555"/>
      <c r="L197" s="555"/>
      <c r="M197" s="555"/>
      <c r="N197" s="555"/>
      <c r="O197" s="555"/>
      <c r="P197" s="555"/>
      <c r="Q197" s="555"/>
      <c r="R197" s="555"/>
      <c r="S197" s="555"/>
      <c r="T197" s="555"/>
      <c r="U197" s="555"/>
      <c r="V197" s="555"/>
      <c r="W197" s="555"/>
      <c r="X197" s="555"/>
      <c r="Y197" s="555"/>
      <c r="Z197" s="555"/>
      <c r="AA197" s="555"/>
      <c r="AB197" s="555"/>
      <c r="AC197" s="555"/>
      <c r="AD197" s="555"/>
      <c r="AE197" s="555"/>
      <c r="AF197" s="555"/>
      <c r="AG197" s="555"/>
      <c r="AH197" s="555"/>
      <c r="AI197" s="555"/>
      <c r="AJ197" s="555"/>
      <c r="AK197" s="555"/>
      <c r="AL197" s="555"/>
      <c r="AM197" s="555"/>
      <c r="AN197" s="555"/>
      <c r="AO197" s="555"/>
      <c r="AP197" s="555"/>
      <c r="AQ197" s="555"/>
      <c r="AR197" s="555"/>
      <c r="AS197" s="555"/>
      <c r="AT197" s="555"/>
      <c r="AU197" s="555"/>
      <c r="AV197" s="555"/>
      <c r="AW197" s="555"/>
      <c r="AX197" s="555"/>
      <c r="AY197" s="555"/>
      <c r="AZ197" s="555"/>
      <c r="BA197" s="555"/>
      <c r="BB197" s="555"/>
      <c r="BC197" s="555"/>
      <c r="BD197" s="555"/>
      <c r="BE197" s="555"/>
      <c r="BF197" s="555"/>
      <c r="BG197" s="555"/>
      <c r="BH197" s="555"/>
      <c r="BI197" s="555"/>
      <c r="BJ197" s="555"/>
      <c r="BK197" s="555"/>
      <c r="BL197" s="555"/>
      <c r="BM197" s="555"/>
      <c r="BN197" s="555"/>
      <c r="BO197" s="555"/>
      <c r="BP197" s="555"/>
      <c r="BQ197" s="555"/>
      <c r="BR197" s="555"/>
      <c r="BS197" s="555"/>
      <c r="BT197" s="555"/>
      <c r="BU197" s="555"/>
      <c r="BV197" s="555"/>
      <c r="BW197" s="555"/>
      <c r="BX197" s="555"/>
      <c r="BY197" s="555"/>
      <c r="BZ197" s="555"/>
      <c r="CA197" s="555"/>
      <c r="CB197" s="555"/>
      <c r="CC197" s="555"/>
      <c r="CD197" s="555"/>
      <c r="CE197" s="555"/>
      <c r="CF197" s="555"/>
      <c r="CG197" s="555"/>
      <c r="CH197" s="555"/>
      <c r="CI197" s="555"/>
      <c r="CJ197" s="555"/>
      <c r="CK197" s="555"/>
      <c r="CL197" s="555"/>
      <c r="CM197" s="555"/>
      <c r="CN197" s="555"/>
      <c r="CO197" s="555"/>
      <c r="CP197" s="555"/>
      <c r="CQ197" s="555"/>
      <c r="CR197" s="555"/>
      <c r="CS197" s="555"/>
      <c r="CT197" s="555"/>
      <c r="CU197" s="555"/>
      <c r="CV197" s="555"/>
      <c r="CW197" s="555"/>
      <c r="CX197" s="555"/>
      <c r="CY197" s="555"/>
      <c r="CZ197" s="555"/>
      <c r="DA197" s="555"/>
      <c r="DB197" s="555"/>
      <c r="DC197" s="555"/>
      <c r="DD197" s="555"/>
      <c r="DE197" s="555"/>
      <c r="DF197" s="555"/>
      <c r="DG197" s="555"/>
      <c r="DH197" s="555"/>
      <c r="DI197" s="555"/>
      <c r="DJ197" s="50"/>
      <c r="DK197" s="50"/>
      <c r="DL197" s="81"/>
      <c r="DM197" s="50"/>
      <c r="DN197" s="50"/>
      <c r="DO197" s="122"/>
      <c r="DP197" s="520"/>
      <c r="DQ197" s="520"/>
      <c r="DR197" s="520"/>
      <c r="DS197" s="520"/>
      <c r="DT197" s="520"/>
      <c r="DU197" s="520"/>
      <c r="DV197" s="520"/>
      <c r="DW197" s="520"/>
      <c r="DX197" s="520"/>
      <c r="DY197" s="520"/>
      <c r="DZ197" s="520"/>
      <c r="EA197" s="520"/>
      <c r="EB197" s="520"/>
      <c r="EC197" s="520"/>
      <c r="ED197" s="520"/>
      <c r="EE197" s="520"/>
      <c r="EF197" s="520"/>
      <c r="EG197" s="520"/>
      <c r="EH197" s="520"/>
      <c r="EI197" s="520"/>
      <c r="EJ197" s="520"/>
      <c r="EK197" s="520"/>
      <c r="EL197" s="520"/>
      <c r="EM197" s="520"/>
      <c r="EN197" s="520"/>
      <c r="EO197" s="520"/>
      <c r="EP197" s="520"/>
      <c r="EQ197" s="520"/>
      <c r="ER197" s="520"/>
      <c r="ES197" s="520"/>
      <c r="ET197" s="520"/>
      <c r="EU197" s="520"/>
      <c r="EV197" s="520"/>
      <c r="EW197" s="520"/>
      <c r="EX197" s="520"/>
      <c r="EY197" s="520"/>
      <c r="EZ197" s="123"/>
      <c r="FA197" s="50"/>
      <c r="FB197" s="51"/>
    </row>
    <row r="198" spans="1:158" ht="9" customHeight="1">
      <c r="A198" s="49"/>
      <c r="B198" s="81"/>
      <c r="C198" s="50"/>
      <c r="D198" s="50"/>
      <c r="E198" s="555"/>
      <c r="F198" s="555"/>
      <c r="G198" s="555"/>
      <c r="H198" s="555"/>
      <c r="I198" s="555"/>
      <c r="J198" s="555"/>
      <c r="K198" s="555"/>
      <c r="L198" s="555"/>
      <c r="M198" s="555"/>
      <c r="N198" s="555"/>
      <c r="O198" s="555"/>
      <c r="P198" s="555"/>
      <c r="Q198" s="555"/>
      <c r="R198" s="555"/>
      <c r="S198" s="555"/>
      <c r="T198" s="555"/>
      <c r="U198" s="555"/>
      <c r="V198" s="555"/>
      <c r="W198" s="555"/>
      <c r="X198" s="555"/>
      <c r="Y198" s="555"/>
      <c r="Z198" s="555"/>
      <c r="AA198" s="555"/>
      <c r="AB198" s="555"/>
      <c r="AC198" s="555"/>
      <c r="AD198" s="555"/>
      <c r="AE198" s="555"/>
      <c r="AF198" s="555"/>
      <c r="AG198" s="555"/>
      <c r="AH198" s="555"/>
      <c r="AI198" s="555"/>
      <c r="AJ198" s="555"/>
      <c r="AK198" s="555"/>
      <c r="AL198" s="555"/>
      <c r="AM198" s="555"/>
      <c r="AN198" s="555"/>
      <c r="AO198" s="555"/>
      <c r="AP198" s="555"/>
      <c r="AQ198" s="555"/>
      <c r="AR198" s="555"/>
      <c r="AS198" s="555"/>
      <c r="AT198" s="555"/>
      <c r="AU198" s="555"/>
      <c r="AV198" s="555"/>
      <c r="AW198" s="555"/>
      <c r="AX198" s="555"/>
      <c r="AY198" s="555"/>
      <c r="AZ198" s="555"/>
      <c r="BA198" s="555"/>
      <c r="BB198" s="555"/>
      <c r="BC198" s="555"/>
      <c r="BD198" s="555"/>
      <c r="BE198" s="555"/>
      <c r="BF198" s="555"/>
      <c r="BG198" s="555"/>
      <c r="BH198" s="555"/>
      <c r="BI198" s="555"/>
      <c r="BJ198" s="555"/>
      <c r="BK198" s="555"/>
      <c r="BL198" s="555"/>
      <c r="BM198" s="555"/>
      <c r="BN198" s="555"/>
      <c r="BO198" s="555"/>
      <c r="BP198" s="555"/>
      <c r="BQ198" s="555"/>
      <c r="BR198" s="555"/>
      <c r="BS198" s="555"/>
      <c r="BT198" s="555"/>
      <c r="BU198" s="555"/>
      <c r="BV198" s="555"/>
      <c r="BW198" s="555"/>
      <c r="BX198" s="555"/>
      <c r="BY198" s="555"/>
      <c r="BZ198" s="555"/>
      <c r="CA198" s="555"/>
      <c r="CB198" s="555"/>
      <c r="CC198" s="555"/>
      <c r="CD198" s="555"/>
      <c r="CE198" s="555"/>
      <c r="CF198" s="555"/>
      <c r="CG198" s="555"/>
      <c r="CH198" s="555"/>
      <c r="CI198" s="555"/>
      <c r="CJ198" s="555"/>
      <c r="CK198" s="555"/>
      <c r="CL198" s="555"/>
      <c r="CM198" s="555"/>
      <c r="CN198" s="555"/>
      <c r="CO198" s="555"/>
      <c r="CP198" s="555"/>
      <c r="CQ198" s="555"/>
      <c r="CR198" s="555"/>
      <c r="CS198" s="555"/>
      <c r="CT198" s="555"/>
      <c r="CU198" s="555"/>
      <c r="CV198" s="555"/>
      <c r="CW198" s="555"/>
      <c r="CX198" s="555"/>
      <c r="CY198" s="555"/>
      <c r="CZ198" s="555"/>
      <c r="DA198" s="555"/>
      <c r="DB198" s="555"/>
      <c r="DC198" s="555"/>
      <c r="DD198" s="555"/>
      <c r="DE198" s="555"/>
      <c r="DF198" s="555"/>
      <c r="DG198" s="555"/>
      <c r="DH198" s="555"/>
      <c r="DI198" s="555"/>
      <c r="DJ198" s="50"/>
      <c r="DK198" s="50"/>
      <c r="DL198" s="81"/>
      <c r="DM198" s="50"/>
      <c r="DN198" s="50"/>
      <c r="DO198" s="122"/>
      <c r="DP198" s="521"/>
      <c r="DQ198" s="521"/>
      <c r="DR198" s="521"/>
      <c r="DS198" s="521"/>
      <c r="DT198" s="521"/>
      <c r="DU198" s="521"/>
      <c r="DV198" s="521"/>
      <c r="DW198" s="521"/>
      <c r="DX198" s="521"/>
      <c r="DY198" s="521"/>
      <c r="DZ198" s="521"/>
      <c r="EA198" s="521"/>
      <c r="EB198" s="521"/>
      <c r="EC198" s="521"/>
      <c r="ED198" s="521"/>
      <c r="EE198" s="521"/>
      <c r="EF198" s="521"/>
      <c r="EG198" s="521"/>
      <c r="EH198" s="521"/>
      <c r="EI198" s="521"/>
      <c r="EJ198" s="521"/>
      <c r="EK198" s="521"/>
      <c r="EL198" s="521"/>
      <c r="EM198" s="521"/>
      <c r="EN198" s="521"/>
      <c r="EO198" s="521"/>
      <c r="EP198" s="521"/>
      <c r="EQ198" s="521"/>
      <c r="ER198" s="521"/>
      <c r="ES198" s="521"/>
      <c r="ET198" s="521"/>
      <c r="EU198" s="521"/>
      <c r="EV198" s="521"/>
      <c r="EW198" s="521"/>
      <c r="EX198" s="521"/>
      <c r="EY198" s="521"/>
      <c r="EZ198" s="123"/>
      <c r="FA198" s="50"/>
      <c r="FB198" s="51"/>
    </row>
    <row r="199" spans="1:158" ht="9" customHeight="1">
      <c r="A199" s="49"/>
      <c r="B199" s="81"/>
      <c r="C199" s="50"/>
      <c r="D199" s="50"/>
      <c r="E199" s="555"/>
      <c r="F199" s="555"/>
      <c r="G199" s="555"/>
      <c r="H199" s="555"/>
      <c r="I199" s="555"/>
      <c r="J199" s="555"/>
      <c r="K199" s="555"/>
      <c r="L199" s="555"/>
      <c r="M199" s="555"/>
      <c r="N199" s="555"/>
      <c r="O199" s="555"/>
      <c r="P199" s="555"/>
      <c r="Q199" s="555"/>
      <c r="R199" s="555"/>
      <c r="S199" s="555"/>
      <c r="T199" s="555"/>
      <c r="U199" s="555"/>
      <c r="V199" s="555"/>
      <c r="W199" s="555"/>
      <c r="X199" s="555"/>
      <c r="Y199" s="555"/>
      <c r="Z199" s="555"/>
      <c r="AA199" s="555"/>
      <c r="AB199" s="555"/>
      <c r="AC199" s="555"/>
      <c r="AD199" s="555"/>
      <c r="AE199" s="555"/>
      <c r="AF199" s="555"/>
      <c r="AG199" s="555"/>
      <c r="AH199" s="555"/>
      <c r="AI199" s="555"/>
      <c r="AJ199" s="555"/>
      <c r="AK199" s="555"/>
      <c r="AL199" s="555"/>
      <c r="AM199" s="555"/>
      <c r="AN199" s="555"/>
      <c r="AO199" s="555"/>
      <c r="AP199" s="555"/>
      <c r="AQ199" s="555"/>
      <c r="AR199" s="555"/>
      <c r="AS199" s="555"/>
      <c r="AT199" s="555"/>
      <c r="AU199" s="555"/>
      <c r="AV199" s="555"/>
      <c r="AW199" s="555"/>
      <c r="AX199" s="555"/>
      <c r="AY199" s="555"/>
      <c r="AZ199" s="555"/>
      <c r="BA199" s="555"/>
      <c r="BB199" s="555"/>
      <c r="BC199" s="555"/>
      <c r="BD199" s="555"/>
      <c r="BE199" s="555"/>
      <c r="BF199" s="555"/>
      <c r="BG199" s="555"/>
      <c r="BH199" s="555"/>
      <c r="BI199" s="555"/>
      <c r="BJ199" s="555"/>
      <c r="BK199" s="555"/>
      <c r="BL199" s="555"/>
      <c r="BM199" s="555"/>
      <c r="BN199" s="555"/>
      <c r="BO199" s="555"/>
      <c r="BP199" s="555"/>
      <c r="BQ199" s="555"/>
      <c r="BR199" s="555"/>
      <c r="BS199" s="555"/>
      <c r="BT199" s="555"/>
      <c r="BU199" s="555"/>
      <c r="BV199" s="555"/>
      <c r="BW199" s="555"/>
      <c r="BX199" s="555"/>
      <c r="BY199" s="555"/>
      <c r="BZ199" s="555"/>
      <c r="CA199" s="555"/>
      <c r="CB199" s="555"/>
      <c r="CC199" s="555"/>
      <c r="CD199" s="555"/>
      <c r="CE199" s="555"/>
      <c r="CF199" s="555"/>
      <c r="CG199" s="555"/>
      <c r="CH199" s="555"/>
      <c r="CI199" s="555"/>
      <c r="CJ199" s="555"/>
      <c r="CK199" s="555"/>
      <c r="CL199" s="555"/>
      <c r="CM199" s="555"/>
      <c r="CN199" s="555"/>
      <c r="CO199" s="555"/>
      <c r="CP199" s="555"/>
      <c r="CQ199" s="555"/>
      <c r="CR199" s="555"/>
      <c r="CS199" s="555"/>
      <c r="CT199" s="555"/>
      <c r="CU199" s="555"/>
      <c r="CV199" s="555"/>
      <c r="CW199" s="555"/>
      <c r="CX199" s="555"/>
      <c r="CY199" s="555"/>
      <c r="CZ199" s="555"/>
      <c r="DA199" s="555"/>
      <c r="DB199" s="555"/>
      <c r="DC199" s="555"/>
      <c r="DD199" s="555"/>
      <c r="DE199" s="555"/>
      <c r="DF199" s="555"/>
      <c r="DG199" s="555"/>
      <c r="DH199" s="555"/>
      <c r="DI199" s="555"/>
      <c r="DJ199" s="50"/>
      <c r="DK199" s="50"/>
      <c r="DL199" s="81"/>
      <c r="DM199" s="50"/>
      <c r="DN199" s="50"/>
      <c r="DO199" s="122"/>
      <c r="DP199" s="520" t="str">
        <f>IF(Skills!X19="","","Investigation "&amp;IF(Skills!X19&lt;0,"-","+")&amp;Skills!X19)</f>
        <v/>
      </c>
      <c r="DQ199" s="520"/>
      <c r="DR199" s="520"/>
      <c r="DS199" s="520"/>
      <c r="DT199" s="520"/>
      <c r="DU199" s="520"/>
      <c r="DV199" s="520"/>
      <c r="DW199" s="520"/>
      <c r="DX199" s="520"/>
      <c r="DY199" s="520"/>
      <c r="DZ199" s="520"/>
      <c r="EA199" s="520"/>
      <c r="EB199" s="520"/>
      <c r="EC199" s="520"/>
      <c r="ED199" s="520"/>
      <c r="EE199" s="520"/>
      <c r="EF199" s="520"/>
      <c r="EG199" s="520"/>
      <c r="EH199" s="520"/>
      <c r="EI199" s="520"/>
      <c r="EJ199" s="520"/>
      <c r="EK199" s="520"/>
      <c r="EL199" s="520"/>
      <c r="EM199" s="520"/>
      <c r="EN199" s="520"/>
      <c r="EO199" s="520"/>
      <c r="EP199" s="520"/>
      <c r="EQ199" s="520"/>
      <c r="ER199" s="520"/>
      <c r="ES199" s="520"/>
      <c r="ET199" s="520"/>
      <c r="EU199" s="520"/>
      <c r="EV199" s="520"/>
      <c r="EW199" s="520"/>
      <c r="EX199" s="520"/>
      <c r="EY199" s="520"/>
      <c r="EZ199" s="123"/>
      <c r="FA199" s="50"/>
      <c r="FB199" s="51"/>
    </row>
    <row r="200" spans="1:158" ht="9" customHeight="1">
      <c r="A200" s="49"/>
      <c r="B200" s="81"/>
      <c r="C200" s="50"/>
      <c r="D200" s="50"/>
      <c r="E200" s="555"/>
      <c r="F200" s="555"/>
      <c r="G200" s="555"/>
      <c r="H200" s="555"/>
      <c r="I200" s="555"/>
      <c r="J200" s="555"/>
      <c r="K200" s="555"/>
      <c r="L200" s="555"/>
      <c r="M200" s="555"/>
      <c r="N200" s="555"/>
      <c r="O200" s="555"/>
      <c r="P200" s="555"/>
      <c r="Q200" s="555"/>
      <c r="R200" s="555"/>
      <c r="S200" s="555"/>
      <c r="T200" s="555"/>
      <c r="U200" s="555"/>
      <c r="V200" s="555"/>
      <c r="W200" s="555"/>
      <c r="X200" s="555"/>
      <c r="Y200" s="555"/>
      <c r="Z200" s="555"/>
      <c r="AA200" s="555"/>
      <c r="AB200" s="555"/>
      <c r="AC200" s="555"/>
      <c r="AD200" s="555"/>
      <c r="AE200" s="555"/>
      <c r="AF200" s="555"/>
      <c r="AG200" s="555"/>
      <c r="AH200" s="555"/>
      <c r="AI200" s="555"/>
      <c r="AJ200" s="555"/>
      <c r="AK200" s="555"/>
      <c r="AL200" s="555"/>
      <c r="AM200" s="555"/>
      <c r="AN200" s="555"/>
      <c r="AO200" s="555"/>
      <c r="AP200" s="555"/>
      <c r="AQ200" s="555"/>
      <c r="AR200" s="555"/>
      <c r="AS200" s="555"/>
      <c r="AT200" s="555"/>
      <c r="AU200" s="555"/>
      <c r="AV200" s="555"/>
      <c r="AW200" s="555"/>
      <c r="AX200" s="555"/>
      <c r="AY200" s="555"/>
      <c r="AZ200" s="555"/>
      <c r="BA200" s="555"/>
      <c r="BB200" s="555"/>
      <c r="BC200" s="555"/>
      <c r="BD200" s="555"/>
      <c r="BE200" s="555"/>
      <c r="BF200" s="555"/>
      <c r="BG200" s="555"/>
      <c r="BH200" s="555"/>
      <c r="BI200" s="555"/>
      <c r="BJ200" s="555"/>
      <c r="BK200" s="555"/>
      <c r="BL200" s="555"/>
      <c r="BM200" s="555"/>
      <c r="BN200" s="555"/>
      <c r="BO200" s="555"/>
      <c r="BP200" s="555"/>
      <c r="BQ200" s="555"/>
      <c r="BR200" s="555"/>
      <c r="BS200" s="555"/>
      <c r="BT200" s="555"/>
      <c r="BU200" s="555"/>
      <c r="BV200" s="555"/>
      <c r="BW200" s="555"/>
      <c r="BX200" s="555"/>
      <c r="BY200" s="555"/>
      <c r="BZ200" s="555"/>
      <c r="CA200" s="555"/>
      <c r="CB200" s="555"/>
      <c r="CC200" s="555"/>
      <c r="CD200" s="555"/>
      <c r="CE200" s="555"/>
      <c r="CF200" s="555"/>
      <c r="CG200" s="555"/>
      <c r="CH200" s="555"/>
      <c r="CI200" s="555"/>
      <c r="CJ200" s="555"/>
      <c r="CK200" s="555"/>
      <c r="CL200" s="555"/>
      <c r="CM200" s="555"/>
      <c r="CN200" s="555"/>
      <c r="CO200" s="555"/>
      <c r="CP200" s="555"/>
      <c r="CQ200" s="555"/>
      <c r="CR200" s="555"/>
      <c r="CS200" s="555"/>
      <c r="CT200" s="555"/>
      <c r="CU200" s="555"/>
      <c r="CV200" s="555"/>
      <c r="CW200" s="555"/>
      <c r="CX200" s="555"/>
      <c r="CY200" s="555"/>
      <c r="CZ200" s="555"/>
      <c r="DA200" s="555"/>
      <c r="DB200" s="555"/>
      <c r="DC200" s="555"/>
      <c r="DD200" s="555"/>
      <c r="DE200" s="555"/>
      <c r="DF200" s="555"/>
      <c r="DG200" s="555"/>
      <c r="DH200" s="555"/>
      <c r="DI200" s="555"/>
      <c r="DJ200" s="50"/>
      <c r="DK200" s="50"/>
      <c r="DL200" s="81"/>
      <c r="DM200" s="50"/>
      <c r="DN200" s="50"/>
      <c r="DO200" s="122"/>
      <c r="DP200" s="520"/>
      <c r="DQ200" s="520"/>
      <c r="DR200" s="520"/>
      <c r="DS200" s="520"/>
      <c r="DT200" s="520"/>
      <c r="DU200" s="520"/>
      <c r="DV200" s="520"/>
      <c r="DW200" s="520"/>
      <c r="DX200" s="520"/>
      <c r="DY200" s="520"/>
      <c r="DZ200" s="520"/>
      <c r="EA200" s="520"/>
      <c r="EB200" s="520"/>
      <c r="EC200" s="520"/>
      <c r="ED200" s="520"/>
      <c r="EE200" s="520"/>
      <c r="EF200" s="520"/>
      <c r="EG200" s="520"/>
      <c r="EH200" s="520"/>
      <c r="EI200" s="520"/>
      <c r="EJ200" s="520"/>
      <c r="EK200" s="520"/>
      <c r="EL200" s="520"/>
      <c r="EM200" s="520"/>
      <c r="EN200" s="520"/>
      <c r="EO200" s="520"/>
      <c r="EP200" s="520"/>
      <c r="EQ200" s="520"/>
      <c r="ER200" s="520"/>
      <c r="ES200" s="520"/>
      <c r="ET200" s="520"/>
      <c r="EU200" s="520"/>
      <c r="EV200" s="520"/>
      <c r="EW200" s="520"/>
      <c r="EX200" s="520"/>
      <c r="EY200" s="520"/>
      <c r="EZ200" s="123"/>
      <c r="FA200" s="50"/>
      <c r="FB200" s="51"/>
    </row>
    <row r="201" spans="1:158" ht="9" customHeight="1">
      <c r="A201" s="49"/>
      <c r="B201" s="81"/>
      <c r="C201" s="50"/>
      <c r="D201" s="50"/>
      <c r="E201" s="555"/>
      <c r="F201" s="555"/>
      <c r="G201" s="555"/>
      <c r="H201" s="555"/>
      <c r="I201" s="555"/>
      <c r="J201" s="555"/>
      <c r="K201" s="555"/>
      <c r="L201" s="555"/>
      <c r="M201" s="555"/>
      <c r="N201" s="555"/>
      <c r="O201" s="555"/>
      <c r="P201" s="555"/>
      <c r="Q201" s="555"/>
      <c r="R201" s="555"/>
      <c r="S201" s="555"/>
      <c r="T201" s="555"/>
      <c r="U201" s="555"/>
      <c r="V201" s="555"/>
      <c r="W201" s="555"/>
      <c r="X201" s="555"/>
      <c r="Y201" s="555"/>
      <c r="Z201" s="555"/>
      <c r="AA201" s="555"/>
      <c r="AB201" s="555"/>
      <c r="AC201" s="555"/>
      <c r="AD201" s="555"/>
      <c r="AE201" s="555"/>
      <c r="AF201" s="555"/>
      <c r="AG201" s="555"/>
      <c r="AH201" s="555"/>
      <c r="AI201" s="555"/>
      <c r="AJ201" s="555"/>
      <c r="AK201" s="555"/>
      <c r="AL201" s="555"/>
      <c r="AM201" s="555"/>
      <c r="AN201" s="555"/>
      <c r="AO201" s="555"/>
      <c r="AP201" s="555"/>
      <c r="AQ201" s="555"/>
      <c r="AR201" s="555"/>
      <c r="AS201" s="555"/>
      <c r="AT201" s="555"/>
      <c r="AU201" s="555"/>
      <c r="AV201" s="555"/>
      <c r="AW201" s="555"/>
      <c r="AX201" s="555"/>
      <c r="AY201" s="555"/>
      <c r="AZ201" s="555"/>
      <c r="BA201" s="555"/>
      <c r="BB201" s="555"/>
      <c r="BC201" s="555"/>
      <c r="BD201" s="555"/>
      <c r="BE201" s="555"/>
      <c r="BF201" s="555"/>
      <c r="BG201" s="555"/>
      <c r="BH201" s="555"/>
      <c r="BI201" s="555"/>
      <c r="BJ201" s="555"/>
      <c r="BK201" s="555"/>
      <c r="BL201" s="555"/>
      <c r="BM201" s="555"/>
      <c r="BN201" s="555"/>
      <c r="BO201" s="555"/>
      <c r="BP201" s="555"/>
      <c r="BQ201" s="555"/>
      <c r="BR201" s="555"/>
      <c r="BS201" s="555"/>
      <c r="BT201" s="555"/>
      <c r="BU201" s="555"/>
      <c r="BV201" s="555"/>
      <c r="BW201" s="555"/>
      <c r="BX201" s="555"/>
      <c r="BY201" s="555"/>
      <c r="BZ201" s="555"/>
      <c r="CA201" s="555"/>
      <c r="CB201" s="555"/>
      <c r="CC201" s="555"/>
      <c r="CD201" s="555"/>
      <c r="CE201" s="555"/>
      <c r="CF201" s="555"/>
      <c r="CG201" s="555"/>
      <c r="CH201" s="555"/>
      <c r="CI201" s="555"/>
      <c r="CJ201" s="555"/>
      <c r="CK201" s="555"/>
      <c r="CL201" s="555"/>
      <c r="CM201" s="555"/>
      <c r="CN201" s="555"/>
      <c r="CO201" s="555"/>
      <c r="CP201" s="555"/>
      <c r="CQ201" s="555"/>
      <c r="CR201" s="555"/>
      <c r="CS201" s="555"/>
      <c r="CT201" s="555"/>
      <c r="CU201" s="555"/>
      <c r="CV201" s="555"/>
      <c r="CW201" s="555"/>
      <c r="CX201" s="555"/>
      <c r="CY201" s="555"/>
      <c r="CZ201" s="555"/>
      <c r="DA201" s="555"/>
      <c r="DB201" s="555"/>
      <c r="DC201" s="555"/>
      <c r="DD201" s="555"/>
      <c r="DE201" s="555"/>
      <c r="DF201" s="555"/>
      <c r="DG201" s="555"/>
      <c r="DH201" s="555"/>
      <c r="DI201" s="555"/>
      <c r="DJ201" s="50"/>
      <c r="DK201" s="50"/>
      <c r="DL201" s="81"/>
      <c r="DM201" s="50"/>
      <c r="DN201" s="50"/>
      <c r="DO201" s="122"/>
      <c r="DP201" s="520"/>
      <c r="DQ201" s="520"/>
      <c r="DR201" s="520"/>
      <c r="DS201" s="520"/>
      <c r="DT201" s="520"/>
      <c r="DU201" s="520"/>
      <c r="DV201" s="520"/>
      <c r="DW201" s="520"/>
      <c r="DX201" s="520"/>
      <c r="DY201" s="520"/>
      <c r="DZ201" s="520"/>
      <c r="EA201" s="520"/>
      <c r="EB201" s="520"/>
      <c r="EC201" s="520"/>
      <c r="ED201" s="520"/>
      <c r="EE201" s="520"/>
      <c r="EF201" s="520"/>
      <c r="EG201" s="520"/>
      <c r="EH201" s="520"/>
      <c r="EI201" s="520"/>
      <c r="EJ201" s="520"/>
      <c r="EK201" s="520"/>
      <c r="EL201" s="520"/>
      <c r="EM201" s="520"/>
      <c r="EN201" s="520"/>
      <c r="EO201" s="520"/>
      <c r="EP201" s="520"/>
      <c r="EQ201" s="520"/>
      <c r="ER201" s="520"/>
      <c r="ES201" s="520"/>
      <c r="ET201" s="520"/>
      <c r="EU201" s="520"/>
      <c r="EV201" s="520"/>
      <c r="EW201" s="520"/>
      <c r="EX201" s="520"/>
      <c r="EY201" s="520"/>
      <c r="EZ201" s="123"/>
      <c r="FA201" s="50"/>
      <c r="FB201" s="51"/>
    </row>
    <row r="202" spans="1:158" ht="9" customHeight="1">
      <c r="A202" s="49"/>
      <c r="B202" s="81"/>
      <c r="C202" s="50"/>
      <c r="D202" s="50"/>
      <c r="E202" s="555"/>
      <c r="F202" s="555"/>
      <c r="G202" s="555"/>
      <c r="H202" s="555"/>
      <c r="I202" s="555"/>
      <c r="J202" s="555"/>
      <c r="K202" s="555"/>
      <c r="L202" s="555"/>
      <c r="M202" s="555"/>
      <c r="N202" s="555"/>
      <c r="O202" s="555"/>
      <c r="P202" s="555"/>
      <c r="Q202" s="555"/>
      <c r="R202" s="555"/>
      <c r="S202" s="555"/>
      <c r="T202" s="555"/>
      <c r="U202" s="555"/>
      <c r="V202" s="555"/>
      <c r="W202" s="555"/>
      <c r="X202" s="555"/>
      <c r="Y202" s="555"/>
      <c r="Z202" s="555"/>
      <c r="AA202" s="555"/>
      <c r="AB202" s="555"/>
      <c r="AC202" s="555"/>
      <c r="AD202" s="555"/>
      <c r="AE202" s="555"/>
      <c r="AF202" s="555"/>
      <c r="AG202" s="555"/>
      <c r="AH202" s="555"/>
      <c r="AI202" s="555"/>
      <c r="AJ202" s="555"/>
      <c r="AK202" s="555"/>
      <c r="AL202" s="555"/>
      <c r="AM202" s="555"/>
      <c r="AN202" s="555"/>
      <c r="AO202" s="555"/>
      <c r="AP202" s="555"/>
      <c r="AQ202" s="555"/>
      <c r="AR202" s="555"/>
      <c r="AS202" s="555"/>
      <c r="AT202" s="555"/>
      <c r="AU202" s="555"/>
      <c r="AV202" s="555"/>
      <c r="AW202" s="555"/>
      <c r="AX202" s="555"/>
      <c r="AY202" s="555"/>
      <c r="AZ202" s="555"/>
      <c r="BA202" s="555"/>
      <c r="BB202" s="555"/>
      <c r="BC202" s="555"/>
      <c r="BD202" s="555"/>
      <c r="BE202" s="555"/>
      <c r="BF202" s="555"/>
      <c r="BG202" s="555"/>
      <c r="BH202" s="555"/>
      <c r="BI202" s="555"/>
      <c r="BJ202" s="555"/>
      <c r="BK202" s="555"/>
      <c r="BL202" s="555"/>
      <c r="BM202" s="555"/>
      <c r="BN202" s="555"/>
      <c r="BO202" s="555"/>
      <c r="BP202" s="555"/>
      <c r="BQ202" s="555"/>
      <c r="BR202" s="555"/>
      <c r="BS202" s="555"/>
      <c r="BT202" s="555"/>
      <c r="BU202" s="555"/>
      <c r="BV202" s="555"/>
      <c r="BW202" s="555"/>
      <c r="BX202" s="555"/>
      <c r="BY202" s="555"/>
      <c r="BZ202" s="555"/>
      <c r="CA202" s="555"/>
      <c r="CB202" s="555"/>
      <c r="CC202" s="555"/>
      <c r="CD202" s="555"/>
      <c r="CE202" s="555"/>
      <c r="CF202" s="555"/>
      <c r="CG202" s="555"/>
      <c r="CH202" s="555"/>
      <c r="CI202" s="555"/>
      <c r="CJ202" s="555"/>
      <c r="CK202" s="555"/>
      <c r="CL202" s="555"/>
      <c r="CM202" s="555"/>
      <c r="CN202" s="555"/>
      <c r="CO202" s="555"/>
      <c r="CP202" s="555"/>
      <c r="CQ202" s="555"/>
      <c r="CR202" s="555"/>
      <c r="CS202" s="555"/>
      <c r="CT202" s="555"/>
      <c r="CU202" s="555"/>
      <c r="CV202" s="555"/>
      <c r="CW202" s="555"/>
      <c r="CX202" s="555"/>
      <c r="CY202" s="555"/>
      <c r="CZ202" s="555"/>
      <c r="DA202" s="555"/>
      <c r="DB202" s="555"/>
      <c r="DC202" s="555"/>
      <c r="DD202" s="555"/>
      <c r="DE202" s="555"/>
      <c r="DF202" s="555"/>
      <c r="DG202" s="555"/>
      <c r="DH202" s="555"/>
      <c r="DI202" s="555"/>
      <c r="DJ202" s="50"/>
      <c r="DK202" s="50"/>
      <c r="DL202" s="81"/>
      <c r="DM202" s="50"/>
      <c r="DN202" s="50"/>
      <c r="DO202" s="122"/>
      <c r="DP202" s="521"/>
      <c r="DQ202" s="521"/>
      <c r="DR202" s="521"/>
      <c r="DS202" s="521"/>
      <c r="DT202" s="521"/>
      <c r="DU202" s="521"/>
      <c r="DV202" s="521"/>
      <c r="DW202" s="521"/>
      <c r="DX202" s="521"/>
      <c r="DY202" s="521"/>
      <c r="DZ202" s="521"/>
      <c r="EA202" s="521"/>
      <c r="EB202" s="521"/>
      <c r="EC202" s="521"/>
      <c r="ED202" s="521"/>
      <c r="EE202" s="521"/>
      <c r="EF202" s="521"/>
      <c r="EG202" s="521"/>
      <c r="EH202" s="521"/>
      <c r="EI202" s="521"/>
      <c r="EJ202" s="521"/>
      <c r="EK202" s="521"/>
      <c r="EL202" s="521"/>
      <c r="EM202" s="521"/>
      <c r="EN202" s="521"/>
      <c r="EO202" s="521"/>
      <c r="EP202" s="521"/>
      <c r="EQ202" s="521"/>
      <c r="ER202" s="521"/>
      <c r="ES202" s="521"/>
      <c r="ET202" s="521"/>
      <c r="EU202" s="521"/>
      <c r="EV202" s="521"/>
      <c r="EW202" s="521"/>
      <c r="EX202" s="521"/>
      <c r="EY202" s="521"/>
      <c r="EZ202" s="123"/>
      <c r="FA202" s="50"/>
      <c r="FB202" s="51"/>
    </row>
    <row r="203" spans="1:158" ht="9" customHeight="1">
      <c r="A203" s="49"/>
      <c r="B203" s="81"/>
      <c r="C203" s="50"/>
      <c r="D203" s="50"/>
      <c r="E203" s="555"/>
      <c r="F203" s="555"/>
      <c r="G203" s="555"/>
      <c r="H203" s="555"/>
      <c r="I203" s="555"/>
      <c r="J203" s="555"/>
      <c r="K203" s="555"/>
      <c r="L203" s="555"/>
      <c r="M203" s="555"/>
      <c r="N203" s="555"/>
      <c r="O203" s="555"/>
      <c r="P203" s="555"/>
      <c r="Q203" s="555"/>
      <c r="R203" s="555"/>
      <c r="S203" s="555"/>
      <c r="T203" s="555"/>
      <c r="U203" s="555"/>
      <c r="V203" s="555"/>
      <c r="W203" s="555"/>
      <c r="X203" s="555"/>
      <c r="Y203" s="555"/>
      <c r="Z203" s="555"/>
      <c r="AA203" s="555"/>
      <c r="AB203" s="555"/>
      <c r="AC203" s="555"/>
      <c r="AD203" s="555"/>
      <c r="AE203" s="555"/>
      <c r="AF203" s="555"/>
      <c r="AG203" s="555"/>
      <c r="AH203" s="555"/>
      <c r="AI203" s="555"/>
      <c r="AJ203" s="555"/>
      <c r="AK203" s="555"/>
      <c r="AL203" s="555"/>
      <c r="AM203" s="555"/>
      <c r="AN203" s="555"/>
      <c r="AO203" s="555"/>
      <c r="AP203" s="555"/>
      <c r="AQ203" s="555"/>
      <c r="AR203" s="555"/>
      <c r="AS203" s="555"/>
      <c r="AT203" s="555"/>
      <c r="AU203" s="555"/>
      <c r="AV203" s="555"/>
      <c r="AW203" s="555"/>
      <c r="AX203" s="555"/>
      <c r="AY203" s="555"/>
      <c r="AZ203" s="555"/>
      <c r="BA203" s="555"/>
      <c r="BB203" s="555"/>
      <c r="BC203" s="555"/>
      <c r="BD203" s="555"/>
      <c r="BE203" s="555"/>
      <c r="BF203" s="555"/>
      <c r="BG203" s="555"/>
      <c r="BH203" s="555"/>
      <c r="BI203" s="555"/>
      <c r="BJ203" s="555"/>
      <c r="BK203" s="555"/>
      <c r="BL203" s="555"/>
      <c r="BM203" s="555"/>
      <c r="BN203" s="555"/>
      <c r="BO203" s="555"/>
      <c r="BP203" s="555"/>
      <c r="BQ203" s="555"/>
      <c r="BR203" s="555"/>
      <c r="BS203" s="555"/>
      <c r="BT203" s="555"/>
      <c r="BU203" s="555"/>
      <c r="BV203" s="555"/>
      <c r="BW203" s="555"/>
      <c r="BX203" s="555"/>
      <c r="BY203" s="555"/>
      <c r="BZ203" s="555"/>
      <c r="CA203" s="555"/>
      <c r="CB203" s="555"/>
      <c r="CC203" s="555"/>
      <c r="CD203" s="555"/>
      <c r="CE203" s="555"/>
      <c r="CF203" s="555"/>
      <c r="CG203" s="555"/>
      <c r="CH203" s="555"/>
      <c r="CI203" s="555"/>
      <c r="CJ203" s="555"/>
      <c r="CK203" s="555"/>
      <c r="CL203" s="555"/>
      <c r="CM203" s="555"/>
      <c r="CN203" s="555"/>
      <c r="CO203" s="555"/>
      <c r="CP203" s="555"/>
      <c r="CQ203" s="555"/>
      <c r="CR203" s="555"/>
      <c r="CS203" s="555"/>
      <c r="CT203" s="555"/>
      <c r="CU203" s="555"/>
      <c r="CV203" s="555"/>
      <c r="CW203" s="555"/>
      <c r="CX203" s="555"/>
      <c r="CY203" s="555"/>
      <c r="CZ203" s="555"/>
      <c r="DA203" s="555"/>
      <c r="DB203" s="555"/>
      <c r="DC203" s="555"/>
      <c r="DD203" s="555"/>
      <c r="DE203" s="555"/>
      <c r="DF203" s="555"/>
      <c r="DG203" s="555"/>
      <c r="DH203" s="555"/>
      <c r="DI203" s="555"/>
      <c r="DJ203" s="50"/>
      <c r="DK203" s="50"/>
      <c r="DL203" s="81"/>
      <c r="DM203" s="50"/>
      <c r="DN203" s="50"/>
      <c r="DO203" s="122"/>
      <c r="DP203" s="520" t="str">
        <f>IF(Skills!X20="","","Perception "&amp;IF(Skills!X20&lt;0,"-","+")&amp;Skills!X20)</f>
        <v>Perception +10</v>
      </c>
      <c r="DQ203" s="520"/>
      <c r="DR203" s="520"/>
      <c r="DS203" s="520"/>
      <c r="DT203" s="520"/>
      <c r="DU203" s="520"/>
      <c r="DV203" s="520"/>
      <c r="DW203" s="520"/>
      <c r="DX203" s="520"/>
      <c r="DY203" s="520"/>
      <c r="DZ203" s="520"/>
      <c r="EA203" s="520"/>
      <c r="EB203" s="520"/>
      <c r="EC203" s="520"/>
      <c r="ED203" s="520"/>
      <c r="EE203" s="520"/>
      <c r="EF203" s="520"/>
      <c r="EG203" s="520"/>
      <c r="EH203" s="520"/>
      <c r="EI203" s="520"/>
      <c r="EJ203" s="520"/>
      <c r="EK203" s="520"/>
      <c r="EL203" s="520"/>
      <c r="EM203" s="520"/>
      <c r="EN203" s="520"/>
      <c r="EO203" s="520"/>
      <c r="EP203" s="520"/>
      <c r="EQ203" s="520"/>
      <c r="ER203" s="520"/>
      <c r="ES203" s="520"/>
      <c r="ET203" s="520"/>
      <c r="EU203" s="520"/>
      <c r="EV203" s="520"/>
      <c r="EW203" s="520"/>
      <c r="EX203" s="520"/>
      <c r="EY203" s="520"/>
      <c r="EZ203" s="123"/>
      <c r="FA203" s="50"/>
      <c r="FB203" s="51"/>
    </row>
    <row r="204" spans="1:158" ht="9" customHeight="1">
      <c r="A204" s="49"/>
      <c r="B204" s="81"/>
      <c r="C204" s="50"/>
      <c r="D204" s="50"/>
      <c r="E204" s="555"/>
      <c r="F204" s="555"/>
      <c r="G204" s="555"/>
      <c r="H204" s="555"/>
      <c r="I204" s="555"/>
      <c r="J204" s="555"/>
      <c r="K204" s="555"/>
      <c r="L204" s="555"/>
      <c r="M204" s="555"/>
      <c r="N204" s="555"/>
      <c r="O204" s="555"/>
      <c r="P204" s="555"/>
      <c r="Q204" s="555"/>
      <c r="R204" s="555"/>
      <c r="S204" s="555"/>
      <c r="T204" s="555"/>
      <c r="U204" s="555"/>
      <c r="V204" s="555"/>
      <c r="W204" s="555"/>
      <c r="X204" s="555"/>
      <c r="Y204" s="555"/>
      <c r="Z204" s="555"/>
      <c r="AA204" s="555"/>
      <c r="AB204" s="555"/>
      <c r="AC204" s="555"/>
      <c r="AD204" s="555"/>
      <c r="AE204" s="555"/>
      <c r="AF204" s="555"/>
      <c r="AG204" s="555"/>
      <c r="AH204" s="555"/>
      <c r="AI204" s="555"/>
      <c r="AJ204" s="555"/>
      <c r="AK204" s="555"/>
      <c r="AL204" s="555"/>
      <c r="AM204" s="555"/>
      <c r="AN204" s="555"/>
      <c r="AO204" s="555"/>
      <c r="AP204" s="555"/>
      <c r="AQ204" s="555"/>
      <c r="AR204" s="555"/>
      <c r="AS204" s="555"/>
      <c r="AT204" s="555"/>
      <c r="AU204" s="555"/>
      <c r="AV204" s="555"/>
      <c r="AW204" s="555"/>
      <c r="AX204" s="555"/>
      <c r="AY204" s="555"/>
      <c r="AZ204" s="555"/>
      <c r="BA204" s="555"/>
      <c r="BB204" s="555"/>
      <c r="BC204" s="555"/>
      <c r="BD204" s="555"/>
      <c r="BE204" s="555"/>
      <c r="BF204" s="555"/>
      <c r="BG204" s="555"/>
      <c r="BH204" s="555"/>
      <c r="BI204" s="555"/>
      <c r="BJ204" s="555"/>
      <c r="BK204" s="555"/>
      <c r="BL204" s="555"/>
      <c r="BM204" s="555"/>
      <c r="BN204" s="555"/>
      <c r="BO204" s="555"/>
      <c r="BP204" s="555"/>
      <c r="BQ204" s="555"/>
      <c r="BR204" s="555"/>
      <c r="BS204" s="555"/>
      <c r="BT204" s="555"/>
      <c r="BU204" s="555"/>
      <c r="BV204" s="555"/>
      <c r="BW204" s="555"/>
      <c r="BX204" s="555"/>
      <c r="BY204" s="555"/>
      <c r="BZ204" s="555"/>
      <c r="CA204" s="555"/>
      <c r="CB204" s="555"/>
      <c r="CC204" s="555"/>
      <c r="CD204" s="555"/>
      <c r="CE204" s="555"/>
      <c r="CF204" s="555"/>
      <c r="CG204" s="555"/>
      <c r="CH204" s="555"/>
      <c r="CI204" s="555"/>
      <c r="CJ204" s="555"/>
      <c r="CK204" s="555"/>
      <c r="CL204" s="555"/>
      <c r="CM204" s="555"/>
      <c r="CN204" s="555"/>
      <c r="CO204" s="555"/>
      <c r="CP204" s="555"/>
      <c r="CQ204" s="555"/>
      <c r="CR204" s="555"/>
      <c r="CS204" s="555"/>
      <c r="CT204" s="555"/>
      <c r="CU204" s="555"/>
      <c r="CV204" s="555"/>
      <c r="CW204" s="555"/>
      <c r="CX204" s="555"/>
      <c r="CY204" s="555"/>
      <c r="CZ204" s="555"/>
      <c r="DA204" s="555"/>
      <c r="DB204" s="555"/>
      <c r="DC204" s="555"/>
      <c r="DD204" s="555"/>
      <c r="DE204" s="555"/>
      <c r="DF204" s="555"/>
      <c r="DG204" s="555"/>
      <c r="DH204" s="555"/>
      <c r="DI204" s="555"/>
      <c r="DJ204" s="50"/>
      <c r="DK204" s="50"/>
      <c r="DL204" s="81"/>
      <c r="DM204" s="50"/>
      <c r="DN204" s="50"/>
      <c r="DO204" s="122"/>
      <c r="DP204" s="520"/>
      <c r="DQ204" s="520"/>
      <c r="DR204" s="520"/>
      <c r="DS204" s="520"/>
      <c r="DT204" s="520"/>
      <c r="DU204" s="520"/>
      <c r="DV204" s="520"/>
      <c r="DW204" s="520"/>
      <c r="DX204" s="520"/>
      <c r="DY204" s="520"/>
      <c r="DZ204" s="520"/>
      <c r="EA204" s="520"/>
      <c r="EB204" s="520"/>
      <c r="EC204" s="520"/>
      <c r="ED204" s="520"/>
      <c r="EE204" s="520"/>
      <c r="EF204" s="520"/>
      <c r="EG204" s="520"/>
      <c r="EH204" s="520"/>
      <c r="EI204" s="520"/>
      <c r="EJ204" s="520"/>
      <c r="EK204" s="520"/>
      <c r="EL204" s="520"/>
      <c r="EM204" s="520"/>
      <c r="EN204" s="520"/>
      <c r="EO204" s="520"/>
      <c r="EP204" s="520"/>
      <c r="EQ204" s="520"/>
      <c r="ER204" s="520"/>
      <c r="ES204" s="520"/>
      <c r="ET204" s="520"/>
      <c r="EU204" s="520"/>
      <c r="EV204" s="520"/>
      <c r="EW204" s="520"/>
      <c r="EX204" s="520"/>
      <c r="EY204" s="520"/>
      <c r="EZ204" s="123"/>
      <c r="FA204" s="50"/>
      <c r="FB204" s="51"/>
    </row>
    <row r="205" spans="1:158" ht="9" customHeight="1">
      <c r="A205" s="49"/>
      <c r="B205" s="81"/>
      <c r="C205" s="50"/>
      <c r="D205" s="50"/>
      <c r="E205" s="555"/>
      <c r="F205" s="555"/>
      <c r="G205" s="555"/>
      <c r="H205" s="555"/>
      <c r="I205" s="555"/>
      <c r="J205" s="555"/>
      <c r="K205" s="555"/>
      <c r="L205" s="555"/>
      <c r="M205" s="555"/>
      <c r="N205" s="555"/>
      <c r="O205" s="555"/>
      <c r="P205" s="555"/>
      <c r="Q205" s="555"/>
      <c r="R205" s="555"/>
      <c r="S205" s="555"/>
      <c r="T205" s="555"/>
      <c r="U205" s="555"/>
      <c r="V205" s="555"/>
      <c r="W205" s="555"/>
      <c r="X205" s="555"/>
      <c r="Y205" s="555"/>
      <c r="Z205" s="555"/>
      <c r="AA205" s="555"/>
      <c r="AB205" s="555"/>
      <c r="AC205" s="555"/>
      <c r="AD205" s="555"/>
      <c r="AE205" s="555"/>
      <c r="AF205" s="555"/>
      <c r="AG205" s="555"/>
      <c r="AH205" s="555"/>
      <c r="AI205" s="555"/>
      <c r="AJ205" s="555"/>
      <c r="AK205" s="555"/>
      <c r="AL205" s="555"/>
      <c r="AM205" s="555"/>
      <c r="AN205" s="555"/>
      <c r="AO205" s="555"/>
      <c r="AP205" s="555"/>
      <c r="AQ205" s="555"/>
      <c r="AR205" s="555"/>
      <c r="AS205" s="555"/>
      <c r="AT205" s="555"/>
      <c r="AU205" s="555"/>
      <c r="AV205" s="555"/>
      <c r="AW205" s="555"/>
      <c r="AX205" s="555"/>
      <c r="AY205" s="555"/>
      <c r="AZ205" s="555"/>
      <c r="BA205" s="555"/>
      <c r="BB205" s="555"/>
      <c r="BC205" s="555"/>
      <c r="BD205" s="555"/>
      <c r="BE205" s="555"/>
      <c r="BF205" s="555"/>
      <c r="BG205" s="555"/>
      <c r="BH205" s="555"/>
      <c r="BI205" s="555"/>
      <c r="BJ205" s="555"/>
      <c r="BK205" s="555"/>
      <c r="BL205" s="555"/>
      <c r="BM205" s="555"/>
      <c r="BN205" s="555"/>
      <c r="BO205" s="555"/>
      <c r="BP205" s="555"/>
      <c r="BQ205" s="555"/>
      <c r="BR205" s="555"/>
      <c r="BS205" s="555"/>
      <c r="BT205" s="555"/>
      <c r="BU205" s="555"/>
      <c r="BV205" s="555"/>
      <c r="BW205" s="555"/>
      <c r="BX205" s="555"/>
      <c r="BY205" s="555"/>
      <c r="BZ205" s="555"/>
      <c r="CA205" s="555"/>
      <c r="CB205" s="555"/>
      <c r="CC205" s="555"/>
      <c r="CD205" s="555"/>
      <c r="CE205" s="555"/>
      <c r="CF205" s="555"/>
      <c r="CG205" s="555"/>
      <c r="CH205" s="555"/>
      <c r="CI205" s="555"/>
      <c r="CJ205" s="555"/>
      <c r="CK205" s="555"/>
      <c r="CL205" s="555"/>
      <c r="CM205" s="555"/>
      <c r="CN205" s="555"/>
      <c r="CO205" s="555"/>
      <c r="CP205" s="555"/>
      <c r="CQ205" s="555"/>
      <c r="CR205" s="555"/>
      <c r="CS205" s="555"/>
      <c r="CT205" s="555"/>
      <c r="CU205" s="555"/>
      <c r="CV205" s="555"/>
      <c r="CW205" s="555"/>
      <c r="CX205" s="555"/>
      <c r="CY205" s="555"/>
      <c r="CZ205" s="555"/>
      <c r="DA205" s="555"/>
      <c r="DB205" s="555"/>
      <c r="DC205" s="555"/>
      <c r="DD205" s="555"/>
      <c r="DE205" s="555"/>
      <c r="DF205" s="555"/>
      <c r="DG205" s="555"/>
      <c r="DH205" s="555"/>
      <c r="DI205" s="555"/>
      <c r="DJ205" s="50"/>
      <c r="DK205" s="50"/>
      <c r="DL205" s="81"/>
      <c r="DM205" s="50"/>
      <c r="DN205" s="50"/>
      <c r="DO205" s="122"/>
      <c r="DP205" s="520"/>
      <c r="DQ205" s="520"/>
      <c r="DR205" s="520"/>
      <c r="DS205" s="520"/>
      <c r="DT205" s="520"/>
      <c r="DU205" s="520"/>
      <c r="DV205" s="520"/>
      <c r="DW205" s="520"/>
      <c r="DX205" s="520"/>
      <c r="DY205" s="520"/>
      <c r="DZ205" s="520"/>
      <c r="EA205" s="520"/>
      <c r="EB205" s="520"/>
      <c r="EC205" s="520"/>
      <c r="ED205" s="520"/>
      <c r="EE205" s="520"/>
      <c r="EF205" s="520"/>
      <c r="EG205" s="520"/>
      <c r="EH205" s="520"/>
      <c r="EI205" s="520"/>
      <c r="EJ205" s="520"/>
      <c r="EK205" s="520"/>
      <c r="EL205" s="520"/>
      <c r="EM205" s="520"/>
      <c r="EN205" s="520"/>
      <c r="EO205" s="520"/>
      <c r="EP205" s="520"/>
      <c r="EQ205" s="520"/>
      <c r="ER205" s="520"/>
      <c r="ES205" s="520"/>
      <c r="ET205" s="520"/>
      <c r="EU205" s="520"/>
      <c r="EV205" s="520"/>
      <c r="EW205" s="520"/>
      <c r="EX205" s="520"/>
      <c r="EY205" s="520"/>
      <c r="EZ205" s="123"/>
      <c r="FA205" s="50"/>
      <c r="FB205" s="51"/>
    </row>
    <row r="206" spans="1:158" ht="9" customHeight="1">
      <c r="A206" s="49"/>
      <c r="B206" s="81"/>
      <c r="C206" s="50"/>
      <c r="D206" s="50"/>
      <c r="E206" s="555"/>
      <c r="F206" s="555"/>
      <c r="G206" s="555"/>
      <c r="H206" s="555"/>
      <c r="I206" s="555"/>
      <c r="J206" s="555"/>
      <c r="K206" s="555"/>
      <c r="L206" s="555"/>
      <c r="M206" s="555"/>
      <c r="N206" s="555"/>
      <c r="O206" s="555"/>
      <c r="P206" s="555"/>
      <c r="Q206" s="555"/>
      <c r="R206" s="555"/>
      <c r="S206" s="555"/>
      <c r="T206" s="555"/>
      <c r="U206" s="555"/>
      <c r="V206" s="555"/>
      <c r="W206" s="555"/>
      <c r="X206" s="555"/>
      <c r="Y206" s="555"/>
      <c r="Z206" s="555"/>
      <c r="AA206" s="555"/>
      <c r="AB206" s="555"/>
      <c r="AC206" s="555"/>
      <c r="AD206" s="555"/>
      <c r="AE206" s="555"/>
      <c r="AF206" s="555"/>
      <c r="AG206" s="555"/>
      <c r="AH206" s="555"/>
      <c r="AI206" s="555"/>
      <c r="AJ206" s="555"/>
      <c r="AK206" s="555"/>
      <c r="AL206" s="555"/>
      <c r="AM206" s="555"/>
      <c r="AN206" s="555"/>
      <c r="AO206" s="555"/>
      <c r="AP206" s="555"/>
      <c r="AQ206" s="555"/>
      <c r="AR206" s="555"/>
      <c r="AS206" s="555"/>
      <c r="AT206" s="555"/>
      <c r="AU206" s="555"/>
      <c r="AV206" s="555"/>
      <c r="AW206" s="555"/>
      <c r="AX206" s="555"/>
      <c r="AY206" s="555"/>
      <c r="AZ206" s="555"/>
      <c r="BA206" s="555"/>
      <c r="BB206" s="555"/>
      <c r="BC206" s="555"/>
      <c r="BD206" s="555"/>
      <c r="BE206" s="555"/>
      <c r="BF206" s="555"/>
      <c r="BG206" s="555"/>
      <c r="BH206" s="555"/>
      <c r="BI206" s="555"/>
      <c r="BJ206" s="555"/>
      <c r="BK206" s="555"/>
      <c r="BL206" s="555"/>
      <c r="BM206" s="555"/>
      <c r="BN206" s="555"/>
      <c r="BO206" s="555"/>
      <c r="BP206" s="555"/>
      <c r="BQ206" s="555"/>
      <c r="BR206" s="555"/>
      <c r="BS206" s="555"/>
      <c r="BT206" s="555"/>
      <c r="BU206" s="555"/>
      <c r="BV206" s="555"/>
      <c r="BW206" s="555"/>
      <c r="BX206" s="555"/>
      <c r="BY206" s="555"/>
      <c r="BZ206" s="555"/>
      <c r="CA206" s="555"/>
      <c r="CB206" s="555"/>
      <c r="CC206" s="555"/>
      <c r="CD206" s="555"/>
      <c r="CE206" s="555"/>
      <c r="CF206" s="555"/>
      <c r="CG206" s="555"/>
      <c r="CH206" s="555"/>
      <c r="CI206" s="555"/>
      <c r="CJ206" s="555"/>
      <c r="CK206" s="555"/>
      <c r="CL206" s="555"/>
      <c r="CM206" s="555"/>
      <c r="CN206" s="555"/>
      <c r="CO206" s="555"/>
      <c r="CP206" s="555"/>
      <c r="CQ206" s="555"/>
      <c r="CR206" s="555"/>
      <c r="CS206" s="555"/>
      <c r="CT206" s="555"/>
      <c r="CU206" s="555"/>
      <c r="CV206" s="555"/>
      <c r="CW206" s="555"/>
      <c r="CX206" s="555"/>
      <c r="CY206" s="555"/>
      <c r="CZ206" s="555"/>
      <c r="DA206" s="555"/>
      <c r="DB206" s="555"/>
      <c r="DC206" s="555"/>
      <c r="DD206" s="555"/>
      <c r="DE206" s="555"/>
      <c r="DF206" s="555"/>
      <c r="DG206" s="555"/>
      <c r="DH206" s="555"/>
      <c r="DI206" s="555"/>
      <c r="DJ206" s="50"/>
      <c r="DK206" s="50"/>
      <c r="DL206" s="81"/>
      <c r="DM206" s="50"/>
      <c r="DN206" s="50"/>
      <c r="DO206" s="122"/>
      <c r="DP206" s="521"/>
      <c r="DQ206" s="521"/>
      <c r="DR206" s="521"/>
      <c r="DS206" s="521"/>
      <c r="DT206" s="521"/>
      <c r="DU206" s="521"/>
      <c r="DV206" s="521"/>
      <c r="DW206" s="521"/>
      <c r="DX206" s="521"/>
      <c r="DY206" s="521"/>
      <c r="DZ206" s="521"/>
      <c r="EA206" s="521"/>
      <c r="EB206" s="521"/>
      <c r="EC206" s="521"/>
      <c r="ED206" s="521"/>
      <c r="EE206" s="521"/>
      <c r="EF206" s="521"/>
      <c r="EG206" s="521"/>
      <c r="EH206" s="521"/>
      <c r="EI206" s="521"/>
      <c r="EJ206" s="521"/>
      <c r="EK206" s="521"/>
      <c r="EL206" s="521"/>
      <c r="EM206" s="521"/>
      <c r="EN206" s="521"/>
      <c r="EO206" s="521"/>
      <c r="EP206" s="521"/>
      <c r="EQ206" s="521"/>
      <c r="ER206" s="521"/>
      <c r="ES206" s="521"/>
      <c r="ET206" s="521"/>
      <c r="EU206" s="521"/>
      <c r="EV206" s="521"/>
      <c r="EW206" s="521"/>
      <c r="EX206" s="521"/>
      <c r="EY206" s="521"/>
      <c r="EZ206" s="123"/>
      <c r="FA206" s="50"/>
      <c r="FB206" s="51"/>
    </row>
    <row r="207" spans="1:158" ht="9" customHeight="1">
      <c r="A207" s="49"/>
      <c r="B207" s="81"/>
      <c r="C207" s="50"/>
      <c r="D207" s="50"/>
      <c r="E207" s="555"/>
      <c r="F207" s="555"/>
      <c r="G207" s="555"/>
      <c r="H207" s="555"/>
      <c r="I207" s="555"/>
      <c r="J207" s="555"/>
      <c r="K207" s="555"/>
      <c r="L207" s="555"/>
      <c r="M207" s="555"/>
      <c r="N207" s="555"/>
      <c r="O207" s="555"/>
      <c r="P207" s="555"/>
      <c r="Q207" s="555"/>
      <c r="R207" s="555"/>
      <c r="S207" s="555"/>
      <c r="T207" s="555"/>
      <c r="U207" s="555"/>
      <c r="V207" s="555"/>
      <c r="W207" s="555"/>
      <c r="X207" s="555"/>
      <c r="Y207" s="555"/>
      <c r="Z207" s="555"/>
      <c r="AA207" s="555"/>
      <c r="AB207" s="555"/>
      <c r="AC207" s="555"/>
      <c r="AD207" s="555"/>
      <c r="AE207" s="555"/>
      <c r="AF207" s="555"/>
      <c r="AG207" s="555"/>
      <c r="AH207" s="555"/>
      <c r="AI207" s="555"/>
      <c r="AJ207" s="555"/>
      <c r="AK207" s="555"/>
      <c r="AL207" s="555"/>
      <c r="AM207" s="555"/>
      <c r="AN207" s="555"/>
      <c r="AO207" s="555"/>
      <c r="AP207" s="555"/>
      <c r="AQ207" s="555"/>
      <c r="AR207" s="555"/>
      <c r="AS207" s="555"/>
      <c r="AT207" s="555"/>
      <c r="AU207" s="555"/>
      <c r="AV207" s="555"/>
      <c r="AW207" s="555"/>
      <c r="AX207" s="555"/>
      <c r="AY207" s="555"/>
      <c r="AZ207" s="555"/>
      <c r="BA207" s="555"/>
      <c r="BB207" s="555"/>
      <c r="BC207" s="555"/>
      <c r="BD207" s="555"/>
      <c r="BE207" s="555"/>
      <c r="BF207" s="555"/>
      <c r="BG207" s="555"/>
      <c r="BH207" s="555"/>
      <c r="BI207" s="555"/>
      <c r="BJ207" s="555"/>
      <c r="BK207" s="555"/>
      <c r="BL207" s="555"/>
      <c r="BM207" s="555"/>
      <c r="BN207" s="555"/>
      <c r="BO207" s="555"/>
      <c r="BP207" s="555"/>
      <c r="BQ207" s="555"/>
      <c r="BR207" s="555"/>
      <c r="BS207" s="555"/>
      <c r="BT207" s="555"/>
      <c r="BU207" s="555"/>
      <c r="BV207" s="555"/>
      <c r="BW207" s="555"/>
      <c r="BX207" s="555"/>
      <c r="BY207" s="555"/>
      <c r="BZ207" s="555"/>
      <c r="CA207" s="555"/>
      <c r="CB207" s="555"/>
      <c r="CC207" s="555"/>
      <c r="CD207" s="555"/>
      <c r="CE207" s="555"/>
      <c r="CF207" s="555"/>
      <c r="CG207" s="555"/>
      <c r="CH207" s="555"/>
      <c r="CI207" s="555"/>
      <c r="CJ207" s="555"/>
      <c r="CK207" s="555"/>
      <c r="CL207" s="555"/>
      <c r="CM207" s="555"/>
      <c r="CN207" s="555"/>
      <c r="CO207" s="555"/>
      <c r="CP207" s="555"/>
      <c r="CQ207" s="555"/>
      <c r="CR207" s="555"/>
      <c r="CS207" s="555"/>
      <c r="CT207" s="555"/>
      <c r="CU207" s="555"/>
      <c r="CV207" s="555"/>
      <c r="CW207" s="555"/>
      <c r="CX207" s="555"/>
      <c r="CY207" s="555"/>
      <c r="CZ207" s="555"/>
      <c r="DA207" s="555"/>
      <c r="DB207" s="555"/>
      <c r="DC207" s="555"/>
      <c r="DD207" s="555"/>
      <c r="DE207" s="555"/>
      <c r="DF207" s="555"/>
      <c r="DG207" s="555"/>
      <c r="DH207" s="555"/>
      <c r="DI207" s="555"/>
      <c r="DJ207" s="50"/>
      <c r="DK207" s="50"/>
      <c r="DL207" s="81"/>
      <c r="DM207" s="50"/>
      <c r="DN207" s="50"/>
      <c r="DO207" s="122"/>
      <c r="DP207" s="520" t="str">
        <f>IF(Skills!X21="","","Persuasion "&amp;IF(Skills!X21&lt;0,"-","+")&amp;Skills!X21)</f>
        <v>Persuasion +16</v>
      </c>
      <c r="DQ207" s="520"/>
      <c r="DR207" s="520"/>
      <c r="DS207" s="520"/>
      <c r="DT207" s="520"/>
      <c r="DU207" s="520"/>
      <c r="DV207" s="520"/>
      <c r="DW207" s="520"/>
      <c r="DX207" s="520"/>
      <c r="DY207" s="520"/>
      <c r="DZ207" s="520"/>
      <c r="EA207" s="520"/>
      <c r="EB207" s="520"/>
      <c r="EC207" s="520"/>
      <c r="ED207" s="520"/>
      <c r="EE207" s="520"/>
      <c r="EF207" s="520"/>
      <c r="EG207" s="520"/>
      <c r="EH207" s="520"/>
      <c r="EI207" s="520"/>
      <c r="EJ207" s="520"/>
      <c r="EK207" s="520"/>
      <c r="EL207" s="520"/>
      <c r="EM207" s="520"/>
      <c r="EN207" s="520"/>
      <c r="EO207" s="520"/>
      <c r="EP207" s="520"/>
      <c r="EQ207" s="520"/>
      <c r="ER207" s="520"/>
      <c r="ES207" s="520"/>
      <c r="ET207" s="520"/>
      <c r="EU207" s="520"/>
      <c r="EV207" s="520"/>
      <c r="EW207" s="520"/>
      <c r="EX207" s="520"/>
      <c r="EY207" s="520"/>
      <c r="EZ207" s="123"/>
      <c r="FA207" s="50"/>
      <c r="FB207" s="51"/>
    </row>
    <row r="208" spans="1:158" ht="9" customHeight="1">
      <c r="A208" s="49"/>
      <c r="B208" s="81"/>
      <c r="C208" s="50"/>
      <c r="D208" s="50"/>
      <c r="E208" s="555"/>
      <c r="F208" s="555"/>
      <c r="G208" s="555"/>
      <c r="H208" s="555"/>
      <c r="I208" s="555"/>
      <c r="J208" s="555"/>
      <c r="K208" s="555"/>
      <c r="L208" s="555"/>
      <c r="M208" s="555"/>
      <c r="N208" s="555"/>
      <c r="O208" s="555"/>
      <c r="P208" s="555"/>
      <c r="Q208" s="555"/>
      <c r="R208" s="555"/>
      <c r="S208" s="555"/>
      <c r="T208" s="555"/>
      <c r="U208" s="555"/>
      <c r="V208" s="555"/>
      <c r="W208" s="555"/>
      <c r="X208" s="555"/>
      <c r="Y208" s="555"/>
      <c r="Z208" s="555"/>
      <c r="AA208" s="555"/>
      <c r="AB208" s="555"/>
      <c r="AC208" s="555"/>
      <c r="AD208" s="555"/>
      <c r="AE208" s="555"/>
      <c r="AF208" s="555"/>
      <c r="AG208" s="555"/>
      <c r="AH208" s="555"/>
      <c r="AI208" s="555"/>
      <c r="AJ208" s="555"/>
      <c r="AK208" s="555"/>
      <c r="AL208" s="555"/>
      <c r="AM208" s="555"/>
      <c r="AN208" s="555"/>
      <c r="AO208" s="555"/>
      <c r="AP208" s="555"/>
      <c r="AQ208" s="555"/>
      <c r="AR208" s="555"/>
      <c r="AS208" s="555"/>
      <c r="AT208" s="555"/>
      <c r="AU208" s="555"/>
      <c r="AV208" s="555"/>
      <c r="AW208" s="555"/>
      <c r="AX208" s="555"/>
      <c r="AY208" s="555"/>
      <c r="AZ208" s="555"/>
      <c r="BA208" s="555"/>
      <c r="BB208" s="555"/>
      <c r="BC208" s="555"/>
      <c r="BD208" s="555"/>
      <c r="BE208" s="555"/>
      <c r="BF208" s="555"/>
      <c r="BG208" s="555"/>
      <c r="BH208" s="555"/>
      <c r="BI208" s="555"/>
      <c r="BJ208" s="555"/>
      <c r="BK208" s="555"/>
      <c r="BL208" s="555"/>
      <c r="BM208" s="555"/>
      <c r="BN208" s="555"/>
      <c r="BO208" s="555"/>
      <c r="BP208" s="555"/>
      <c r="BQ208" s="555"/>
      <c r="BR208" s="555"/>
      <c r="BS208" s="555"/>
      <c r="BT208" s="555"/>
      <c r="BU208" s="555"/>
      <c r="BV208" s="555"/>
      <c r="BW208" s="555"/>
      <c r="BX208" s="555"/>
      <c r="BY208" s="555"/>
      <c r="BZ208" s="555"/>
      <c r="CA208" s="555"/>
      <c r="CB208" s="555"/>
      <c r="CC208" s="555"/>
      <c r="CD208" s="555"/>
      <c r="CE208" s="555"/>
      <c r="CF208" s="555"/>
      <c r="CG208" s="555"/>
      <c r="CH208" s="555"/>
      <c r="CI208" s="555"/>
      <c r="CJ208" s="555"/>
      <c r="CK208" s="555"/>
      <c r="CL208" s="555"/>
      <c r="CM208" s="555"/>
      <c r="CN208" s="555"/>
      <c r="CO208" s="555"/>
      <c r="CP208" s="555"/>
      <c r="CQ208" s="555"/>
      <c r="CR208" s="555"/>
      <c r="CS208" s="555"/>
      <c r="CT208" s="555"/>
      <c r="CU208" s="555"/>
      <c r="CV208" s="555"/>
      <c r="CW208" s="555"/>
      <c r="CX208" s="555"/>
      <c r="CY208" s="555"/>
      <c r="CZ208" s="555"/>
      <c r="DA208" s="555"/>
      <c r="DB208" s="555"/>
      <c r="DC208" s="555"/>
      <c r="DD208" s="555"/>
      <c r="DE208" s="555"/>
      <c r="DF208" s="555"/>
      <c r="DG208" s="555"/>
      <c r="DH208" s="555"/>
      <c r="DI208" s="555"/>
      <c r="DJ208" s="50"/>
      <c r="DK208" s="50"/>
      <c r="DL208" s="81"/>
      <c r="DM208" s="50"/>
      <c r="DN208" s="50"/>
      <c r="DO208" s="122"/>
      <c r="DP208" s="520"/>
      <c r="DQ208" s="520"/>
      <c r="DR208" s="520"/>
      <c r="DS208" s="520"/>
      <c r="DT208" s="520"/>
      <c r="DU208" s="520"/>
      <c r="DV208" s="520"/>
      <c r="DW208" s="520"/>
      <c r="DX208" s="520"/>
      <c r="DY208" s="520"/>
      <c r="DZ208" s="520"/>
      <c r="EA208" s="520"/>
      <c r="EB208" s="520"/>
      <c r="EC208" s="520"/>
      <c r="ED208" s="520"/>
      <c r="EE208" s="520"/>
      <c r="EF208" s="520"/>
      <c r="EG208" s="520"/>
      <c r="EH208" s="520"/>
      <c r="EI208" s="520"/>
      <c r="EJ208" s="520"/>
      <c r="EK208" s="520"/>
      <c r="EL208" s="520"/>
      <c r="EM208" s="520"/>
      <c r="EN208" s="520"/>
      <c r="EO208" s="520"/>
      <c r="EP208" s="520"/>
      <c r="EQ208" s="520"/>
      <c r="ER208" s="520"/>
      <c r="ES208" s="520"/>
      <c r="ET208" s="520"/>
      <c r="EU208" s="520"/>
      <c r="EV208" s="520"/>
      <c r="EW208" s="520"/>
      <c r="EX208" s="520"/>
      <c r="EY208" s="520"/>
      <c r="EZ208" s="123"/>
      <c r="FA208" s="50"/>
      <c r="FB208" s="51"/>
    </row>
    <row r="209" spans="1:158" ht="9" customHeight="1">
      <c r="A209" s="49"/>
      <c r="B209" s="81"/>
      <c r="C209" s="50"/>
      <c r="D209" s="50"/>
      <c r="E209" s="555"/>
      <c r="F209" s="555"/>
      <c r="G209" s="555"/>
      <c r="H209" s="555"/>
      <c r="I209" s="555"/>
      <c r="J209" s="555"/>
      <c r="K209" s="555"/>
      <c r="L209" s="555"/>
      <c r="M209" s="555"/>
      <c r="N209" s="555"/>
      <c r="O209" s="555"/>
      <c r="P209" s="555"/>
      <c r="Q209" s="555"/>
      <c r="R209" s="555"/>
      <c r="S209" s="555"/>
      <c r="T209" s="555"/>
      <c r="U209" s="555"/>
      <c r="V209" s="555"/>
      <c r="W209" s="555"/>
      <c r="X209" s="555"/>
      <c r="Y209" s="555"/>
      <c r="Z209" s="555"/>
      <c r="AA209" s="555"/>
      <c r="AB209" s="555"/>
      <c r="AC209" s="555"/>
      <c r="AD209" s="555"/>
      <c r="AE209" s="555"/>
      <c r="AF209" s="555"/>
      <c r="AG209" s="555"/>
      <c r="AH209" s="555"/>
      <c r="AI209" s="555"/>
      <c r="AJ209" s="555"/>
      <c r="AK209" s="555"/>
      <c r="AL209" s="555"/>
      <c r="AM209" s="555"/>
      <c r="AN209" s="555"/>
      <c r="AO209" s="555"/>
      <c r="AP209" s="555"/>
      <c r="AQ209" s="555"/>
      <c r="AR209" s="555"/>
      <c r="AS209" s="555"/>
      <c r="AT209" s="555"/>
      <c r="AU209" s="555"/>
      <c r="AV209" s="555"/>
      <c r="AW209" s="555"/>
      <c r="AX209" s="555"/>
      <c r="AY209" s="555"/>
      <c r="AZ209" s="555"/>
      <c r="BA209" s="555"/>
      <c r="BB209" s="555"/>
      <c r="BC209" s="555"/>
      <c r="BD209" s="555"/>
      <c r="BE209" s="555"/>
      <c r="BF209" s="555"/>
      <c r="BG209" s="555"/>
      <c r="BH209" s="555"/>
      <c r="BI209" s="555"/>
      <c r="BJ209" s="555"/>
      <c r="BK209" s="555"/>
      <c r="BL209" s="555"/>
      <c r="BM209" s="555"/>
      <c r="BN209" s="555"/>
      <c r="BO209" s="555"/>
      <c r="BP209" s="555"/>
      <c r="BQ209" s="555"/>
      <c r="BR209" s="555"/>
      <c r="BS209" s="555"/>
      <c r="BT209" s="555"/>
      <c r="BU209" s="555"/>
      <c r="BV209" s="555"/>
      <c r="BW209" s="555"/>
      <c r="BX209" s="555"/>
      <c r="BY209" s="555"/>
      <c r="BZ209" s="555"/>
      <c r="CA209" s="555"/>
      <c r="CB209" s="555"/>
      <c r="CC209" s="555"/>
      <c r="CD209" s="555"/>
      <c r="CE209" s="555"/>
      <c r="CF209" s="555"/>
      <c r="CG209" s="555"/>
      <c r="CH209" s="555"/>
      <c r="CI209" s="555"/>
      <c r="CJ209" s="555"/>
      <c r="CK209" s="555"/>
      <c r="CL209" s="555"/>
      <c r="CM209" s="555"/>
      <c r="CN209" s="555"/>
      <c r="CO209" s="555"/>
      <c r="CP209" s="555"/>
      <c r="CQ209" s="555"/>
      <c r="CR209" s="555"/>
      <c r="CS209" s="555"/>
      <c r="CT209" s="555"/>
      <c r="CU209" s="555"/>
      <c r="CV209" s="555"/>
      <c r="CW209" s="555"/>
      <c r="CX209" s="555"/>
      <c r="CY209" s="555"/>
      <c r="CZ209" s="555"/>
      <c r="DA209" s="555"/>
      <c r="DB209" s="555"/>
      <c r="DC209" s="555"/>
      <c r="DD209" s="555"/>
      <c r="DE209" s="555"/>
      <c r="DF209" s="555"/>
      <c r="DG209" s="555"/>
      <c r="DH209" s="555"/>
      <c r="DI209" s="555"/>
      <c r="DJ209" s="50"/>
      <c r="DK209" s="50"/>
      <c r="DL209" s="81"/>
      <c r="DM209" s="50"/>
      <c r="DN209" s="50"/>
      <c r="DO209" s="122"/>
      <c r="DP209" s="520"/>
      <c r="DQ209" s="520"/>
      <c r="DR209" s="520"/>
      <c r="DS209" s="520"/>
      <c r="DT209" s="520"/>
      <c r="DU209" s="520"/>
      <c r="DV209" s="520"/>
      <c r="DW209" s="520"/>
      <c r="DX209" s="520"/>
      <c r="DY209" s="520"/>
      <c r="DZ209" s="520"/>
      <c r="EA209" s="520"/>
      <c r="EB209" s="520"/>
      <c r="EC209" s="520"/>
      <c r="ED209" s="520"/>
      <c r="EE209" s="520"/>
      <c r="EF209" s="520"/>
      <c r="EG209" s="520"/>
      <c r="EH209" s="520"/>
      <c r="EI209" s="520"/>
      <c r="EJ209" s="520"/>
      <c r="EK209" s="520"/>
      <c r="EL209" s="520"/>
      <c r="EM209" s="520"/>
      <c r="EN209" s="520"/>
      <c r="EO209" s="520"/>
      <c r="EP209" s="520"/>
      <c r="EQ209" s="520"/>
      <c r="ER209" s="520"/>
      <c r="ES209" s="520"/>
      <c r="ET209" s="520"/>
      <c r="EU209" s="520"/>
      <c r="EV209" s="520"/>
      <c r="EW209" s="520"/>
      <c r="EX209" s="520"/>
      <c r="EY209" s="520"/>
      <c r="EZ209" s="123"/>
      <c r="FA209" s="50"/>
      <c r="FB209" s="51"/>
    </row>
    <row r="210" spans="1:158" ht="9" customHeight="1">
      <c r="A210" s="49"/>
      <c r="B210" s="81"/>
      <c r="C210" s="50"/>
      <c r="D210" s="50"/>
      <c r="E210" s="555"/>
      <c r="F210" s="555"/>
      <c r="G210" s="555"/>
      <c r="H210" s="555"/>
      <c r="I210" s="555"/>
      <c r="J210" s="555"/>
      <c r="K210" s="555"/>
      <c r="L210" s="555"/>
      <c r="M210" s="555"/>
      <c r="N210" s="555"/>
      <c r="O210" s="555"/>
      <c r="P210" s="555"/>
      <c r="Q210" s="555"/>
      <c r="R210" s="555"/>
      <c r="S210" s="555"/>
      <c r="T210" s="555"/>
      <c r="U210" s="555"/>
      <c r="V210" s="555"/>
      <c r="W210" s="555"/>
      <c r="X210" s="555"/>
      <c r="Y210" s="555"/>
      <c r="Z210" s="555"/>
      <c r="AA210" s="555"/>
      <c r="AB210" s="555"/>
      <c r="AC210" s="555"/>
      <c r="AD210" s="555"/>
      <c r="AE210" s="555"/>
      <c r="AF210" s="555"/>
      <c r="AG210" s="555"/>
      <c r="AH210" s="555"/>
      <c r="AI210" s="555"/>
      <c r="AJ210" s="555"/>
      <c r="AK210" s="555"/>
      <c r="AL210" s="555"/>
      <c r="AM210" s="555"/>
      <c r="AN210" s="555"/>
      <c r="AO210" s="555"/>
      <c r="AP210" s="555"/>
      <c r="AQ210" s="555"/>
      <c r="AR210" s="555"/>
      <c r="AS210" s="555"/>
      <c r="AT210" s="555"/>
      <c r="AU210" s="555"/>
      <c r="AV210" s="555"/>
      <c r="AW210" s="555"/>
      <c r="AX210" s="555"/>
      <c r="AY210" s="555"/>
      <c r="AZ210" s="555"/>
      <c r="BA210" s="555"/>
      <c r="BB210" s="555"/>
      <c r="BC210" s="555"/>
      <c r="BD210" s="555"/>
      <c r="BE210" s="555"/>
      <c r="BF210" s="555"/>
      <c r="BG210" s="555"/>
      <c r="BH210" s="555"/>
      <c r="BI210" s="555"/>
      <c r="BJ210" s="555"/>
      <c r="BK210" s="555"/>
      <c r="BL210" s="555"/>
      <c r="BM210" s="555"/>
      <c r="BN210" s="555"/>
      <c r="BO210" s="555"/>
      <c r="BP210" s="555"/>
      <c r="BQ210" s="555"/>
      <c r="BR210" s="555"/>
      <c r="BS210" s="555"/>
      <c r="BT210" s="555"/>
      <c r="BU210" s="555"/>
      <c r="BV210" s="555"/>
      <c r="BW210" s="555"/>
      <c r="BX210" s="555"/>
      <c r="BY210" s="555"/>
      <c r="BZ210" s="555"/>
      <c r="CA210" s="555"/>
      <c r="CB210" s="555"/>
      <c r="CC210" s="555"/>
      <c r="CD210" s="555"/>
      <c r="CE210" s="555"/>
      <c r="CF210" s="555"/>
      <c r="CG210" s="555"/>
      <c r="CH210" s="555"/>
      <c r="CI210" s="555"/>
      <c r="CJ210" s="555"/>
      <c r="CK210" s="555"/>
      <c r="CL210" s="555"/>
      <c r="CM210" s="555"/>
      <c r="CN210" s="555"/>
      <c r="CO210" s="555"/>
      <c r="CP210" s="555"/>
      <c r="CQ210" s="555"/>
      <c r="CR210" s="555"/>
      <c r="CS210" s="555"/>
      <c r="CT210" s="555"/>
      <c r="CU210" s="555"/>
      <c r="CV210" s="555"/>
      <c r="CW210" s="555"/>
      <c r="CX210" s="555"/>
      <c r="CY210" s="555"/>
      <c r="CZ210" s="555"/>
      <c r="DA210" s="555"/>
      <c r="DB210" s="555"/>
      <c r="DC210" s="555"/>
      <c r="DD210" s="555"/>
      <c r="DE210" s="555"/>
      <c r="DF210" s="555"/>
      <c r="DG210" s="555"/>
      <c r="DH210" s="555"/>
      <c r="DI210" s="555"/>
      <c r="DJ210" s="50"/>
      <c r="DK210" s="50"/>
      <c r="DL210" s="81"/>
      <c r="DM210" s="50"/>
      <c r="DN210" s="50"/>
      <c r="DO210" s="122"/>
      <c r="DP210" s="521"/>
      <c r="DQ210" s="521"/>
      <c r="DR210" s="521"/>
      <c r="DS210" s="521"/>
      <c r="DT210" s="521"/>
      <c r="DU210" s="521"/>
      <c r="DV210" s="521"/>
      <c r="DW210" s="521"/>
      <c r="DX210" s="521"/>
      <c r="DY210" s="521"/>
      <c r="DZ210" s="521"/>
      <c r="EA210" s="521"/>
      <c r="EB210" s="521"/>
      <c r="EC210" s="521"/>
      <c r="ED210" s="521"/>
      <c r="EE210" s="521"/>
      <c r="EF210" s="521"/>
      <c r="EG210" s="521"/>
      <c r="EH210" s="521"/>
      <c r="EI210" s="521"/>
      <c r="EJ210" s="521"/>
      <c r="EK210" s="521"/>
      <c r="EL210" s="521"/>
      <c r="EM210" s="521"/>
      <c r="EN210" s="521"/>
      <c r="EO210" s="521"/>
      <c r="EP210" s="521"/>
      <c r="EQ210" s="521"/>
      <c r="ER210" s="521"/>
      <c r="ES210" s="521"/>
      <c r="ET210" s="521"/>
      <c r="EU210" s="521"/>
      <c r="EV210" s="521"/>
      <c r="EW210" s="521"/>
      <c r="EX210" s="521"/>
      <c r="EY210" s="521"/>
      <c r="EZ210" s="123"/>
      <c r="FA210" s="50"/>
      <c r="FB210" s="51"/>
    </row>
    <row r="211" spans="1:158" ht="9" customHeight="1">
      <c r="A211" s="49"/>
      <c r="B211" s="81"/>
      <c r="C211" s="50"/>
      <c r="D211" s="50"/>
      <c r="E211" s="555"/>
      <c r="F211" s="555"/>
      <c r="G211" s="555"/>
      <c r="H211" s="555"/>
      <c r="I211" s="555"/>
      <c r="J211" s="555"/>
      <c r="K211" s="555"/>
      <c r="L211" s="555"/>
      <c r="M211" s="555"/>
      <c r="N211" s="555"/>
      <c r="O211" s="555"/>
      <c r="P211" s="555"/>
      <c r="Q211" s="555"/>
      <c r="R211" s="555"/>
      <c r="S211" s="555"/>
      <c r="T211" s="555"/>
      <c r="U211" s="555"/>
      <c r="V211" s="555"/>
      <c r="W211" s="555"/>
      <c r="X211" s="555"/>
      <c r="Y211" s="555"/>
      <c r="Z211" s="555"/>
      <c r="AA211" s="555"/>
      <c r="AB211" s="555"/>
      <c r="AC211" s="555"/>
      <c r="AD211" s="555"/>
      <c r="AE211" s="555"/>
      <c r="AF211" s="555"/>
      <c r="AG211" s="555"/>
      <c r="AH211" s="555"/>
      <c r="AI211" s="555"/>
      <c r="AJ211" s="555"/>
      <c r="AK211" s="555"/>
      <c r="AL211" s="555"/>
      <c r="AM211" s="555"/>
      <c r="AN211" s="555"/>
      <c r="AO211" s="555"/>
      <c r="AP211" s="555"/>
      <c r="AQ211" s="555"/>
      <c r="AR211" s="555"/>
      <c r="AS211" s="555"/>
      <c r="AT211" s="555"/>
      <c r="AU211" s="555"/>
      <c r="AV211" s="555"/>
      <c r="AW211" s="555"/>
      <c r="AX211" s="555"/>
      <c r="AY211" s="555"/>
      <c r="AZ211" s="555"/>
      <c r="BA211" s="555"/>
      <c r="BB211" s="555"/>
      <c r="BC211" s="555"/>
      <c r="BD211" s="555"/>
      <c r="BE211" s="555"/>
      <c r="BF211" s="555"/>
      <c r="BG211" s="555"/>
      <c r="BH211" s="555"/>
      <c r="BI211" s="555"/>
      <c r="BJ211" s="555"/>
      <c r="BK211" s="555"/>
      <c r="BL211" s="555"/>
      <c r="BM211" s="555"/>
      <c r="BN211" s="555"/>
      <c r="BO211" s="555"/>
      <c r="BP211" s="555"/>
      <c r="BQ211" s="555"/>
      <c r="BR211" s="555"/>
      <c r="BS211" s="555"/>
      <c r="BT211" s="555"/>
      <c r="BU211" s="555"/>
      <c r="BV211" s="555"/>
      <c r="BW211" s="555"/>
      <c r="BX211" s="555"/>
      <c r="BY211" s="555"/>
      <c r="BZ211" s="555"/>
      <c r="CA211" s="555"/>
      <c r="CB211" s="555"/>
      <c r="CC211" s="555"/>
      <c r="CD211" s="555"/>
      <c r="CE211" s="555"/>
      <c r="CF211" s="555"/>
      <c r="CG211" s="555"/>
      <c r="CH211" s="555"/>
      <c r="CI211" s="555"/>
      <c r="CJ211" s="555"/>
      <c r="CK211" s="555"/>
      <c r="CL211" s="555"/>
      <c r="CM211" s="555"/>
      <c r="CN211" s="555"/>
      <c r="CO211" s="555"/>
      <c r="CP211" s="555"/>
      <c r="CQ211" s="555"/>
      <c r="CR211" s="555"/>
      <c r="CS211" s="555"/>
      <c r="CT211" s="555"/>
      <c r="CU211" s="555"/>
      <c r="CV211" s="555"/>
      <c r="CW211" s="555"/>
      <c r="CX211" s="555"/>
      <c r="CY211" s="555"/>
      <c r="CZ211" s="555"/>
      <c r="DA211" s="555"/>
      <c r="DB211" s="555"/>
      <c r="DC211" s="555"/>
      <c r="DD211" s="555"/>
      <c r="DE211" s="555"/>
      <c r="DF211" s="555"/>
      <c r="DG211" s="555"/>
      <c r="DH211" s="555"/>
      <c r="DI211" s="555"/>
      <c r="DJ211" s="50"/>
      <c r="DK211" s="50"/>
      <c r="DL211" s="81"/>
      <c r="DM211" s="50"/>
      <c r="DN211" s="50"/>
      <c r="DO211" s="122"/>
      <c r="DP211" s="520" t="str">
        <f>IF(Skills!AB22="","","Rng Combat ["&amp;Skills!AB22&amp;"] "&amp;IF(Skills!X22&lt;0,"-","+")&amp;Skills!X22)</f>
        <v>Rng Combat [firearms] +9</v>
      </c>
      <c r="DQ211" s="520"/>
      <c r="DR211" s="520"/>
      <c r="DS211" s="520"/>
      <c r="DT211" s="520"/>
      <c r="DU211" s="520"/>
      <c r="DV211" s="520"/>
      <c r="DW211" s="520"/>
      <c r="DX211" s="520"/>
      <c r="DY211" s="520"/>
      <c r="DZ211" s="520"/>
      <c r="EA211" s="520"/>
      <c r="EB211" s="520"/>
      <c r="EC211" s="520"/>
      <c r="ED211" s="520"/>
      <c r="EE211" s="520"/>
      <c r="EF211" s="520"/>
      <c r="EG211" s="520"/>
      <c r="EH211" s="520"/>
      <c r="EI211" s="520"/>
      <c r="EJ211" s="520"/>
      <c r="EK211" s="520"/>
      <c r="EL211" s="520"/>
      <c r="EM211" s="520"/>
      <c r="EN211" s="520"/>
      <c r="EO211" s="520"/>
      <c r="EP211" s="520"/>
      <c r="EQ211" s="520"/>
      <c r="ER211" s="520"/>
      <c r="ES211" s="520"/>
      <c r="ET211" s="520"/>
      <c r="EU211" s="520"/>
      <c r="EV211" s="520"/>
      <c r="EW211" s="520"/>
      <c r="EX211" s="520"/>
      <c r="EY211" s="520"/>
      <c r="EZ211" s="123"/>
      <c r="FA211" s="50"/>
      <c r="FB211" s="51"/>
    </row>
    <row r="212" spans="1:158" ht="9" customHeight="1">
      <c r="A212" s="49"/>
      <c r="B212" s="81"/>
      <c r="C212" s="50"/>
      <c r="D212" s="50"/>
      <c r="E212" s="555"/>
      <c r="F212" s="555"/>
      <c r="G212" s="555"/>
      <c r="H212" s="555"/>
      <c r="I212" s="555"/>
      <c r="J212" s="555"/>
      <c r="K212" s="555"/>
      <c r="L212" s="555"/>
      <c r="M212" s="555"/>
      <c r="N212" s="555"/>
      <c r="O212" s="555"/>
      <c r="P212" s="555"/>
      <c r="Q212" s="555"/>
      <c r="R212" s="555"/>
      <c r="S212" s="555"/>
      <c r="T212" s="555"/>
      <c r="U212" s="555"/>
      <c r="V212" s="555"/>
      <c r="W212" s="555"/>
      <c r="X212" s="555"/>
      <c r="Y212" s="555"/>
      <c r="Z212" s="555"/>
      <c r="AA212" s="555"/>
      <c r="AB212" s="555"/>
      <c r="AC212" s="555"/>
      <c r="AD212" s="555"/>
      <c r="AE212" s="555"/>
      <c r="AF212" s="555"/>
      <c r="AG212" s="555"/>
      <c r="AH212" s="555"/>
      <c r="AI212" s="555"/>
      <c r="AJ212" s="555"/>
      <c r="AK212" s="555"/>
      <c r="AL212" s="555"/>
      <c r="AM212" s="555"/>
      <c r="AN212" s="555"/>
      <c r="AO212" s="555"/>
      <c r="AP212" s="555"/>
      <c r="AQ212" s="555"/>
      <c r="AR212" s="555"/>
      <c r="AS212" s="555"/>
      <c r="AT212" s="555"/>
      <c r="AU212" s="555"/>
      <c r="AV212" s="555"/>
      <c r="AW212" s="555"/>
      <c r="AX212" s="555"/>
      <c r="AY212" s="555"/>
      <c r="AZ212" s="555"/>
      <c r="BA212" s="555"/>
      <c r="BB212" s="555"/>
      <c r="BC212" s="555"/>
      <c r="BD212" s="555"/>
      <c r="BE212" s="555"/>
      <c r="BF212" s="555"/>
      <c r="BG212" s="555"/>
      <c r="BH212" s="555"/>
      <c r="BI212" s="555"/>
      <c r="BJ212" s="555"/>
      <c r="BK212" s="555"/>
      <c r="BL212" s="555"/>
      <c r="BM212" s="555"/>
      <c r="BN212" s="555"/>
      <c r="BO212" s="555"/>
      <c r="BP212" s="555"/>
      <c r="BQ212" s="555"/>
      <c r="BR212" s="555"/>
      <c r="BS212" s="555"/>
      <c r="BT212" s="555"/>
      <c r="BU212" s="555"/>
      <c r="BV212" s="555"/>
      <c r="BW212" s="555"/>
      <c r="BX212" s="555"/>
      <c r="BY212" s="555"/>
      <c r="BZ212" s="555"/>
      <c r="CA212" s="555"/>
      <c r="CB212" s="555"/>
      <c r="CC212" s="555"/>
      <c r="CD212" s="555"/>
      <c r="CE212" s="555"/>
      <c r="CF212" s="555"/>
      <c r="CG212" s="555"/>
      <c r="CH212" s="555"/>
      <c r="CI212" s="555"/>
      <c r="CJ212" s="555"/>
      <c r="CK212" s="555"/>
      <c r="CL212" s="555"/>
      <c r="CM212" s="555"/>
      <c r="CN212" s="555"/>
      <c r="CO212" s="555"/>
      <c r="CP212" s="555"/>
      <c r="CQ212" s="555"/>
      <c r="CR212" s="555"/>
      <c r="CS212" s="555"/>
      <c r="CT212" s="555"/>
      <c r="CU212" s="555"/>
      <c r="CV212" s="555"/>
      <c r="CW212" s="555"/>
      <c r="CX212" s="555"/>
      <c r="CY212" s="555"/>
      <c r="CZ212" s="555"/>
      <c r="DA212" s="555"/>
      <c r="DB212" s="555"/>
      <c r="DC212" s="555"/>
      <c r="DD212" s="555"/>
      <c r="DE212" s="555"/>
      <c r="DF212" s="555"/>
      <c r="DG212" s="555"/>
      <c r="DH212" s="555"/>
      <c r="DI212" s="555"/>
      <c r="DJ212" s="50"/>
      <c r="DK212" s="50"/>
      <c r="DL212" s="81"/>
      <c r="DM212" s="50"/>
      <c r="DN212" s="50"/>
      <c r="DO212" s="122"/>
      <c r="DP212" s="520"/>
      <c r="DQ212" s="520"/>
      <c r="DR212" s="520"/>
      <c r="DS212" s="520"/>
      <c r="DT212" s="520"/>
      <c r="DU212" s="520"/>
      <c r="DV212" s="520"/>
      <c r="DW212" s="520"/>
      <c r="DX212" s="520"/>
      <c r="DY212" s="520"/>
      <c r="DZ212" s="520"/>
      <c r="EA212" s="520"/>
      <c r="EB212" s="520"/>
      <c r="EC212" s="520"/>
      <c r="ED212" s="520"/>
      <c r="EE212" s="520"/>
      <c r="EF212" s="520"/>
      <c r="EG212" s="520"/>
      <c r="EH212" s="520"/>
      <c r="EI212" s="520"/>
      <c r="EJ212" s="520"/>
      <c r="EK212" s="520"/>
      <c r="EL212" s="520"/>
      <c r="EM212" s="520"/>
      <c r="EN212" s="520"/>
      <c r="EO212" s="520"/>
      <c r="EP212" s="520"/>
      <c r="EQ212" s="520"/>
      <c r="ER212" s="520"/>
      <c r="ES212" s="520"/>
      <c r="ET212" s="520"/>
      <c r="EU212" s="520"/>
      <c r="EV212" s="520"/>
      <c r="EW212" s="520"/>
      <c r="EX212" s="520"/>
      <c r="EY212" s="520"/>
      <c r="EZ212" s="123"/>
      <c r="FA212" s="50"/>
      <c r="FB212" s="51"/>
    </row>
    <row r="213" spans="1:158" ht="9" customHeight="1">
      <c r="A213" s="49"/>
      <c r="B213" s="81"/>
      <c r="C213" s="50"/>
      <c r="D213" s="50"/>
      <c r="E213" s="555"/>
      <c r="F213" s="555"/>
      <c r="G213" s="555"/>
      <c r="H213" s="555"/>
      <c r="I213" s="555"/>
      <c r="J213" s="555"/>
      <c r="K213" s="555"/>
      <c r="L213" s="555"/>
      <c r="M213" s="555"/>
      <c r="N213" s="555"/>
      <c r="O213" s="555"/>
      <c r="P213" s="555"/>
      <c r="Q213" s="555"/>
      <c r="R213" s="555"/>
      <c r="S213" s="555"/>
      <c r="T213" s="555"/>
      <c r="U213" s="555"/>
      <c r="V213" s="555"/>
      <c r="W213" s="555"/>
      <c r="X213" s="555"/>
      <c r="Y213" s="555"/>
      <c r="Z213" s="555"/>
      <c r="AA213" s="555"/>
      <c r="AB213" s="555"/>
      <c r="AC213" s="555"/>
      <c r="AD213" s="555"/>
      <c r="AE213" s="555"/>
      <c r="AF213" s="555"/>
      <c r="AG213" s="555"/>
      <c r="AH213" s="555"/>
      <c r="AI213" s="555"/>
      <c r="AJ213" s="555"/>
      <c r="AK213" s="555"/>
      <c r="AL213" s="555"/>
      <c r="AM213" s="555"/>
      <c r="AN213" s="555"/>
      <c r="AO213" s="555"/>
      <c r="AP213" s="555"/>
      <c r="AQ213" s="555"/>
      <c r="AR213" s="555"/>
      <c r="AS213" s="555"/>
      <c r="AT213" s="555"/>
      <c r="AU213" s="555"/>
      <c r="AV213" s="555"/>
      <c r="AW213" s="555"/>
      <c r="AX213" s="555"/>
      <c r="AY213" s="555"/>
      <c r="AZ213" s="555"/>
      <c r="BA213" s="555"/>
      <c r="BB213" s="555"/>
      <c r="BC213" s="555"/>
      <c r="BD213" s="555"/>
      <c r="BE213" s="555"/>
      <c r="BF213" s="555"/>
      <c r="BG213" s="555"/>
      <c r="BH213" s="555"/>
      <c r="BI213" s="555"/>
      <c r="BJ213" s="555"/>
      <c r="BK213" s="555"/>
      <c r="BL213" s="555"/>
      <c r="BM213" s="555"/>
      <c r="BN213" s="555"/>
      <c r="BO213" s="555"/>
      <c r="BP213" s="555"/>
      <c r="BQ213" s="555"/>
      <c r="BR213" s="555"/>
      <c r="BS213" s="555"/>
      <c r="BT213" s="555"/>
      <c r="BU213" s="555"/>
      <c r="BV213" s="555"/>
      <c r="BW213" s="555"/>
      <c r="BX213" s="555"/>
      <c r="BY213" s="555"/>
      <c r="BZ213" s="555"/>
      <c r="CA213" s="555"/>
      <c r="CB213" s="555"/>
      <c r="CC213" s="555"/>
      <c r="CD213" s="555"/>
      <c r="CE213" s="555"/>
      <c r="CF213" s="555"/>
      <c r="CG213" s="555"/>
      <c r="CH213" s="555"/>
      <c r="CI213" s="555"/>
      <c r="CJ213" s="555"/>
      <c r="CK213" s="555"/>
      <c r="CL213" s="555"/>
      <c r="CM213" s="555"/>
      <c r="CN213" s="555"/>
      <c r="CO213" s="555"/>
      <c r="CP213" s="555"/>
      <c r="CQ213" s="555"/>
      <c r="CR213" s="555"/>
      <c r="CS213" s="555"/>
      <c r="CT213" s="555"/>
      <c r="CU213" s="555"/>
      <c r="CV213" s="555"/>
      <c r="CW213" s="555"/>
      <c r="CX213" s="555"/>
      <c r="CY213" s="555"/>
      <c r="CZ213" s="555"/>
      <c r="DA213" s="555"/>
      <c r="DB213" s="555"/>
      <c r="DC213" s="555"/>
      <c r="DD213" s="555"/>
      <c r="DE213" s="555"/>
      <c r="DF213" s="555"/>
      <c r="DG213" s="555"/>
      <c r="DH213" s="555"/>
      <c r="DI213" s="555"/>
      <c r="DJ213" s="50"/>
      <c r="DK213" s="50"/>
      <c r="DL213" s="81"/>
      <c r="DM213" s="50"/>
      <c r="DN213" s="50"/>
      <c r="DO213" s="122"/>
      <c r="DP213" s="520"/>
      <c r="DQ213" s="520"/>
      <c r="DR213" s="520"/>
      <c r="DS213" s="520"/>
      <c r="DT213" s="520"/>
      <c r="DU213" s="520"/>
      <c r="DV213" s="520"/>
      <c r="DW213" s="520"/>
      <c r="DX213" s="520"/>
      <c r="DY213" s="520"/>
      <c r="DZ213" s="520"/>
      <c r="EA213" s="520"/>
      <c r="EB213" s="520"/>
      <c r="EC213" s="520"/>
      <c r="ED213" s="520"/>
      <c r="EE213" s="520"/>
      <c r="EF213" s="520"/>
      <c r="EG213" s="520"/>
      <c r="EH213" s="520"/>
      <c r="EI213" s="520"/>
      <c r="EJ213" s="520"/>
      <c r="EK213" s="520"/>
      <c r="EL213" s="520"/>
      <c r="EM213" s="520"/>
      <c r="EN213" s="520"/>
      <c r="EO213" s="520"/>
      <c r="EP213" s="520"/>
      <c r="EQ213" s="520"/>
      <c r="ER213" s="520"/>
      <c r="ES213" s="520"/>
      <c r="ET213" s="520"/>
      <c r="EU213" s="520"/>
      <c r="EV213" s="520"/>
      <c r="EW213" s="520"/>
      <c r="EX213" s="520"/>
      <c r="EY213" s="520"/>
      <c r="EZ213" s="123"/>
      <c r="FA213" s="50"/>
      <c r="FB213" s="51"/>
    </row>
    <row r="214" spans="1:158" ht="9" customHeight="1">
      <c r="A214" s="49"/>
      <c r="B214" s="81"/>
      <c r="C214" s="50"/>
      <c r="D214" s="50"/>
      <c r="E214" s="555"/>
      <c r="F214" s="555"/>
      <c r="G214" s="555"/>
      <c r="H214" s="555"/>
      <c r="I214" s="555"/>
      <c r="J214" s="555"/>
      <c r="K214" s="555"/>
      <c r="L214" s="555"/>
      <c r="M214" s="555"/>
      <c r="N214" s="555"/>
      <c r="O214" s="555"/>
      <c r="P214" s="555"/>
      <c r="Q214" s="555"/>
      <c r="R214" s="555"/>
      <c r="S214" s="555"/>
      <c r="T214" s="555"/>
      <c r="U214" s="555"/>
      <c r="V214" s="555"/>
      <c r="W214" s="555"/>
      <c r="X214" s="555"/>
      <c r="Y214" s="555"/>
      <c r="Z214" s="555"/>
      <c r="AA214" s="555"/>
      <c r="AB214" s="555"/>
      <c r="AC214" s="555"/>
      <c r="AD214" s="555"/>
      <c r="AE214" s="555"/>
      <c r="AF214" s="555"/>
      <c r="AG214" s="555"/>
      <c r="AH214" s="555"/>
      <c r="AI214" s="555"/>
      <c r="AJ214" s="555"/>
      <c r="AK214" s="555"/>
      <c r="AL214" s="555"/>
      <c r="AM214" s="555"/>
      <c r="AN214" s="555"/>
      <c r="AO214" s="555"/>
      <c r="AP214" s="555"/>
      <c r="AQ214" s="555"/>
      <c r="AR214" s="555"/>
      <c r="AS214" s="555"/>
      <c r="AT214" s="555"/>
      <c r="AU214" s="555"/>
      <c r="AV214" s="555"/>
      <c r="AW214" s="555"/>
      <c r="AX214" s="555"/>
      <c r="AY214" s="555"/>
      <c r="AZ214" s="555"/>
      <c r="BA214" s="555"/>
      <c r="BB214" s="555"/>
      <c r="BC214" s="555"/>
      <c r="BD214" s="555"/>
      <c r="BE214" s="555"/>
      <c r="BF214" s="555"/>
      <c r="BG214" s="555"/>
      <c r="BH214" s="555"/>
      <c r="BI214" s="555"/>
      <c r="BJ214" s="555"/>
      <c r="BK214" s="555"/>
      <c r="BL214" s="555"/>
      <c r="BM214" s="555"/>
      <c r="BN214" s="555"/>
      <c r="BO214" s="555"/>
      <c r="BP214" s="555"/>
      <c r="BQ214" s="555"/>
      <c r="BR214" s="555"/>
      <c r="BS214" s="555"/>
      <c r="BT214" s="555"/>
      <c r="BU214" s="555"/>
      <c r="BV214" s="555"/>
      <c r="BW214" s="555"/>
      <c r="BX214" s="555"/>
      <c r="BY214" s="555"/>
      <c r="BZ214" s="555"/>
      <c r="CA214" s="555"/>
      <c r="CB214" s="555"/>
      <c r="CC214" s="555"/>
      <c r="CD214" s="555"/>
      <c r="CE214" s="555"/>
      <c r="CF214" s="555"/>
      <c r="CG214" s="555"/>
      <c r="CH214" s="555"/>
      <c r="CI214" s="555"/>
      <c r="CJ214" s="555"/>
      <c r="CK214" s="555"/>
      <c r="CL214" s="555"/>
      <c r="CM214" s="555"/>
      <c r="CN214" s="555"/>
      <c r="CO214" s="555"/>
      <c r="CP214" s="555"/>
      <c r="CQ214" s="555"/>
      <c r="CR214" s="555"/>
      <c r="CS214" s="555"/>
      <c r="CT214" s="555"/>
      <c r="CU214" s="555"/>
      <c r="CV214" s="555"/>
      <c r="CW214" s="555"/>
      <c r="CX214" s="555"/>
      <c r="CY214" s="555"/>
      <c r="CZ214" s="555"/>
      <c r="DA214" s="555"/>
      <c r="DB214" s="555"/>
      <c r="DC214" s="555"/>
      <c r="DD214" s="555"/>
      <c r="DE214" s="555"/>
      <c r="DF214" s="555"/>
      <c r="DG214" s="555"/>
      <c r="DH214" s="555"/>
      <c r="DI214" s="555"/>
      <c r="DJ214" s="50"/>
      <c r="DK214" s="50"/>
      <c r="DL214" s="81"/>
      <c r="DM214" s="50"/>
      <c r="DN214" s="50"/>
      <c r="DO214" s="122"/>
      <c r="DP214" s="521"/>
      <c r="DQ214" s="521"/>
      <c r="DR214" s="521"/>
      <c r="DS214" s="521"/>
      <c r="DT214" s="521"/>
      <c r="DU214" s="521"/>
      <c r="DV214" s="521"/>
      <c r="DW214" s="521"/>
      <c r="DX214" s="521"/>
      <c r="DY214" s="521"/>
      <c r="DZ214" s="521"/>
      <c r="EA214" s="521"/>
      <c r="EB214" s="521"/>
      <c r="EC214" s="521"/>
      <c r="ED214" s="521"/>
      <c r="EE214" s="521"/>
      <c r="EF214" s="521"/>
      <c r="EG214" s="521"/>
      <c r="EH214" s="521"/>
      <c r="EI214" s="521"/>
      <c r="EJ214" s="521"/>
      <c r="EK214" s="521"/>
      <c r="EL214" s="521"/>
      <c r="EM214" s="521"/>
      <c r="EN214" s="521"/>
      <c r="EO214" s="521"/>
      <c r="EP214" s="521"/>
      <c r="EQ214" s="521"/>
      <c r="ER214" s="521"/>
      <c r="ES214" s="521"/>
      <c r="ET214" s="521"/>
      <c r="EU214" s="521"/>
      <c r="EV214" s="521"/>
      <c r="EW214" s="521"/>
      <c r="EX214" s="521"/>
      <c r="EY214" s="521"/>
      <c r="EZ214" s="123"/>
      <c r="FA214" s="50"/>
      <c r="FB214" s="51"/>
    </row>
    <row r="215" spans="1:158" ht="9" customHeight="1">
      <c r="A215" s="49"/>
      <c r="B215" s="81"/>
      <c r="C215" s="50"/>
      <c r="D215" s="50"/>
      <c r="E215" s="555"/>
      <c r="F215" s="555"/>
      <c r="G215" s="555"/>
      <c r="H215" s="555"/>
      <c r="I215" s="555"/>
      <c r="J215" s="555"/>
      <c r="K215" s="555"/>
      <c r="L215" s="555"/>
      <c r="M215" s="555"/>
      <c r="N215" s="555"/>
      <c r="O215" s="555"/>
      <c r="P215" s="555"/>
      <c r="Q215" s="555"/>
      <c r="R215" s="555"/>
      <c r="S215" s="555"/>
      <c r="T215" s="555"/>
      <c r="U215" s="555"/>
      <c r="V215" s="555"/>
      <c r="W215" s="555"/>
      <c r="X215" s="555"/>
      <c r="Y215" s="555"/>
      <c r="Z215" s="555"/>
      <c r="AA215" s="555"/>
      <c r="AB215" s="555"/>
      <c r="AC215" s="555"/>
      <c r="AD215" s="555"/>
      <c r="AE215" s="555"/>
      <c r="AF215" s="555"/>
      <c r="AG215" s="555"/>
      <c r="AH215" s="555"/>
      <c r="AI215" s="555"/>
      <c r="AJ215" s="555"/>
      <c r="AK215" s="555"/>
      <c r="AL215" s="555"/>
      <c r="AM215" s="555"/>
      <c r="AN215" s="555"/>
      <c r="AO215" s="555"/>
      <c r="AP215" s="555"/>
      <c r="AQ215" s="555"/>
      <c r="AR215" s="555"/>
      <c r="AS215" s="555"/>
      <c r="AT215" s="555"/>
      <c r="AU215" s="555"/>
      <c r="AV215" s="555"/>
      <c r="AW215" s="555"/>
      <c r="AX215" s="555"/>
      <c r="AY215" s="555"/>
      <c r="AZ215" s="555"/>
      <c r="BA215" s="555"/>
      <c r="BB215" s="555"/>
      <c r="BC215" s="555"/>
      <c r="BD215" s="555"/>
      <c r="BE215" s="555"/>
      <c r="BF215" s="555"/>
      <c r="BG215" s="555"/>
      <c r="BH215" s="555"/>
      <c r="BI215" s="555"/>
      <c r="BJ215" s="555"/>
      <c r="BK215" s="555"/>
      <c r="BL215" s="555"/>
      <c r="BM215" s="555"/>
      <c r="BN215" s="555"/>
      <c r="BO215" s="555"/>
      <c r="BP215" s="555"/>
      <c r="BQ215" s="555"/>
      <c r="BR215" s="555"/>
      <c r="BS215" s="555"/>
      <c r="BT215" s="555"/>
      <c r="BU215" s="555"/>
      <c r="BV215" s="555"/>
      <c r="BW215" s="555"/>
      <c r="BX215" s="555"/>
      <c r="BY215" s="555"/>
      <c r="BZ215" s="555"/>
      <c r="CA215" s="555"/>
      <c r="CB215" s="555"/>
      <c r="CC215" s="555"/>
      <c r="CD215" s="555"/>
      <c r="CE215" s="555"/>
      <c r="CF215" s="555"/>
      <c r="CG215" s="555"/>
      <c r="CH215" s="555"/>
      <c r="CI215" s="555"/>
      <c r="CJ215" s="555"/>
      <c r="CK215" s="555"/>
      <c r="CL215" s="555"/>
      <c r="CM215" s="555"/>
      <c r="CN215" s="555"/>
      <c r="CO215" s="555"/>
      <c r="CP215" s="555"/>
      <c r="CQ215" s="555"/>
      <c r="CR215" s="555"/>
      <c r="CS215" s="555"/>
      <c r="CT215" s="555"/>
      <c r="CU215" s="555"/>
      <c r="CV215" s="555"/>
      <c r="CW215" s="555"/>
      <c r="CX215" s="555"/>
      <c r="CY215" s="555"/>
      <c r="CZ215" s="555"/>
      <c r="DA215" s="555"/>
      <c r="DB215" s="555"/>
      <c r="DC215" s="555"/>
      <c r="DD215" s="555"/>
      <c r="DE215" s="555"/>
      <c r="DF215" s="555"/>
      <c r="DG215" s="555"/>
      <c r="DH215" s="555"/>
      <c r="DI215" s="555"/>
      <c r="DJ215" s="50"/>
      <c r="DK215" s="50"/>
      <c r="DL215" s="81"/>
      <c r="DM215" s="50"/>
      <c r="DN215" s="50"/>
      <c r="DO215" s="122"/>
      <c r="DP215" s="520" t="str">
        <f>IF(Skills!AB23="","","Rng Combat ["&amp;Skills!AB23&amp;"] "&amp;IF(Skills!X23&lt;0,"-","+")&amp;Skills!X23)</f>
        <v/>
      </c>
      <c r="DQ215" s="520"/>
      <c r="DR215" s="520"/>
      <c r="DS215" s="520"/>
      <c r="DT215" s="520"/>
      <c r="DU215" s="520"/>
      <c r="DV215" s="520"/>
      <c r="DW215" s="520"/>
      <c r="DX215" s="520"/>
      <c r="DY215" s="520"/>
      <c r="DZ215" s="520"/>
      <c r="EA215" s="520"/>
      <c r="EB215" s="520"/>
      <c r="EC215" s="520"/>
      <c r="ED215" s="520"/>
      <c r="EE215" s="520"/>
      <c r="EF215" s="520"/>
      <c r="EG215" s="520"/>
      <c r="EH215" s="520"/>
      <c r="EI215" s="520"/>
      <c r="EJ215" s="520"/>
      <c r="EK215" s="520"/>
      <c r="EL215" s="520"/>
      <c r="EM215" s="520"/>
      <c r="EN215" s="520"/>
      <c r="EO215" s="520"/>
      <c r="EP215" s="520"/>
      <c r="EQ215" s="520"/>
      <c r="ER215" s="520"/>
      <c r="ES215" s="520"/>
      <c r="ET215" s="520"/>
      <c r="EU215" s="520"/>
      <c r="EV215" s="520"/>
      <c r="EW215" s="520"/>
      <c r="EX215" s="520"/>
      <c r="EY215" s="520"/>
      <c r="EZ215" s="123"/>
      <c r="FA215" s="50"/>
      <c r="FB215" s="51"/>
    </row>
    <row r="216" spans="1:158" ht="9" customHeight="1">
      <c r="A216" s="49"/>
      <c r="B216" s="81"/>
      <c r="C216" s="50"/>
      <c r="D216" s="50"/>
      <c r="E216" s="555"/>
      <c r="F216" s="555"/>
      <c r="G216" s="555"/>
      <c r="H216" s="555"/>
      <c r="I216" s="555"/>
      <c r="J216" s="555"/>
      <c r="K216" s="555"/>
      <c r="L216" s="555"/>
      <c r="M216" s="555"/>
      <c r="N216" s="555"/>
      <c r="O216" s="555"/>
      <c r="P216" s="555"/>
      <c r="Q216" s="555"/>
      <c r="R216" s="555"/>
      <c r="S216" s="555"/>
      <c r="T216" s="555"/>
      <c r="U216" s="555"/>
      <c r="V216" s="555"/>
      <c r="W216" s="555"/>
      <c r="X216" s="555"/>
      <c r="Y216" s="555"/>
      <c r="Z216" s="555"/>
      <c r="AA216" s="555"/>
      <c r="AB216" s="555"/>
      <c r="AC216" s="555"/>
      <c r="AD216" s="555"/>
      <c r="AE216" s="555"/>
      <c r="AF216" s="555"/>
      <c r="AG216" s="555"/>
      <c r="AH216" s="555"/>
      <c r="AI216" s="555"/>
      <c r="AJ216" s="555"/>
      <c r="AK216" s="555"/>
      <c r="AL216" s="555"/>
      <c r="AM216" s="555"/>
      <c r="AN216" s="555"/>
      <c r="AO216" s="555"/>
      <c r="AP216" s="555"/>
      <c r="AQ216" s="555"/>
      <c r="AR216" s="555"/>
      <c r="AS216" s="555"/>
      <c r="AT216" s="555"/>
      <c r="AU216" s="555"/>
      <c r="AV216" s="555"/>
      <c r="AW216" s="555"/>
      <c r="AX216" s="555"/>
      <c r="AY216" s="555"/>
      <c r="AZ216" s="555"/>
      <c r="BA216" s="555"/>
      <c r="BB216" s="555"/>
      <c r="BC216" s="555"/>
      <c r="BD216" s="555"/>
      <c r="BE216" s="555"/>
      <c r="BF216" s="555"/>
      <c r="BG216" s="555"/>
      <c r="BH216" s="555"/>
      <c r="BI216" s="555"/>
      <c r="BJ216" s="555"/>
      <c r="BK216" s="555"/>
      <c r="BL216" s="555"/>
      <c r="BM216" s="555"/>
      <c r="BN216" s="555"/>
      <c r="BO216" s="555"/>
      <c r="BP216" s="555"/>
      <c r="BQ216" s="555"/>
      <c r="BR216" s="555"/>
      <c r="BS216" s="555"/>
      <c r="BT216" s="555"/>
      <c r="BU216" s="555"/>
      <c r="BV216" s="555"/>
      <c r="BW216" s="555"/>
      <c r="BX216" s="555"/>
      <c r="BY216" s="555"/>
      <c r="BZ216" s="555"/>
      <c r="CA216" s="555"/>
      <c r="CB216" s="555"/>
      <c r="CC216" s="555"/>
      <c r="CD216" s="555"/>
      <c r="CE216" s="555"/>
      <c r="CF216" s="555"/>
      <c r="CG216" s="555"/>
      <c r="CH216" s="555"/>
      <c r="CI216" s="555"/>
      <c r="CJ216" s="555"/>
      <c r="CK216" s="555"/>
      <c r="CL216" s="555"/>
      <c r="CM216" s="555"/>
      <c r="CN216" s="555"/>
      <c r="CO216" s="555"/>
      <c r="CP216" s="555"/>
      <c r="CQ216" s="555"/>
      <c r="CR216" s="555"/>
      <c r="CS216" s="555"/>
      <c r="CT216" s="555"/>
      <c r="CU216" s="555"/>
      <c r="CV216" s="555"/>
      <c r="CW216" s="555"/>
      <c r="CX216" s="555"/>
      <c r="CY216" s="555"/>
      <c r="CZ216" s="555"/>
      <c r="DA216" s="555"/>
      <c r="DB216" s="555"/>
      <c r="DC216" s="555"/>
      <c r="DD216" s="555"/>
      <c r="DE216" s="555"/>
      <c r="DF216" s="555"/>
      <c r="DG216" s="555"/>
      <c r="DH216" s="555"/>
      <c r="DI216" s="555"/>
      <c r="DJ216" s="50"/>
      <c r="DK216" s="50"/>
      <c r="DL216" s="81"/>
      <c r="DM216" s="50"/>
      <c r="DN216" s="50"/>
      <c r="DO216" s="122"/>
      <c r="DP216" s="520"/>
      <c r="DQ216" s="520"/>
      <c r="DR216" s="520"/>
      <c r="DS216" s="520"/>
      <c r="DT216" s="520"/>
      <c r="DU216" s="520"/>
      <c r="DV216" s="520"/>
      <c r="DW216" s="520"/>
      <c r="DX216" s="520"/>
      <c r="DY216" s="520"/>
      <c r="DZ216" s="520"/>
      <c r="EA216" s="520"/>
      <c r="EB216" s="520"/>
      <c r="EC216" s="520"/>
      <c r="ED216" s="520"/>
      <c r="EE216" s="520"/>
      <c r="EF216" s="520"/>
      <c r="EG216" s="520"/>
      <c r="EH216" s="520"/>
      <c r="EI216" s="520"/>
      <c r="EJ216" s="520"/>
      <c r="EK216" s="520"/>
      <c r="EL216" s="520"/>
      <c r="EM216" s="520"/>
      <c r="EN216" s="520"/>
      <c r="EO216" s="520"/>
      <c r="EP216" s="520"/>
      <c r="EQ216" s="520"/>
      <c r="ER216" s="520"/>
      <c r="ES216" s="520"/>
      <c r="ET216" s="520"/>
      <c r="EU216" s="520"/>
      <c r="EV216" s="520"/>
      <c r="EW216" s="520"/>
      <c r="EX216" s="520"/>
      <c r="EY216" s="520"/>
      <c r="EZ216" s="123"/>
      <c r="FA216" s="50"/>
      <c r="FB216" s="51"/>
    </row>
    <row r="217" spans="1:158" ht="9" customHeight="1">
      <c r="A217" s="49"/>
      <c r="B217" s="81"/>
      <c r="C217" s="50"/>
      <c r="D217" s="50"/>
      <c r="E217" s="555"/>
      <c r="F217" s="555"/>
      <c r="G217" s="555"/>
      <c r="H217" s="555"/>
      <c r="I217" s="555"/>
      <c r="J217" s="555"/>
      <c r="K217" s="555"/>
      <c r="L217" s="555"/>
      <c r="M217" s="555"/>
      <c r="N217" s="555"/>
      <c r="O217" s="555"/>
      <c r="P217" s="555"/>
      <c r="Q217" s="555"/>
      <c r="R217" s="555"/>
      <c r="S217" s="555"/>
      <c r="T217" s="555"/>
      <c r="U217" s="555"/>
      <c r="V217" s="555"/>
      <c r="W217" s="555"/>
      <c r="X217" s="555"/>
      <c r="Y217" s="555"/>
      <c r="Z217" s="555"/>
      <c r="AA217" s="555"/>
      <c r="AB217" s="555"/>
      <c r="AC217" s="555"/>
      <c r="AD217" s="555"/>
      <c r="AE217" s="555"/>
      <c r="AF217" s="555"/>
      <c r="AG217" s="555"/>
      <c r="AH217" s="555"/>
      <c r="AI217" s="555"/>
      <c r="AJ217" s="555"/>
      <c r="AK217" s="555"/>
      <c r="AL217" s="555"/>
      <c r="AM217" s="555"/>
      <c r="AN217" s="555"/>
      <c r="AO217" s="555"/>
      <c r="AP217" s="555"/>
      <c r="AQ217" s="555"/>
      <c r="AR217" s="555"/>
      <c r="AS217" s="555"/>
      <c r="AT217" s="555"/>
      <c r="AU217" s="555"/>
      <c r="AV217" s="555"/>
      <c r="AW217" s="555"/>
      <c r="AX217" s="555"/>
      <c r="AY217" s="555"/>
      <c r="AZ217" s="555"/>
      <c r="BA217" s="555"/>
      <c r="BB217" s="555"/>
      <c r="BC217" s="555"/>
      <c r="BD217" s="555"/>
      <c r="BE217" s="555"/>
      <c r="BF217" s="555"/>
      <c r="BG217" s="555"/>
      <c r="BH217" s="555"/>
      <c r="BI217" s="555"/>
      <c r="BJ217" s="555"/>
      <c r="BK217" s="555"/>
      <c r="BL217" s="555"/>
      <c r="BM217" s="555"/>
      <c r="BN217" s="555"/>
      <c r="BO217" s="555"/>
      <c r="BP217" s="555"/>
      <c r="BQ217" s="555"/>
      <c r="BR217" s="555"/>
      <c r="BS217" s="555"/>
      <c r="BT217" s="555"/>
      <c r="BU217" s="555"/>
      <c r="BV217" s="555"/>
      <c r="BW217" s="555"/>
      <c r="BX217" s="555"/>
      <c r="BY217" s="555"/>
      <c r="BZ217" s="555"/>
      <c r="CA217" s="555"/>
      <c r="CB217" s="555"/>
      <c r="CC217" s="555"/>
      <c r="CD217" s="555"/>
      <c r="CE217" s="555"/>
      <c r="CF217" s="555"/>
      <c r="CG217" s="555"/>
      <c r="CH217" s="555"/>
      <c r="CI217" s="555"/>
      <c r="CJ217" s="555"/>
      <c r="CK217" s="555"/>
      <c r="CL217" s="555"/>
      <c r="CM217" s="555"/>
      <c r="CN217" s="555"/>
      <c r="CO217" s="555"/>
      <c r="CP217" s="555"/>
      <c r="CQ217" s="555"/>
      <c r="CR217" s="555"/>
      <c r="CS217" s="555"/>
      <c r="CT217" s="555"/>
      <c r="CU217" s="555"/>
      <c r="CV217" s="555"/>
      <c r="CW217" s="555"/>
      <c r="CX217" s="555"/>
      <c r="CY217" s="555"/>
      <c r="CZ217" s="555"/>
      <c r="DA217" s="555"/>
      <c r="DB217" s="555"/>
      <c r="DC217" s="555"/>
      <c r="DD217" s="555"/>
      <c r="DE217" s="555"/>
      <c r="DF217" s="555"/>
      <c r="DG217" s="555"/>
      <c r="DH217" s="555"/>
      <c r="DI217" s="555"/>
      <c r="DJ217" s="50"/>
      <c r="DK217" s="50"/>
      <c r="DL217" s="81"/>
      <c r="DM217" s="50"/>
      <c r="DN217" s="50"/>
      <c r="DO217" s="122"/>
      <c r="DP217" s="520"/>
      <c r="DQ217" s="520"/>
      <c r="DR217" s="520"/>
      <c r="DS217" s="520"/>
      <c r="DT217" s="520"/>
      <c r="DU217" s="520"/>
      <c r="DV217" s="520"/>
      <c r="DW217" s="520"/>
      <c r="DX217" s="520"/>
      <c r="DY217" s="520"/>
      <c r="DZ217" s="520"/>
      <c r="EA217" s="520"/>
      <c r="EB217" s="520"/>
      <c r="EC217" s="520"/>
      <c r="ED217" s="520"/>
      <c r="EE217" s="520"/>
      <c r="EF217" s="520"/>
      <c r="EG217" s="520"/>
      <c r="EH217" s="520"/>
      <c r="EI217" s="520"/>
      <c r="EJ217" s="520"/>
      <c r="EK217" s="520"/>
      <c r="EL217" s="520"/>
      <c r="EM217" s="520"/>
      <c r="EN217" s="520"/>
      <c r="EO217" s="520"/>
      <c r="EP217" s="520"/>
      <c r="EQ217" s="520"/>
      <c r="ER217" s="520"/>
      <c r="ES217" s="520"/>
      <c r="ET217" s="520"/>
      <c r="EU217" s="520"/>
      <c r="EV217" s="520"/>
      <c r="EW217" s="520"/>
      <c r="EX217" s="520"/>
      <c r="EY217" s="520"/>
      <c r="EZ217" s="123"/>
      <c r="FA217" s="50"/>
      <c r="FB217" s="51"/>
    </row>
    <row r="218" spans="1:158" ht="9" customHeight="1">
      <c r="A218" s="49"/>
      <c r="B218" s="81"/>
      <c r="C218" s="50"/>
      <c r="D218" s="50"/>
      <c r="E218" s="555"/>
      <c r="F218" s="555"/>
      <c r="G218" s="555"/>
      <c r="H218" s="555"/>
      <c r="I218" s="555"/>
      <c r="J218" s="555"/>
      <c r="K218" s="555"/>
      <c r="L218" s="555"/>
      <c r="M218" s="555"/>
      <c r="N218" s="555"/>
      <c r="O218" s="555"/>
      <c r="P218" s="555"/>
      <c r="Q218" s="555"/>
      <c r="R218" s="555"/>
      <c r="S218" s="555"/>
      <c r="T218" s="555"/>
      <c r="U218" s="555"/>
      <c r="V218" s="555"/>
      <c r="W218" s="555"/>
      <c r="X218" s="555"/>
      <c r="Y218" s="555"/>
      <c r="Z218" s="555"/>
      <c r="AA218" s="555"/>
      <c r="AB218" s="555"/>
      <c r="AC218" s="555"/>
      <c r="AD218" s="555"/>
      <c r="AE218" s="555"/>
      <c r="AF218" s="555"/>
      <c r="AG218" s="555"/>
      <c r="AH218" s="555"/>
      <c r="AI218" s="555"/>
      <c r="AJ218" s="555"/>
      <c r="AK218" s="555"/>
      <c r="AL218" s="555"/>
      <c r="AM218" s="555"/>
      <c r="AN218" s="555"/>
      <c r="AO218" s="555"/>
      <c r="AP218" s="555"/>
      <c r="AQ218" s="555"/>
      <c r="AR218" s="555"/>
      <c r="AS218" s="555"/>
      <c r="AT218" s="555"/>
      <c r="AU218" s="555"/>
      <c r="AV218" s="555"/>
      <c r="AW218" s="555"/>
      <c r="AX218" s="555"/>
      <c r="AY218" s="555"/>
      <c r="AZ218" s="555"/>
      <c r="BA218" s="555"/>
      <c r="BB218" s="555"/>
      <c r="BC218" s="555"/>
      <c r="BD218" s="555"/>
      <c r="BE218" s="555"/>
      <c r="BF218" s="555"/>
      <c r="BG218" s="555"/>
      <c r="BH218" s="555"/>
      <c r="BI218" s="555"/>
      <c r="BJ218" s="555"/>
      <c r="BK218" s="555"/>
      <c r="BL218" s="555"/>
      <c r="BM218" s="555"/>
      <c r="BN218" s="555"/>
      <c r="BO218" s="555"/>
      <c r="BP218" s="555"/>
      <c r="BQ218" s="555"/>
      <c r="BR218" s="555"/>
      <c r="BS218" s="555"/>
      <c r="BT218" s="555"/>
      <c r="BU218" s="555"/>
      <c r="BV218" s="555"/>
      <c r="BW218" s="555"/>
      <c r="BX218" s="555"/>
      <c r="BY218" s="555"/>
      <c r="BZ218" s="555"/>
      <c r="CA218" s="555"/>
      <c r="CB218" s="555"/>
      <c r="CC218" s="555"/>
      <c r="CD218" s="555"/>
      <c r="CE218" s="555"/>
      <c r="CF218" s="555"/>
      <c r="CG218" s="555"/>
      <c r="CH218" s="555"/>
      <c r="CI218" s="555"/>
      <c r="CJ218" s="555"/>
      <c r="CK218" s="555"/>
      <c r="CL218" s="555"/>
      <c r="CM218" s="555"/>
      <c r="CN218" s="555"/>
      <c r="CO218" s="555"/>
      <c r="CP218" s="555"/>
      <c r="CQ218" s="555"/>
      <c r="CR218" s="555"/>
      <c r="CS218" s="555"/>
      <c r="CT218" s="555"/>
      <c r="CU218" s="555"/>
      <c r="CV218" s="555"/>
      <c r="CW218" s="555"/>
      <c r="CX218" s="555"/>
      <c r="CY218" s="555"/>
      <c r="CZ218" s="555"/>
      <c r="DA218" s="555"/>
      <c r="DB218" s="555"/>
      <c r="DC218" s="555"/>
      <c r="DD218" s="555"/>
      <c r="DE218" s="555"/>
      <c r="DF218" s="555"/>
      <c r="DG218" s="555"/>
      <c r="DH218" s="555"/>
      <c r="DI218" s="555"/>
      <c r="DJ218" s="50"/>
      <c r="DK218" s="50"/>
      <c r="DL218" s="81"/>
      <c r="DM218" s="50"/>
      <c r="DN218" s="50"/>
      <c r="DO218" s="122"/>
      <c r="DP218" s="521"/>
      <c r="DQ218" s="521"/>
      <c r="DR218" s="521"/>
      <c r="DS218" s="521"/>
      <c r="DT218" s="521"/>
      <c r="DU218" s="521"/>
      <c r="DV218" s="521"/>
      <c r="DW218" s="521"/>
      <c r="DX218" s="521"/>
      <c r="DY218" s="521"/>
      <c r="DZ218" s="521"/>
      <c r="EA218" s="521"/>
      <c r="EB218" s="521"/>
      <c r="EC218" s="521"/>
      <c r="ED218" s="521"/>
      <c r="EE218" s="521"/>
      <c r="EF218" s="521"/>
      <c r="EG218" s="521"/>
      <c r="EH218" s="521"/>
      <c r="EI218" s="521"/>
      <c r="EJ218" s="521"/>
      <c r="EK218" s="521"/>
      <c r="EL218" s="521"/>
      <c r="EM218" s="521"/>
      <c r="EN218" s="521"/>
      <c r="EO218" s="521"/>
      <c r="EP218" s="521"/>
      <c r="EQ218" s="521"/>
      <c r="ER218" s="521"/>
      <c r="ES218" s="521"/>
      <c r="ET218" s="521"/>
      <c r="EU218" s="521"/>
      <c r="EV218" s="521"/>
      <c r="EW218" s="521"/>
      <c r="EX218" s="521"/>
      <c r="EY218" s="521"/>
      <c r="EZ218" s="123"/>
      <c r="FA218" s="50"/>
      <c r="FB218" s="51"/>
    </row>
    <row r="219" spans="1:158" ht="9" customHeight="1">
      <c r="A219" s="49"/>
      <c r="B219" s="81"/>
      <c r="C219" s="50"/>
      <c r="D219" s="50"/>
      <c r="E219" s="555"/>
      <c r="F219" s="555"/>
      <c r="G219" s="555"/>
      <c r="H219" s="555"/>
      <c r="I219" s="555"/>
      <c r="J219" s="555"/>
      <c r="K219" s="555"/>
      <c r="L219" s="555"/>
      <c r="M219" s="555"/>
      <c r="N219" s="555"/>
      <c r="O219" s="555"/>
      <c r="P219" s="555"/>
      <c r="Q219" s="555"/>
      <c r="R219" s="555"/>
      <c r="S219" s="555"/>
      <c r="T219" s="555"/>
      <c r="U219" s="555"/>
      <c r="V219" s="555"/>
      <c r="W219" s="555"/>
      <c r="X219" s="555"/>
      <c r="Y219" s="555"/>
      <c r="Z219" s="555"/>
      <c r="AA219" s="555"/>
      <c r="AB219" s="555"/>
      <c r="AC219" s="555"/>
      <c r="AD219" s="555"/>
      <c r="AE219" s="555"/>
      <c r="AF219" s="555"/>
      <c r="AG219" s="555"/>
      <c r="AH219" s="555"/>
      <c r="AI219" s="555"/>
      <c r="AJ219" s="555"/>
      <c r="AK219" s="555"/>
      <c r="AL219" s="555"/>
      <c r="AM219" s="555"/>
      <c r="AN219" s="555"/>
      <c r="AO219" s="555"/>
      <c r="AP219" s="555"/>
      <c r="AQ219" s="555"/>
      <c r="AR219" s="555"/>
      <c r="AS219" s="555"/>
      <c r="AT219" s="555"/>
      <c r="AU219" s="555"/>
      <c r="AV219" s="555"/>
      <c r="AW219" s="555"/>
      <c r="AX219" s="555"/>
      <c r="AY219" s="555"/>
      <c r="AZ219" s="555"/>
      <c r="BA219" s="555"/>
      <c r="BB219" s="555"/>
      <c r="BC219" s="555"/>
      <c r="BD219" s="555"/>
      <c r="BE219" s="555"/>
      <c r="BF219" s="555"/>
      <c r="BG219" s="555"/>
      <c r="BH219" s="555"/>
      <c r="BI219" s="555"/>
      <c r="BJ219" s="555"/>
      <c r="BK219" s="555"/>
      <c r="BL219" s="555"/>
      <c r="BM219" s="555"/>
      <c r="BN219" s="555"/>
      <c r="BO219" s="555"/>
      <c r="BP219" s="555"/>
      <c r="BQ219" s="555"/>
      <c r="BR219" s="555"/>
      <c r="BS219" s="555"/>
      <c r="BT219" s="555"/>
      <c r="BU219" s="555"/>
      <c r="BV219" s="555"/>
      <c r="BW219" s="555"/>
      <c r="BX219" s="555"/>
      <c r="BY219" s="555"/>
      <c r="BZ219" s="555"/>
      <c r="CA219" s="555"/>
      <c r="CB219" s="555"/>
      <c r="CC219" s="555"/>
      <c r="CD219" s="555"/>
      <c r="CE219" s="555"/>
      <c r="CF219" s="555"/>
      <c r="CG219" s="555"/>
      <c r="CH219" s="555"/>
      <c r="CI219" s="555"/>
      <c r="CJ219" s="555"/>
      <c r="CK219" s="555"/>
      <c r="CL219" s="555"/>
      <c r="CM219" s="555"/>
      <c r="CN219" s="555"/>
      <c r="CO219" s="555"/>
      <c r="CP219" s="555"/>
      <c r="CQ219" s="555"/>
      <c r="CR219" s="555"/>
      <c r="CS219" s="555"/>
      <c r="CT219" s="555"/>
      <c r="CU219" s="555"/>
      <c r="CV219" s="555"/>
      <c r="CW219" s="555"/>
      <c r="CX219" s="555"/>
      <c r="CY219" s="555"/>
      <c r="CZ219" s="555"/>
      <c r="DA219" s="555"/>
      <c r="DB219" s="555"/>
      <c r="DC219" s="555"/>
      <c r="DD219" s="555"/>
      <c r="DE219" s="555"/>
      <c r="DF219" s="555"/>
      <c r="DG219" s="555"/>
      <c r="DH219" s="555"/>
      <c r="DI219" s="555"/>
      <c r="DJ219" s="50"/>
      <c r="DK219" s="50"/>
      <c r="DL219" s="81"/>
      <c r="DM219" s="50"/>
      <c r="DN219" s="50"/>
      <c r="DO219" s="122"/>
      <c r="DP219" s="520" t="str">
        <f>IF(Skills!AB24="","","Rng Combat ["&amp;Skills!AB24&amp;"] "&amp;IF(Skills!X24&lt;0,"-","+")&amp;Skills!X24)</f>
        <v/>
      </c>
      <c r="DQ219" s="520"/>
      <c r="DR219" s="520"/>
      <c r="DS219" s="520"/>
      <c r="DT219" s="520"/>
      <c r="DU219" s="520"/>
      <c r="DV219" s="520"/>
      <c r="DW219" s="520"/>
      <c r="DX219" s="520"/>
      <c r="DY219" s="520"/>
      <c r="DZ219" s="520"/>
      <c r="EA219" s="520"/>
      <c r="EB219" s="520"/>
      <c r="EC219" s="520"/>
      <c r="ED219" s="520"/>
      <c r="EE219" s="520"/>
      <c r="EF219" s="520"/>
      <c r="EG219" s="520"/>
      <c r="EH219" s="520"/>
      <c r="EI219" s="520"/>
      <c r="EJ219" s="520"/>
      <c r="EK219" s="520"/>
      <c r="EL219" s="520"/>
      <c r="EM219" s="520"/>
      <c r="EN219" s="520"/>
      <c r="EO219" s="520"/>
      <c r="EP219" s="520"/>
      <c r="EQ219" s="520"/>
      <c r="ER219" s="520"/>
      <c r="ES219" s="520"/>
      <c r="ET219" s="520"/>
      <c r="EU219" s="520"/>
      <c r="EV219" s="520"/>
      <c r="EW219" s="520"/>
      <c r="EX219" s="520"/>
      <c r="EY219" s="520"/>
      <c r="EZ219" s="123"/>
      <c r="FA219" s="50"/>
      <c r="FB219" s="51"/>
    </row>
    <row r="220" spans="1:158" ht="9" customHeight="1">
      <c r="A220" s="49"/>
      <c r="B220" s="81"/>
      <c r="C220" s="50"/>
      <c r="D220" s="50"/>
      <c r="E220" s="555"/>
      <c r="F220" s="555"/>
      <c r="G220" s="555"/>
      <c r="H220" s="555"/>
      <c r="I220" s="555"/>
      <c r="J220" s="555"/>
      <c r="K220" s="555"/>
      <c r="L220" s="555"/>
      <c r="M220" s="555"/>
      <c r="N220" s="555"/>
      <c r="O220" s="555"/>
      <c r="P220" s="555"/>
      <c r="Q220" s="555"/>
      <c r="R220" s="555"/>
      <c r="S220" s="555"/>
      <c r="T220" s="555"/>
      <c r="U220" s="555"/>
      <c r="V220" s="555"/>
      <c r="W220" s="555"/>
      <c r="X220" s="555"/>
      <c r="Y220" s="555"/>
      <c r="Z220" s="555"/>
      <c r="AA220" s="555"/>
      <c r="AB220" s="555"/>
      <c r="AC220" s="555"/>
      <c r="AD220" s="555"/>
      <c r="AE220" s="555"/>
      <c r="AF220" s="555"/>
      <c r="AG220" s="555"/>
      <c r="AH220" s="555"/>
      <c r="AI220" s="555"/>
      <c r="AJ220" s="555"/>
      <c r="AK220" s="555"/>
      <c r="AL220" s="555"/>
      <c r="AM220" s="555"/>
      <c r="AN220" s="555"/>
      <c r="AO220" s="555"/>
      <c r="AP220" s="555"/>
      <c r="AQ220" s="555"/>
      <c r="AR220" s="555"/>
      <c r="AS220" s="555"/>
      <c r="AT220" s="555"/>
      <c r="AU220" s="555"/>
      <c r="AV220" s="555"/>
      <c r="AW220" s="555"/>
      <c r="AX220" s="555"/>
      <c r="AY220" s="555"/>
      <c r="AZ220" s="555"/>
      <c r="BA220" s="555"/>
      <c r="BB220" s="555"/>
      <c r="BC220" s="555"/>
      <c r="BD220" s="555"/>
      <c r="BE220" s="555"/>
      <c r="BF220" s="555"/>
      <c r="BG220" s="555"/>
      <c r="BH220" s="555"/>
      <c r="BI220" s="555"/>
      <c r="BJ220" s="555"/>
      <c r="BK220" s="555"/>
      <c r="BL220" s="555"/>
      <c r="BM220" s="555"/>
      <c r="BN220" s="555"/>
      <c r="BO220" s="555"/>
      <c r="BP220" s="555"/>
      <c r="BQ220" s="555"/>
      <c r="BR220" s="555"/>
      <c r="BS220" s="555"/>
      <c r="BT220" s="555"/>
      <c r="BU220" s="555"/>
      <c r="BV220" s="555"/>
      <c r="BW220" s="555"/>
      <c r="BX220" s="555"/>
      <c r="BY220" s="555"/>
      <c r="BZ220" s="555"/>
      <c r="CA220" s="555"/>
      <c r="CB220" s="555"/>
      <c r="CC220" s="555"/>
      <c r="CD220" s="555"/>
      <c r="CE220" s="555"/>
      <c r="CF220" s="555"/>
      <c r="CG220" s="555"/>
      <c r="CH220" s="555"/>
      <c r="CI220" s="555"/>
      <c r="CJ220" s="555"/>
      <c r="CK220" s="555"/>
      <c r="CL220" s="555"/>
      <c r="CM220" s="555"/>
      <c r="CN220" s="555"/>
      <c r="CO220" s="555"/>
      <c r="CP220" s="555"/>
      <c r="CQ220" s="555"/>
      <c r="CR220" s="555"/>
      <c r="CS220" s="555"/>
      <c r="CT220" s="555"/>
      <c r="CU220" s="555"/>
      <c r="CV220" s="555"/>
      <c r="CW220" s="555"/>
      <c r="CX220" s="555"/>
      <c r="CY220" s="555"/>
      <c r="CZ220" s="555"/>
      <c r="DA220" s="555"/>
      <c r="DB220" s="555"/>
      <c r="DC220" s="555"/>
      <c r="DD220" s="555"/>
      <c r="DE220" s="555"/>
      <c r="DF220" s="555"/>
      <c r="DG220" s="555"/>
      <c r="DH220" s="555"/>
      <c r="DI220" s="555"/>
      <c r="DJ220" s="50"/>
      <c r="DK220" s="50"/>
      <c r="DL220" s="81"/>
      <c r="DM220" s="50"/>
      <c r="DN220" s="50"/>
      <c r="DO220" s="122"/>
      <c r="DP220" s="520"/>
      <c r="DQ220" s="520"/>
      <c r="DR220" s="520"/>
      <c r="DS220" s="520"/>
      <c r="DT220" s="520"/>
      <c r="DU220" s="520"/>
      <c r="DV220" s="520"/>
      <c r="DW220" s="520"/>
      <c r="DX220" s="520"/>
      <c r="DY220" s="520"/>
      <c r="DZ220" s="520"/>
      <c r="EA220" s="520"/>
      <c r="EB220" s="520"/>
      <c r="EC220" s="520"/>
      <c r="ED220" s="520"/>
      <c r="EE220" s="520"/>
      <c r="EF220" s="520"/>
      <c r="EG220" s="520"/>
      <c r="EH220" s="520"/>
      <c r="EI220" s="520"/>
      <c r="EJ220" s="520"/>
      <c r="EK220" s="520"/>
      <c r="EL220" s="520"/>
      <c r="EM220" s="520"/>
      <c r="EN220" s="520"/>
      <c r="EO220" s="520"/>
      <c r="EP220" s="520"/>
      <c r="EQ220" s="520"/>
      <c r="ER220" s="520"/>
      <c r="ES220" s="520"/>
      <c r="ET220" s="520"/>
      <c r="EU220" s="520"/>
      <c r="EV220" s="520"/>
      <c r="EW220" s="520"/>
      <c r="EX220" s="520"/>
      <c r="EY220" s="520"/>
      <c r="EZ220" s="123"/>
      <c r="FA220" s="50"/>
      <c r="FB220" s="51"/>
    </row>
    <row r="221" spans="1:158" ht="9" customHeight="1">
      <c r="A221" s="49"/>
      <c r="B221" s="81"/>
      <c r="C221" s="50"/>
      <c r="D221" s="50"/>
      <c r="E221" s="555"/>
      <c r="F221" s="555"/>
      <c r="G221" s="555"/>
      <c r="H221" s="555"/>
      <c r="I221" s="555"/>
      <c r="J221" s="555"/>
      <c r="K221" s="555"/>
      <c r="L221" s="555"/>
      <c r="M221" s="555"/>
      <c r="N221" s="555"/>
      <c r="O221" s="555"/>
      <c r="P221" s="555"/>
      <c r="Q221" s="555"/>
      <c r="R221" s="555"/>
      <c r="S221" s="555"/>
      <c r="T221" s="555"/>
      <c r="U221" s="555"/>
      <c r="V221" s="555"/>
      <c r="W221" s="555"/>
      <c r="X221" s="555"/>
      <c r="Y221" s="555"/>
      <c r="Z221" s="555"/>
      <c r="AA221" s="555"/>
      <c r="AB221" s="555"/>
      <c r="AC221" s="555"/>
      <c r="AD221" s="555"/>
      <c r="AE221" s="555"/>
      <c r="AF221" s="555"/>
      <c r="AG221" s="555"/>
      <c r="AH221" s="555"/>
      <c r="AI221" s="555"/>
      <c r="AJ221" s="555"/>
      <c r="AK221" s="555"/>
      <c r="AL221" s="555"/>
      <c r="AM221" s="555"/>
      <c r="AN221" s="555"/>
      <c r="AO221" s="555"/>
      <c r="AP221" s="555"/>
      <c r="AQ221" s="555"/>
      <c r="AR221" s="555"/>
      <c r="AS221" s="555"/>
      <c r="AT221" s="555"/>
      <c r="AU221" s="555"/>
      <c r="AV221" s="555"/>
      <c r="AW221" s="555"/>
      <c r="AX221" s="555"/>
      <c r="AY221" s="555"/>
      <c r="AZ221" s="555"/>
      <c r="BA221" s="555"/>
      <c r="BB221" s="555"/>
      <c r="BC221" s="555"/>
      <c r="BD221" s="555"/>
      <c r="BE221" s="555"/>
      <c r="BF221" s="555"/>
      <c r="BG221" s="555"/>
      <c r="BH221" s="555"/>
      <c r="BI221" s="555"/>
      <c r="BJ221" s="555"/>
      <c r="BK221" s="555"/>
      <c r="BL221" s="555"/>
      <c r="BM221" s="555"/>
      <c r="BN221" s="555"/>
      <c r="BO221" s="555"/>
      <c r="BP221" s="555"/>
      <c r="BQ221" s="555"/>
      <c r="BR221" s="555"/>
      <c r="BS221" s="555"/>
      <c r="BT221" s="555"/>
      <c r="BU221" s="555"/>
      <c r="BV221" s="555"/>
      <c r="BW221" s="555"/>
      <c r="BX221" s="555"/>
      <c r="BY221" s="555"/>
      <c r="BZ221" s="555"/>
      <c r="CA221" s="555"/>
      <c r="CB221" s="555"/>
      <c r="CC221" s="555"/>
      <c r="CD221" s="555"/>
      <c r="CE221" s="555"/>
      <c r="CF221" s="555"/>
      <c r="CG221" s="555"/>
      <c r="CH221" s="555"/>
      <c r="CI221" s="555"/>
      <c r="CJ221" s="555"/>
      <c r="CK221" s="555"/>
      <c r="CL221" s="555"/>
      <c r="CM221" s="555"/>
      <c r="CN221" s="555"/>
      <c r="CO221" s="555"/>
      <c r="CP221" s="555"/>
      <c r="CQ221" s="555"/>
      <c r="CR221" s="555"/>
      <c r="CS221" s="555"/>
      <c r="CT221" s="555"/>
      <c r="CU221" s="555"/>
      <c r="CV221" s="555"/>
      <c r="CW221" s="555"/>
      <c r="CX221" s="555"/>
      <c r="CY221" s="555"/>
      <c r="CZ221" s="555"/>
      <c r="DA221" s="555"/>
      <c r="DB221" s="555"/>
      <c r="DC221" s="555"/>
      <c r="DD221" s="555"/>
      <c r="DE221" s="555"/>
      <c r="DF221" s="555"/>
      <c r="DG221" s="555"/>
      <c r="DH221" s="555"/>
      <c r="DI221" s="555"/>
      <c r="DJ221" s="50"/>
      <c r="DK221" s="50"/>
      <c r="DL221" s="81"/>
      <c r="DM221" s="50"/>
      <c r="DN221" s="50"/>
      <c r="DO221" s="122"/>
      <c r="DP221" s="520"/>
      <c r="DQ221" s="520"/>
      <c r="DR221" s="520"/>
      <c r="DS221" s="520"/>
      <c r="DT221" s="520"/>
      <c r="DU221" s="520"/>
      <c r="DV221" s="520"/>
      <c r="DW221" s="520"/>
      <c r="DX221" s="520"/>
      <c r="DY221" s="520"/>
      <c r="DZ221" s="520"/>
      <c r="EA221" s="520"/>
      <c r="EB221" s="520"/>
      <c r="EC221" s="520"/>
      <c r="ED221" s="520"/>
      <c r="EE221" s="520"/>
      <c r="EF221" s="520"/>
      <c r="EG221" s="520"/>
      <c r="EH221" s="520"/>
      <c r="EI221" s="520"/>
      <c r="EJ221" s="520"/>
      <c r="EK221" s="520"/>
      <c r="EL221" s="520"/>
      <c r="EM221" s="520"/>
      <c r="EN221" s="520"/>
      <c r="EO221" s="520"/>
      <c r="EP221" s="520"/>
      <c r="EQ221" s="520"/>
      <c r="ER221" s="520"/>
      <c r="ES221" s="520"/>
      <c r="ET221" s="520"/>
      <c r="EU221" s="520"/>
      <c r="EV221" s="520"/>
      <c r="EW221" s="520"/>
      <c r="EX221" s="520"/>
      <c r="EY221" s="520"/>
      <c r="EZ221" s="123"/>
      <c r="FA221" s="50"/>
      <c r="FB221" s="51"/>
    </row>
    <row r="222" spans="1:158" ht="9" customHeight="1">
      <c r="A222" s="49"/>
      <c r="B222" s="81"/>
      <c r="C222" s="50"/>
      <c r="D222" s="50"/>
      <c r="E222" s="555"/>
      <c r="F222" s="555"/>
      <c r="G222" s="555"/>
      <c r="H222" s="555"/>
      <c r="I222" s="555"/>
      <c r="J222" s="555"/>
      <c r="K222" s="555"/>
      <c r="L222" s="555"/>
      <c r="M222" s="555"/>
      <c r="N222" s="555"/>
      <c r="O222" s="555"/>
      <c r="P222" s="555"/>
      <c r="Q222" s="555"/>
      <c r="R222" s="555"/>
      <c r="S222" s="555"/>
      <c r="T222" s="555"/>
      <c r="U222" s="555"/>
      <c r="V222" s="555"/>
      <c r="W222" s="555"/>
      <c r="X222" s="555"/>
      <c r="Y222" s="555"/>
      <c r="Z222" s="555"/>
      <c r="AA222" s="555"/>
      <c r="AB222" s="555"/>
      <c r="AC222" s="555"/>
      <c r="AD222" s="555"/>
      <c r="AE222" s="555"/>
      <c r="AF222" s="555"/>
      <c r="AG222" s="555"/>
      <c r="AH222" s="555"/>
      <c r="AI222" s="555"/>
      <c r="AJ222" s="555"/>
      <c r="AK222" s="555"/>
      <c r="AL222" s="555"/>
      <c r="AM222" s="555"/>
      <c r="AN222" s="555"/>
      <c r="AO222" s="555"/>
      <c r="AP222" s="555"/>
      <c r="AQ222" s="555"/>
      <c r="AR222" s="555"/>
      <c r="AS222" s="555"/>
      <c r="AT222" s="555"/>
      <c r="AU222" s="555"/>
      <c r="AV222" s="555"/>
      <c r="AW222" s="555"/>
      <c r="AX222" s="555"/>
      <c r="AY222" s="555"/>
      <c r="AZ222" s="555"/>
      <c r="BA222" s="555"/>
      <c r="BB222" s="555"/>
      <c r="BC222" s="555"/>
      <c r="BD222" s="555"/>
      <c r="BE222" s="555"/>
      <c r="BF222" s="555"/>
      <c r="BG222" s="555"/>
      <c r="BH222" s="555"/>
      <c r="BI222" s="555"/>
      <c r="BJ222" s="555"/>
      <c r="BK222" s="555"/>
      <c r="BL222" s="555"/>
      <c r="BM222" s="555"/>
      <c r="BN222" s="555"/>
      <c r="BO222" s="555"/>
      <c r="BP222" s="555"/>
      <c r="BQ222" s="555"/>
      <c r="BR222" s="555"/>
      <c r="BS222" s="555"/>
      <c r="BT222" s="555"/>
      <c r="BU222" s="555"/>
      <c r="BV222" s="555"/>
      <c r="BW222" s="555"/>
      <c r="BX222" s="555"/>
      <c r="BY222" s="555"/>
      <c r="BZ222" s="555"/>
      <c r="CA222" s="555"/>
      <c r="CB222" s="555"/>
      <c r="CC222" s="555"/>
      <c r="CD222" s="555"/>
      <c r="CE222" s="555"/>
      <c r="CF222" s="555"/>
      <c r="CG222" s="555"/>
      <c r="CH222" s="555"/>
      <c r="CI222" s="555"/>
      <c r="CJ222" s="555"/>
      <c r="CK222" s="555"/>
      <c r="CL222" s="555"/>
      <c r="CM222" s="555"/>
      <c r="CN222" s="555"/>
      <c r="CO222" s="555"/>
      <c r="CP222" s="555"/>
      <c r="CQ222" s="555"/>
      <c r="CR222" s="555"/>
      <c r="CS222" s="555"/>
      <c r="CT222" s="555"/>
      <c r="CU222" s="555"/>
      <c r="CV222" s="555"/>
      <c r="CW222" s="555"/>
      <c r="CX222" s="555"/>
      <c r="CY222" s="555"/>
      <c r="CZ222" s="555"/>
      <c r="DA222" s="555"/>
      <c r="DB222" s="555"/>
      <c r="DC222" s="555"/>
      <c r="DD222" s="555"/>
      <c r="DE222" s="555"/>
      <c r="DF222" s="555"/>
      <c r="DG222" s="555"/>
      <c r="DH222" s="555"/>
      <c r="DI222" s="555"/>
      <c r="DJ222" s="50"/>
      <c r="DK222" s="50"/>
      <c r="DL222" s="81"/>
      <c r="DM222" s="50"/>
      <c r="DN222" s="50"/>
      <c r="DO222" s="122"/>
      <c r="DP222" s="521"/>
      <c r="DQ222" s="521"/>
      <c r="DR222" s="521"/>
      <c r="DS222" s="521"/>
      <c r="DT222" s="521"/>
      <c r="DU222" s="521"/>
      <c r="DV222" s="521"/>
      <c r="DW222" s="521"/>
      <c r="DX222" s="521"/>
      <c r="DY222" s="521"/>
      <c r="DZ222" s="521"/>
      <c r="EA222" s="521"/>
      <c r="EB222" s="521"/>
      <c r="EC222" s="521"/>
      <c r="ED222" s="521"/>
      <c r="EE222" s="521"/>
      <c r="EF222" s="521"/>
      <c r="EG222" s="521"/>
      <c r="EH222" s="521"/>
      <c r="EI222" s="521"/>
      <c r="EJ222" s="521"/>
      <c r="EK222" s="521"/>
      <c r="EL222" s="521"/>
      <c r="EM222" s="521"/>
      <c r="EN222" s="521"/>
      <c r="EO222" s="521"/>
      <c r="EP222" s="521"/>
      <c r="EQ222" s="521"/>
      <c r="ER222" s="521"/>
      <c r="ES222" s="521"/>
      <c r="ET222" s="521"/>
      <c r="EU222" s="521"/>
      <c r="EV222" s="521"/>
      <c r="EW222" s="521"/>
      <c r="EX222" s="521"/>
      <c r="EY222" s="521"/>
      <c r="EZ222" s="123"/>
      <c r="FA222" s="50"/>
      <c r="FB222" s="51"/>
    </row>
    <row r="223" spans="1:158" ht="9" customHeight="1">
      <c r="A223" s="49"/>
      <c r="B223" s="81"/>
      <c r="C223" s="50"/>
      <c r="D223" s="50"/>
      <c r="E223" s="555"/>
      <c r="F223" s="555"/>
      <c r="G223" s="555"/>
      <c r="H223" s="555"/>
      <c r="I223" s="555"/>
      <c r="J223" s="555"/>
      <c r="K223" s="555"/>
      <c r="L223" s="555"/>
      <c r="M223" s="555"/>
      <c r="N223" s="555"/>
      <c r="O223" s="555"/>
      <c r="P223" s="555"/>
      <c r="Q223" s="555"/>
      <c r="R223" s="555"/>
      <c r="S223" s="555"/>
      <c r="T223" s="555"/>
      <c r="U223" s="555"/>
      <c r="V223" s="555"/>
      <c r="W223" s="555"/>
      <c r="X223" s="555"/>
      <c r="Y223" s="555"/>
      <c r="Z223" s="555"/>
      <c r="AA223" s="555"/>
      <c r="AB223" s="555"/>
      <c r="AC223" s="555"/>
      <c r="AD223" s="555"/>
      <c r="AE223" s="555"/>
      <c r="AF223" s="555"/>
      <c r="AG223" s="555"/>
      <c r="AH223" s="555"/>
      <c r="AI223" s="555"/>
      <c r="AJ223" s="555"/>
      <c r="AK223" s="555"/>
      <c r="AL223" s="555"/>
      <c r="AM223" s="555"/>
      <c r="AN223" s="555"/>
      <c r="AO223" s="555"/>
      <c r="AP223" s="555"/>
      <c r="AQ223" s="555"/>
      <c r="AR223" s="555"/>
      <c r="AS223" s="555"/>
      <c r="AT223" s="555"/>
      <c r="AU223" s="555"/>
      <c r="AV223" s="555"/>
      <c r="AW223" s="555"/>
      <c r="AX223" s="555"/>
      <c r="AY223" s="555"/>
      <c r="AZ223" s="555"/>
      <c r="BA223" s="555"/>
      <c r="BB223" s="555"/>
      <c r="BC223" s="555"/>
      <c r="BD223" s="555"/>
      <c r="BE223" s="555"/>
      <c r="BF223" s="555"/>
      <c r="BG223" s="555"/>
      <c r="BH223" s="555"/>
      <c r="BI223" s="555"/>
      <c r="BJ223" s="555"/>
      <c r="BK223" s="555"/>
      <c r="BL223" s="555"/>
      <c r="BM223" s="555"/>
      <c r="BN223" s="555"/>
      <c r="BO223" s="555"/>
      <c r="BP223" s="555"/>
      <c r="BQ223" s="555"/>
      <c r="BR223" s="555"/>
      <c r="BS223" s="555"/>
      <c r="BT223" s="555"/>
      <c r="BU223" s="555"/>
      <c r="BV223" s="555"/>
      <c r="BW223" s="555"/>
      <c r="BX223" s="555"/>
      <c r="BY223" s="555"/>
      <c r="BZ223" s="555"/>
      <c r="CA223" s="555"/>
      <c r="CB223" s="555"/>
      <c r="CC223" s="555"/>
      <c r="CD223" s="555"/>
      <c r="CE223" s="555"/>
      <c r="CF223" s="555"/>
      <c r="CG223" s="555"/>
      <c r="CH223" s="555"/>
      <c r="CI223" s="555"/>
      <c r="CJ223" s="555"/>
      <c r="CK223" s="555"/>
      <c r="CL223" s="555"/>
      <c r="CM223" s="555"/>
      <c r="CN223" s="555"/>
      <c r="CO223" s="555"/>
      <c r="CP223" s="555"/>
      <c r="CQ223" s="555"/>
      <c r="CR223" s="555"/>
      <c r="CS223" s="555"/>
      <c r="CT223" s="555"/>
      <c r="CU223" s="555"/>
      <c r="CV223" s="555"/>
      <c r="CW223" s="555"/>
      <c r="CX223" s="555"/>
      <c r="CY223" s="555"/>
      <c r="CZ223" s="555"/>
      <c r="DA223" s="555"/>
      <c r="DB223" s="555"/>
      <c r="DC223" s="555"/>
      <c r="DD223" s="555"/>
      <c r="DE223" s="555"/>
      <c r="DF223" s="555"/>
      <c r="DG223" s="555"/>
      <c r="DH223" s="555"/>
      <c r="DI223" s="555"/>
      <c r="DJ223" s="50"/>
      <c r="DK223" s="50"/>
      <c r="DL223" s="81"/>
      <c r="DM223" s="50"/>
      <c r="DN223" s="50"/>
      <c r="DO223" s="122"/>
      <c r="DP223" s="520" t="str">
        <f>IF(Skills!AB25="","","Rng Combat ["&amp;Skills!AB25&amp;"] "&amp;IF(Skills!X25&lt;0,"-","+")&amp;Skills!X25)</f>
        <v/>
      </c>
      <c r="DQ223" s="520"/>
      <c r="DR223" s="520"/>
      <c r="DS223" s="520"/>
      <c r="DT223" s="520"/>
      <c r="DU223" s="520"/>
      <c r="DV223" s="520"/>
      <c r="DW223" s="520"/>
      <c r="DX223" s="520"/>
      <c r="DY223" s="520"/>
      <c r="DZ223" s="520"/>
      <c r="EA223" s="520"/>
      <c r="EB223" s="520"/>
      <c r="EC223" s="520"/>
      <c r="ED223" s="520"/>
      <c r="EE223" s="520"/>
      <c r="EF223" s="520"/>
      <c r="EG223" s="520"/>
      <c r="EH223" s="520"/>
      <c r="EI223" s="520"/>
      <c r="EJ223" s="520"/>
      <c r="EK223" s="520"/>
      <c r="EL223" s="520"/>
      <c r="EM223" s="520"/>
      <c r="EN223" s="520"/>
      <c r="EO223" s="520"/>
      <c r="EP223" s="520"/>
      <c r="EQ223" s="520"/>
      <c r="ER223" s="520"/>
      <c r="ES223" s="520"/>
      <c r="ET223" s="520"/>
      <c r="EU223" s="520"/>
      <c r="EV223" s="520"/>
      <c r="EW223" s="520"/>
      <c r="EX223" s="520"/>
      <c r="EY223" s="520"/>
      <c r="EZ223" s="123"/>
      <c r="FA223" s="50"/>
      <c r="FB223" s="51"/>
    </row>
    <row r="224" spans="1:158" ht="9" customHeight="1">
      <c r="A224" s="49"/>
      <c r="B224" s="81"/>
      <c r="C224" s="50"/>
      <c r="D224" s="50"/>
      <c r="E224" s="555"/>
      <c r="F224" s="555"/>
      <c r="G224" s="555"/>
      <c r="H224" s="555"/>
      <c r="I224" s="555"/>
      <c r="J224" s="555"/>
      <c r="K224" s="555"/>
      <c r="L224" s="555"/>
      <c r="M224" s="555"/>
      <c r="N224" s="555"/>
      <c r="O224" s="555"/>
      <c r="P224" s="555"/>
      <c r="Q224" s="555"/>
      <c r="R224" s="555"/>
      <c r="S224" s="555"/>
      <c r="T224" s="555"/>
      <c r="U224" s="555"/>
      <c r="V224" s="555"/>
      <c r="W224" s="555"/>
      <c r="X224" s="555"/>
      <c r="Y224" s="555"/>
      <c r="Z224" s="555"/>
      <c r="AA224" s="555"/>
      <c r="AB224" s="555"/>
      <c r="AC224" s="555"/>
      <c r="AD224" s="555"/>
      <c r="AE224" s="555"/>
      <c r="AF224" s="555"/>
      <c r="AG224" s="555"/>
      <c r="AH224" s="555"/>
      <c r="AI224" s="555"/>
      <c r="AJ224" s="555"/>
      <c r="AK224" s="555"/>
      <c r="AL224" s="555"/>
      <c r="AM224" s="555"/>
      <c r="AN224" s="555"/>
      <c r="AO224" s="555"/>
      <c r="AP224" s="555"/>
      <c r="AQ224" s="555"/>
      <c r="AR224" s="555"/>
      <c r="AS224" s="555"/>
      <c r="AT224" s="555"/>
      <c r="AU224" s="555"/>
      <c r="AV224" s="555"/>
      <c r="AW224" s="555"/>
      <c r="AX224" s="555"/>
      <c r="AY224" s="555"/>
      <c r="AZ224" s="555"/>
      <c r="BA224" s="555"/>
      <c r="BB224" s="555"/>
      <c r="BC224" s="555"/>
      <c r="BD224" s="555"/>
      <c r="BE224" s="555"/>
      <c r="BF224" s="555"/>
      <c r="BG224" s="555"/>
      <c r="BH224" s="555"/>
      <c r="BI224" s="555"/>
      <c r="BJ224" s="555"/>
      <c r="BK224" s="555"/>
      <c r="BL224" s="555"/>
      <c r="BM224" s="555"/>
      <c r="BN224" s="555"/>
      <c r="BO224" s="555"/>
      <c r="BP224" s="555"/>
      <c r="BQ224" s="555"/>
      <c r="BR224" s="555"/>
      <c r="BS224" s="555"/>
      <c r="BT224" s="555"/>
      <c r="BU224" s="555"/>
      <c r="BV224" s="555"/>
      <c r="BW224" s="555"/>
      <c r="BX224" s="555"/>
      <c r="BY224" s="555"/>
      <c r="BZ224" s="555"/>
      <c r="CA224" s="555"/>
      <c r="CB224" s="555"/>
      <c r="CC224" s="555"/>
      <c r="CD224" s="555"/>
      <c r="CE224" s="555"/>
      <c r="CF224" s="555"/>
      <c r="CG224" s="555"/>
      <c r="CH224" s="555"/>
      <c r="CI224" s="555"/>
      <c r="CJ224" s="555"/>
      <c r="CK224" s="555"/>
      <c r="CL224" s="555"/>
      <c r="CM224" s="555"/>
      <c r="CN224" s="555"/>
      <c r="CO224" s="555"/>
      <c r="CP224" s="555"/>
      <c r="CQ224" s="555"/>
      <c r="CR224" s="555"/>
      <c r="CS224" s="555"/>
      <c r="CT224" s="555"/>
      <c r="CU224" s="555"/>
      <c r="CV224" s="555"/>
      <c r="CW224" s="555"/>
      <c r="CX224" s="555"/>
      <c r="CY224" s="555"/>
      <c r="CZ224" s="555"/>
      <c r="DA224" s="555"/>
      <c r="DB224" s="555"/>
      <c r="DC224" s="555"/>
      <c r="DD224" s="555"/>
      <c r="DE224" s="555"/>
      <c r="DF224" s="555"/>
      <c r="DG224" s="555"/>
      <c r="DH224" s="555"/>
      <c r="DI224" s="555"/>
      <c r="DJ224" s="50"/>
      <c r="DK224" s="50"/>
      <c r="DL224" s="81"/>
      <c r="DM224" s="50"/>
      <c r="DN224" s="50"/>
      <c r="DO224" s="122"/>
      <c r="DP224" s="520"/>
      <c r="DQ224" s="520"/>
      <c r="DR224" s="520"/>
      <c r="DS224" s="520"/>
      <c r="DT224" s="520"/>
      <c r="DU224" s="520"/>
      <c r="DV224" s="520"/>
      <c r="DW224" s="520"/>
      <c r="DX224" s="520"/>
      <c r="DY224" s="520"/>
      <c r="DZ224" s="520"/>
      <c r="EA224" s="520"/>
      <c r="EB224" s="520"/>
      <c r="EC224" s="520"/>
      <c r="ED224" s="520"/>
      <c r="EE224" s="520"/>
      <c r="EF224" s="520"/>
      <c r="EG224" s="520"/>
      <c r="EH224" s="520"/>
      <c r="EI224" s="520"/>
      <c r="EJ224" s="520"/>
      <c r="EK224" s="520"/>
      <c r="EL224" s="520"/>
      <c r="EM224" s="520"/>
      <c r="EN224" s="520"/>
      <c r="EO224" s="520"/>
      <c r="EP224" s="520"/>
      <c r="EQ224" s="520"/>
      <c r="ER224" s="520"/>
      <c r="ES224" s="520"/>
      <c r="ET224" s="520"/>
      <c r="EU224" s="520"/>
      <c r="EV224" s="520"/>
      <c r="EW224" s="520"/>
      <c r="EX224" s="520"/>
      <c r="EY224" s="520"/>
      <c r="EZ224" s="123"/>
      <c r="FA224" s="50"/>
      <c r="FB224" s="51"/>
    </row>
    <row r="225" spans="1:158" ht="9" customHeight="1">
      <c r="A225" s="49"/>
      <c r="B225" s="81"/>
      <c r="C225" s="50"/>
      <c r="D225" s="50"/>
      <c r="E225" s="555"/>
      <c r="F225" s="555"/>
      <c r="G225" s="555"/>
      <c r="H225" s="555"/>
      <c r="I225" s="555"/>
      <c r="J225" s="555"/>
      <c r="K225" s="555"/>
      <c r="L225" s="555"/>
      <c r="M225" s="555"/>
      <c r="N225" s="555"/>
      <c r="O225" s="555"/>
      <c r="P225" s="555"/>
      <c r="Q225" s="555"/>
      <c r="R225" s="555"/>
      <c r="S225" s="555"/>
      <c r="T225" s="555"/>
      <c r="U225" s="555"/>
      <c r="V225" s="555"/>
      <c r="W225" s="555"/>
      <c r="X225" s="555"/>
      <c r="Y225" s="555"/>
      <c r="Z225" s="555"/>
      <c r="AA225" s="555"/>
      <c r="AB225" s="555"/>
      <c r="AC225" s="555"/>
      <c r="AD225" s="555"/>
      <c r="AE225" s="555"/>
      <c r="AF225" s="555"/>
      <c r="AG225" s="555"/>
      <c r="AH225" s="555"/>
      <c r="AI225" s="555"/>
      <c r="AJ225" s="555"/>
      <c r="AK225" s="555"/>
      <c r="AL225" s="555"/>
      <c r="AM225" s="555"/>
      <c r="AN225" s="555"/>
      <c r="AO225" s="555"/>
      <c r="AP225" s="555"/>
      <c r="AQ225" s="555"/>
      <c r="AR225" s="555"/>
      <c r="AS225" s="555"/>
      <c r="AT225" s="555"/>
      <c r="AU225" s="555"/>
      <c r="AV225" s="555"/>
      <c r="AW225" s="555"/>
      <c r="AX225" s="555"/>
      <c r="AY225" s="555"/>
      <c r="AZ225" s="555"/>
      <c r="BA225" s="555"/>
      <c r="BB225" s="555"/>
      <c r="BC225" s="555"/>
      <c r="BD225" s="555"/>
      <c r="BE225" s="555"/>
      <c r="BF225" s="555"/>
      <c r="BG225" s="555"/>
      <c r="BH225" s="555"/>
      <c r="BI225" s="555"/>
      <c r="BJ225" s="555"/>
      <c r="BK225" s="555"/>
      <c r="BL225" s="555"/>
      <c r="BM225" s="555"/>
      <c r="BN225" s="555"/>
      <c r="BO225" s="555"/>
      <c r="BP225" s="555"/>
      <c r="BQ225" s="555"/>
      <c r="BR225" s="555"/>
      <c r="BS225" s="555"/>
      <c r="BT225" s="555"/>
      <c r="BU225" s="555"/>
      <c r="BV225" s="555"/>
      <c r="BW225" s="555"/>
      <c r="BX225" s="555"/>
      <c r="BY225" s="555"/>
      <c r="BZ225" s="555"/>
      <c r="CA225" s="555"/>
      <c r="CB225" s="555"/>
      <c r="CC225" s="555"/>
      <c r="CD225" s="555"/>
      <c r="CE225" s="555"/>
      <c r="CF225" s="555"/>
      <c r="CG225" s="555"/>
      <c r="CH225" s="555"/>
      <c r="CI225" s="555"/>
      <c r="CJ225" s="555"/>
      <c r="CK225" s="555"/>
      <c r="CL225" s="555"/>
      <c r="CM225" s="555"/>
      <c r="CN225" s="555"/>
      <c r="CO225" s="555"/>
      <c r="CP225" s="555"/>
      <c r="CQ225" s="555"/>
      <c r="CR225" s="555"/>
      <c r="CS225" s="555"/>
      <c r="CT225" s="555"/>
      <c r="CU225" s="555"/>
      <c r="CV225" s="555"/>
      <c r="CW225" s="555"/>
      <c r="CX225" s="555"/>
      <c r="CY225" s="555"/>
      <c r="CZ225" s="555"/>
      <c r="DA225" s="555"/>
      <c r="DB225" s="555"/>
      <c r="DC225" s="555"/>
      <c r="DD225" s="555"/>
      <c r="DE225" s="555"/>
      <c r="DF225" s="555"/>
      <c r="DG225" s="555"/>
      <c r="DH225" s="555"/>
      <c r="DI225" s="555"/>
      <c r="DJ225" s="50"/>
      <c r="DK225" s="50"/>
      <c r="DL225" s="81"/>
      <c r="DM225" s="50"/>
      <c r="DN225" s="50"/>
      <c r="DO225" s="122"/>
      <c r="DP225" s="520"/>
      <c r="DQ225" s="520"/>
      <c r="DR225" s="520"/>
      <c r="DS225" s="520"/>
      <c r="DT225" s="520"/>
      <c r="DU225" s="520"/>
      <c r="DV225" s="520"/>
      <c r="DW225" s="520"/>
      <c r="DX225" s="520"/>
      <c r="DY225" s="520"/>
      <c r="DZ225" s="520"/>
      <c r="EA225" s="520"/>
      <c r="EB225" s="520"/>
      <c r="EC225" s="520"/>
      <c r="ED225" s="520"/>
      <c r="EE225" s="520"/>
      <c r="EF225" s="520"/>
      <c r="EG225" s="520"/>
      <c r="EH225" s="520"/>
      <c r="EI225" s="520"/>
      <c r="EJ225" s="520"/>
      <c r="EK225" s="520"/>
      <c r="EL225" s="520"/>
      <c r="EM225" s="520"/>
      <c r="EN225" s="520"/>
      <c r="EO225" s="520"/>
      <c r="EP225" s="520"/>
      <c r="EQ225" s="520"/>
      <c r="ER225" s="520"/>
      <c r="ES225" s="520"/>
      <c r="ET225" s="520"/>
      <c r="EU225" s="520"/>
      <c r="EV225" s="520"/>
      <c r="EW225" s="520"/>
      <c r="EX225" s="520"/>
      <c r="EY225" s="520"/>
      <c r="EZ225" s="123"/>
      <c r="FA225" s="50"/>
      <c r="FB225" s="51"/>
    </row>
    <row r="226" spans="1:158" ht="9" customHeight="1">
      <c r="A226" s="49"/>
      <c r="B226" s="81"/>
      <c r="C226" s="50"/>
      <c r="D226" s="50"/>
      <c r="E226" s="555"/>
      <c r="F226" s="555"/>
      <c r="G226" s="555"/>
      <c r="H226" s="555"/>
      <c r="I226" s="555"/>
      <c r="J226" s="555"/>
      <c r="K226" s="555"/>
      <c r="L226" s="555"/>
      <c r="M226" s="555"/>
      <c r="N226" s="555"/>
      <c r="O226" s="555"/>
      <c r="P226" s="555"/>
      <c r="Q226" s="555"/>
      <c r="R226" s="555"/>
      <c r="S226" s="555"/>
      <c r="T226" s="555"/>
      <c r="U226" s="555"/>
      <c r="V226" s="555"/>
      <c r="W226" s="555"/>
      <c r="X226" s="555"/>
      <c r="Y226" s="555"/>
      <c r="Z226" s="555"/>
      <c r="AA226" s="555"/>
      <c r="AB226" s="555"/>
      <c r="AC226" s="555"/>
      <c r="AD226" s="555"/>
      <c r="AE226" s="555"/>
      <c r="AF226" s="555"/>
      <c r="AG226" s="555"/>
      <c r="AH226" s="555"/>
      <c r="AI226" s="555"/>
      <c r="AJ226" s="555"/>
      <c r="AK226" s="555"/>
      <c r="AL226" s="555"/>
      <c r="AM226" s="555"/>
      <c r="AN226" s="555"/>
      <c r="AO226" s="555"/>
      <c r="AP226" s="555"/>
      <c r="AQ226" s="555"/>
      <c r="AR226" s="555"/>
      <c r="AS226" s="555"/>
      <c r="AT226" s="555"/>
      <c r="AU226" s="555"/>
      <c r="AV226" s="555"/>
      <c r="AW226" s="555"/>
      <c r="AX226" s="555"/>
      <c r="AY226" s="555"/>
      <c r="AZ226" s="555"/>
      <c r="BA226" s="555"/>
      <c r="BB226" s="555"/>
      <c r="BC226" s="555"/>
      <c r="BD226" s="555"/>
      <c r="BE226" s="555"/>
      <c r="BF226" s="555"/>
      <c r="BG226" s="555"/>
      <c r="BH226" s="555"/>
      <c r="BI226" s="555"/>
      <c r="BJ226" s="555"/>
      <c r="BK226" s="555"/>
      <c r="BL226" s="555"/>
      <c r="BM226" s="555"/>
      <c r="BN226" s="555"/>
      <c r="BO226" s="555"/>
      <c r="BP226" s="555"/>
      <c r="BQ226" s="555"/>
      <c r="BR226" s="555"/>
      <c r="BS226" s="555"/>
      <c r="BT226" s="555"/>
      <c r="BU226" s="555"/>
      <c r="BV226" s="555"/>
      <c r="BW226" s="555"/>
      <c r="BX226" s="555"/>
      <c r="BY226" s="555"/>
      <c r="BZ226" s="555"/>
      <c r="CA226" s="555"/>
      <c r="CB226" s="555"/>
      <c r="CC226" s="555"/>
      <c r="CD226" s="555"/>
      <c r="CE226" s="555"/>
      <c r="CF226" s="555"/>
      <c r="CG226" s="555"/>
      <c r="CH226" s="555"/>
      <c r="CI226" s="555"/>
      <c r="CJ226" s="555"/>
      <c r="CK226" s="555"/>
      <c r="CL226" s="555"/>
      <c r="CM226" s="555"/>
      <c r="CN226" s="555"/>
      <c r="CO226" s="555"/>
      <c r="CP226" s="555"/>
      <c r="CQ226" s="555"/>
      <c r="CR226" s="555"/>
      <c r="CS226" s="555"/>
      <c r="CT226" s="555"/>
      <c r="CU226" s="555"/>
      <c r="CV226" s="555"/>
      <c r="CW226" s="555"/>
      <c r="CX226" s="555"/>
      <c r="CY226" s="555"/>
      <c r="CZ226" s="555"/>
      <c r="DA226" s="555"/>
      <c r="DB226" s="555"/>
      <c r="DC226" s="555"/>
      <c r="DD226" s="555"/>
      <c r="DE226" s="555"/>
      <c r="DF226" s="555"/>
      <c r="DG226" s="555"/>
      <c r="DH226" s="555"/>
      <c r="DI226" s="555"/>
      <c r="DJ226" s="50"/>
      <c r="DK226" s="50"/>
      <c r="DL226" s="81"/>
      <c r="DM226" s="50"/>
      <c r="DN226" s="50"/>
      <c r="DO226" s="122"/>
      <c r="DP226" s="521"/>
      <c r="DQ226" s="521"/>
      <c r="DR226" s="521"/>
      <c r="DS226" s="521"/>
      <c r="DT226" s="521"/>
      <c r="DU226" s="521"/>
      <c r="DV226" s="521"/>
      <c r="DW226" s="521"/>
      <c r="DX226" s="521"/>
      <c r="DY226" s="521"/>
      <c r="DZ226" s="521"/>
      <c r="EA226" s="521"/>
      <c r="EB226" s="521"/>
      <c r="EC226" s="521"/>
      <c r="ED226" s="521"/>
      <c r="EE226" s="521"/>
      <c r="EF226" s="521"/>
      <c r="EG226" s="521"/>
      <c r="EH226" s="521"/>
      <c r="EI226" s="521"/>
      <c r="EJ226" s="521"/>
      <c r="EK226" s="521"/>
      <c r="EL226" s="521"/>
      <c r="EM226" s="521"/>
      <c r="EN226" s="521"/>
      <c r="EO226" s="521"/>
      <c r="EP226" s="521"/>
      <c r="EQ226" s="521"/>
      <c r="ER226" s="521"/>
      <c r="ES226" s="521"/>
      <c r="ET226" s="521"/>
      <c r="EU226" s="521"/>
      <c r="EV226" s="521"/>
      <c r="EW226" s="521"/>
      <c r="EX226" s="521"/>
      <c r="EY226" s="521"/>
      <c r="EZ226" s="123"/>
      <c r="FA226" s="50"/>
      <c r="FB226" s="51"/>
    </row>
    <row r="227" spans="1:158" ht="9" customHeight="1">
      <c r="A227" s="49"/>
      <c r="B227" s="81"/>
      <c r="C227" s="50"/>
      <c r="D227" s="50"/>
      <c r="E227" s="555"/>
      <c r="F227" s="555"/>
      <c r="G227" s="555"/>
      <c r="H227" s="555"/>
      <c r="I227" s="555"/>
      <c r="J227" s="555"/>
      <c r="K227" s="555"/>
      <c r="L227" s="555"/>
      <c r="M227" s="555"/>
      <c r="N227" s="555"/>
      <c r="O227" s="555"/>
      <c r="P227" s="555"/>
      <c r="Q227" s="555"/>
      <c r="R227" s="555"/>
      <c r="S227" s="555"/>
      <c r="T227" s="555"/>
      <c r="U227" s="555"/>
      <c r="V227" s="555"/>
      <c r="W227" s="555"/>
      <c r="X227" s="555"/>
      <c r="Y227" s="555"/>
      <c r="Z227" s="555"/>
      <c r="AA227" s="555"/>
      <c r="AB227" s="555"/>
      <c r="AC227" s="555"/>
      <c r="AD227" s="555"/>
      <c r="AE227" s="555"/>
      <c r="AF227" s="555"/>
      <c r="AG227" s="555"/>
      <c r="AH227" s="555"/>
      <c r="AI227" s="555"/>
      <c r="AJ227" s="555"/>
      <c r="AK227" s="555"/>
      <c r="AL227" s="555"/>
      <c r="AM227" s="555"/>
      <c r="AN227" s="555"/>
      <c r="AO227" s="555"/>
      <c r="AP227" s="555"/>
      <c r="AQ227" s="555"/>
      <c r="AR227" s="555"/>
      <c r="AS227" s="555"/>
      <c r="AT227" s="555"/>
      <c r="AU227" s="555"/>
      <c r="AV227" s="555"/>
      <c r="AW227" s="555"/>
      <c r="AX227" s="555"/>
      <c r="AY227" s="555"/>
      <c r="AZ227" s="555"/>
      <c r="BA227" s="555"/>
      <c r="BB227" s="555"/>
      <c r="BC227" s="555"/>
      <c r="BD227" s="555"/>
      <c r="BE227" s="555"/>
      <c r="BF227" s="555"/>
      <c r="BG227" s="555"/>
      <c r="BH227" s="555"/>
      <c r="BI227" s="555"/>
      <c r="BJ227" s="555"/>
      <c r="BK227" s="555"/>
      <c r="BL227" s="555"/>
      <c r="BM227" s="555"/>
      <c r="BN227" s="555"/>
      <c r="BO227" s="555"/>
      <c r="BP227" s="555"/>
      <c r="BQ227" s="555"/>
      <c r="BR227" s="555"/>
      <c r="BS227" s="555"/>
      <c r="BT227" s="555"/>
      <c r="BU227" s="555"/>
      <c r="BV227" s="555"/>
      <c r="BW227" s="555"/>
      <c r="BX227" s="555"/>
      <c r="BY227" s="555"/>
      <c r="BZ227" s="555"/>
      <c r="CA227" s="555"/>
      <c r="CB227" s="555"/>
      <c r="CC227" s="555"/>
      <c r="CD227" s="555"/>
      <c r="CE227" s="555"/>
      <c r="CF227" s="555"/>
      <c r="CG227" s="555"/>
      <c r="CH227" s="555"/>
      <c r="CI227" s="555"/>
      <c r="CJ227" s="555"/>
      <c r="CK227" s="555"/>
      <c r="CL227" s="555"/>
      <c r="CM227" s="555"/>
      <c r="CN227" s="555"/>
      <c r="CO227" s="555"/>
      <c r="CP227" s="555"/>
      <c r="CQ227" s="555"/>
      <c r="CR227" s="555"/>
      <c r="CS227" s="555"/>
      <c r="CT227" s="555"/>
      <c r="CU227" s="555"/>
      <c r="CV227" s="555"/>
      <c r="CW227" s="555"/>
      <c r="CX227" s="555"/>
      <c r="CY227" s="555"/>
      <c r="CZ227" s="555"/>
      <c r="DA227" s="555"/>
      <c r="DB227" s="555"/>
      <c r="DC227" s="555"/>
      <c r="DD227" s="555"/>
      <c r="DE227" s="555"/>
      <c r="DF227" s="555"/>
      <c r="DG227" s="555"/>
      <c r="DH227" s="555"/>
      <c r="DI227" s="555"/>
      <c r="DJ227" s="50"/>
      <c r="DK227" s="50"/>
      <c r="DL227" s="81"/>
      <c r="DM227" s="50"/>
      <c r="DN227" s="50"/>
      <c r="DO227" s="122"/>
      <c r="DP227" s="520" t="str">
        <f>IF(Skills!X26="","","Sleight of Hand "&amp;IF(Skills!X26&lt;0,"-","+")&amp;Skills!X26)</f>
        <v>Sleight of Hand +7</v>
      </c>
      <c r="DQ227" s="520"/>
      <c r="DR227" s="520"/>
      <c r="DS227" s="520"/>
      <c r="DT227" s="520"/>
      <c r="DU227" s="520"/>
      <c r="DV227" s="520"/>
      <c r="DW227" s="520"/>
      <c r="DX227" s="520"/>
      <c r="DY227" s="520"/>
      <c r="DZ227" s="520"/>
      <c r="EA227" s="520"/>
      <c r="EB227" s="520"/>
      <c r="EC227" s="520"/>
      <c r="ED227" s="520"/>
      <c r="EE227" s="520"/>
      <c r="EF227" s="520"/>
      <c r="EG227" s="520"/>
      <c r="EH227" s="520"/>
      <c r="EI227" s="520"/>
      <c r="EJ227" s="520"/>
      <c r="EK227" s="520"/>
      <c r="EL227" s="520"/>
      <c r="EM227" s="520"/>
      <c r="EN227" s="520"/>
      <c r="EO227" s="520"/>
      <c r="EP227" s="520"/>
      <c r="EQ227" s="520"/>
      <c r="ER227" s="520"/>
      <c r="ES227" s="520"/>
      <c r="ET227" s="520"/>
      <c r="EU227" s="520"/>
      <c r="EV227" s="520"/>
      <c r="EW227" s="520"/>
      <c r="EX227" s="520"/>
      <c r="EY227" s="520"/>
      <c r="EZ227" s="123"/>
      <c r="FA227" s="50"/>
      <c r="FB227" s="51"/>
    </row>
    <row r="228" spans="1:158" ht="9" customHeight="1">
      <c r="A228" s="49"/>
      <c r="B228" s="81"/>
      <c r="C228" s="50"/>
      <c r="D228" s="50"/>
      <c r="E228" s="555"/>
      <c r="F228" s="555"/>
      <c r="G228" s="555"/>
      <c r="H228" s="555"/>
      <c r="I228" s="555"/>
      <c r="J228" s="555"/>
      <c r="K228" s="555"/>
      <c r="L228" s="555"/>
      <c r="M228" s="555"/>
      <c r="N228" s="555"/>
      <c r="O228" s="555"/>
      <c r="P228" s="555"/>
      <c r="Q228" s="555"/>
      <c r="R228" s="555"/>
      <c r="S228" s="555"/>
      <c r="T228" s="555"/>
      <c r="U228" s="555"/>
      <c r="V228" s="555"/>
      <c r="W228" s="555"/>
      <c r="X228" s="555"/>
      <c r="Y228" s="555"/>
      <c r="Z228" s="555"/>
      <c r="AA228" s="555"/>
      <c r="AB228" s="555"/>
      <c r="AC228" s="555"/>
      <c r="AD228" s="555"/>
      <c r="AE228" s="555"/>
      <c r="AF228" s="555"/>
      <c r="AG228" s="555"/>
      <c r="AH228" s="555"/>
      <c r="AI228" s="555"/>
      <c r="AJ228" s="555"/>
      <c r="AK228" s="555"/>
      <c r="AL228" s="555"/>
      <c r="AM228" s="555"/>
      <c r="AN228" s="555"/>
      <c r="AO228" s="555"/>
      <c r="AP228" s="555"/>
      <c r="AQ228" s="555"/>
      <c r="AR228" s="555"/>
      <c r="AS228" s="555"/>
      <c r="AT228" s="555"/>
      <c r="AU228" s="555"/>
      <c r="AV228" s="555"/>
      <c r="AW228" s="555"/>
      <c r="AX228" s="555"/>
      <c r="AY228" s="555"/>
      <c r="AZ228" s="555"/>
      <c r="BA228" s="555"/>
      <c r="BB228" s="555"/>
      <c r="BC228" s="555"/>
      <c r="BD228" s="555"/>
      <c r="BE228" s="555"/>
      <c r="BF228" s="555"/>
      <c r="BG228" s="555"/>
      <c r="BH228" s="555"/>
      <c r="BI228" s="555"/>
      <c r="BJ228" s="555"/>
      <c r="BK228" s="555"/>
      <c r="BL228" s="555"/>
      <c r="BM228" s="555"/>
      <c r="BN228" s="555"/>
      <c r="BO228" s="555"/>
      <c r="BP228" s="555"/>
      <c r="BQ228" s="555"/>
      <c r="BR228" s="555"/>
      <c r="BS228" s="555"/>
      <c r="BT228" s="555"/>
      <c r="BU228" s="555"/>
      <c r="BV228" s="555"/>
      <c r="BW228" s="555"/>
      <c r="BX228" s="555"/>
      <c r="BY228" s="555"/>
      <c r="BZ228" s="555"/>
      <c r="CA228" s="555"/>
      <c r="CB228" s="555"/>
      <c r="CC228" s="555"/>
      <c r="CD228" s="555"/>
      <c r="CE228" s="555"/>
      <c r="CF228" s="555"/>
      <c r="CG228" s="555"/>
      <c r="CH228" s="555"/>
      <c r="CI228" s="555"/>
      <c r="CJ228" s="555"/>
      <c r="CK228" s="555"/>
      <c r="CL228" s="555"/>
      <c r="CM228" s="555"/>
      <c r="CN228" s="555"/>
      <c r="CO228" s="555"/>
      <c r="CP228" s="555"/>
      <c r="CQ228" s="555"/>
      <c r="CR228" s="555"/>
      <c r="CS228" s="555"/>
      <c r="CT228" s="555"/>
      <c r="CU228" s="555"/>
      <c r="CV228" s="555"/>
      <c r="CW228" s="555"/>
      <c r="CX228" s="555"/>
      <c r="CY228" s="555"/>
      <c r="CZ228" s="555"/>
      <c r="DA228" s="555"/>
      <c r="DB228" s="555"/>
      <c r="DC228" s="555"/>
      <c r="DD228" s="555"/>
      <c r="DE228" s="555"/>
      <c r="DF228" s="555"/>
      <c r="DG228" s="555"/>
      <c r="DH228" s="555"/>
      <c r="DI228" s="555"/>
      <c r="DJ228" s="50"/>
      <c r="DK228" s="50"/>
      <c r="DL228" s="81"/>
      <c r="DM228" s="50"/>
      <c r="DN228" s="50"/>
      <c r="DO228" s="122"/>
      <c r="DP228" s="520"/>
      <c r="DQ228" s="520"/>
      <c r="DR228" s="520"/>
      <c r="DS228" s="520"/>
      <c r="DT228" s="520"/>
      <c r="DU228" s="520"/>
      <c r="DV228" s="520"/>
      <c r="DW228" s="520"/>
      <c r="DX228" s="520"/>
      <c r="DY228" s="520"/>
      <c r="DZ228" s="520"/>
      <c r="EA228" s="520"/>
      <c r="EB228" s="520"/>
      <c r="EC228" s="520"/>
      <c r="ED228" s="520"/>
      <c r="EE228" s="520"/>
      <c r="EF228" s="520"/>
      <c r="EG228" s="520"/>
      <c r="EH228" s="520"/>
      <c r="EI228" s="520"/>
      <c r="EJ228" s="520"/>
      <c r="EK228" s="520"/>
      <c r="EL228" s="520"/>
      <c r="EM228" s="520"/>
      <c r="EN228" s="520"/>
      <c r="EO228" s="520"/>
      <c r="EP228" s="520"/>
      <c r="EQ228" s="520"/>
      <c r="ER228" s="520"/>
      <c r="ES228" s="520"/>
      <c r="ET228" s="520"/>
      <c r="EU228" s="520"/>
      <c r="EV228" s="520"/>
      <c r="EW228" s="520"/>
      <c r="EX228" s="520"/>
      <c r="EY228" s="520"/>
      <c r="EZ228" s="123"/>
      <c r="FA228" s="50"/>
      <c r="FB228" s="51"/>
    </row>
    <row r="229" spans="1:158" ht="9" customHeight="1">
      <c r="A229" s="49"/>
      <c r="B229" s="81"/>
      <c r="C229" s="50"/>
      <c r="D229" s="50"/>
      <c r="E229" s="555"/>
      <c r="F229" s="555"/>
      <c r="G229" s="555"/>
      <c r="H229" s="555"/>
      <c r="I229" s="555"/>
      <c r="J229" s="555"/>
      <c r="K229" s="555"/>
      <c r="L229" s="555"/>
      <c r="M229" s="555"/>
      <c r="N229" s="555"/>
      <c r="O229" s="555"/>
      <c r="P229" s="555"/>
      <c r="Q229" s="555"/>
      <c r="R229" s="555"/>
      <c r="S229" s="555"/>
      <c r="T229" s="555"/>
      <c r="U229" s="555"/>
      <c r="V229" s="555"/>
      <c r="W229" s="555"/>
      <c r="X229" s="555"/>
      <c r="Y229" s="555"/>
      <c r="Z229" s="555"/>
      <c r="AA229" s="555"/>
      <c r="AB229" s="555"/>
      <c r="AC229" s="555"/>
      <c r="AD229" s="555"/>
      <c r="AE229" s="555"/>
      <c r="AF229" s="555"/>
      <c r="AG229" s="555"/>
      <c r="AH229" s="555"/>
      <c r="AI229" s="555"/>
      <c r="AJ229" s="555"/>
      <c r="AK229" s="555"/>
      <c r="AL229" s="555"/>
      <c r="AM229" s="555"/>
      <c r="AN229" s="555"/>
      <c r="AO229" s="555"/>
      <c r="AP229" s="555"/>
      <c r="AQ229" s="555"/>
      <c r="AR229" s="555"/>
      <c r="AS229" s="555"/>
      <c r="AT229" s="555"/>
      <c r="AU229" s="555"/>
      <c r="AV229" s="555"/>
      <c r="AW229" s="555"/>
      <c r="AX229" s="555"/>
      <c r="AY229" s="555"/>
      <c r="AZ229" s="555"/>
      <c r="BA229" s="555"/>
      <c r="BB229" s="555"/>
      <c r="BC229" s="555"/>
      <c r="BD229" s="555"/>
      <c r="BE229" s="555"/>
      <c r="BF229" s="555"/>
      <c r="BG229" s="555"/>
      <c r="BH229" s="555"/>
      <c r="BI229" s="555"/>
      <c r="BJ229" s="555"/>
      <c r="BK229" s="555"/>
      <c r="BL229" s="555"/>
      <c r="BM229" s="555"/>
      <c r="BN229" s="555"/>
      <c r="BO229" s="555"/>
      <c r="BP229" s="555"/>
      <c r="BQ229" s="555"/>
      <c r="BR229" s="555"/>
      <c r="BS229" s="555"/>
      <c r="BT229" s="555"/>
      <c r="BU229" s="555"/>
      <c r="BV229" s="555"/>
      <c r="BW229" s="555"/>
      <c r="BX229" s="555"/>
      <c r="BY229" s="555"/>
      <c r="BZ229" s="555"/>
      <c r="CA229" s="555"/>
      <c r="CB229" s="555"/>
      <c r="CC229" s="555"/>
      <c r="CD229" s="555"/>
      <c r="CE229" s="555"/>
      <c r="CF229" s="555"/>
      <c r="CG229" s="555"/>
      <c r="CH229" s="555"/>
      <c r="CI229" s="555"/>
      <c r="CJ229" s="555"/>
      <c r="CK229" s="555"/>
      <c r="CL229" s="555"/>
      <c r="CM229" s="555"/>
      <c r="CN229" s="555"/>
      <c r="CO229" s="555"/>
      <c r="CP229" s="555"/>
      <c r="CQ229" s="555"/>
      <c r="CR229" s="555"/>
      <c r="CS229" s="555"/>
      <c r="CT229" s="555"/>
      <c r="CU229" s="555"/>
      <c r="CV229" s="555"/>
      <c r="CW229" s="555"/>
      <c r="CX229" s="555"/>
      <c r="CY229" s="555"/>
      <c r="CZ229" s="555"/>
      <c r="DA229" s="555"/>
      <c r="DB229" s="555"/>
      <c r="DC229" s="555"/>
      <c r="DD229" s="555"/>
      <c r="DE229" s="555"/>
      <c r="DF229" s="555"/>
      <c r="DG229" s="555"/>
      <c r="DH229" s="555"/>
      <c r="DI229" s="555"/>
      <c r="DJ229" s="50"/>
      <c r="DK229" s="50"/>
      <c r="DL229" s="81"/>
      <c r="DM229" s="50"/>
      <c r="DN229" s="50"/>
      <c r="DO229" s="122"/>
      <c r="DP229" s="520"/>
      <c r="DQ229" s="520"/>
      <c r="DR229" s="520"/>
      <c r="DS229" s="520"/>
      <c r="DT229" s="520"/>
      <c r="DU229" s="520"/>
      <c r="DV229" s="520"/>
      <c r="DW229" s="520"/>
      <c r="DX229" s="520"/>
      <c r="DY229" s="520"/>
      <c r="DZ229" s="520"/>
      <c r="EA229" s="520"/>
      <c r="EB229" s="520"/>
      <c r="EC229" s="520"/>
      <c r="ED229" s="520"/>
      <c r="EE229" s="520"/>
      <c r="EF229" s="520"/>
      <c r="EG229" s="520"/>
      <c r="EH229" s="520"/>
      <c r="EI229" s="520"/>
      <c r="EJ229" s="520"/>
      <c r="EK229" s="520"/>
      <c r="EL229" s="520"/>
      <c r="EM229" s="520"/>
      <c r="EN229" s="520"/>
      <c r="EO229" s="520"/>
      <c r="EP229" s="520"/>
      <c r="EQ229" s="520"/>
      <c r="ER229" s="520"/>
      <c r="ES229" s="520"/>
      <c r="ET229" s="520"/>
      <c r="EU229" s="520"/>
      <c r="EV229" s="520"/>
      <c r="EW229" s="520"/>
      <c r="EX229" s="520"/>
      <c r="EY229" s="520"/>
      <c r="EZ229" s="123"/>
      <c r="FA229" s="50"/>
      <c r="FB229" s="51"/>
    </row>
    <row r="230" spans="1:158" ht="9" customHeight="1">
      <c r="A230" s="49"/>
      <c r="B230" s="81"/>
      <c r="C230" s="50"/>
      <c r="D230" s="50"/>
      <c r="E230" s="555"/>
      <c r="F230" s="555"/>
      <c r="G230" s="555"/>
      <c r="H230" s="555"/>
      <c r="I230" s="555"/>
      <c r="J230" s="555"/>
      <c r="K230" s="555"/>
      <c r="L230" s="555"/>
      <c r="M230" s="555"/>
      <c r="N230" s="555"/>
      <c r="O230" s="555"/>
      <c r="P230" s="555"/>
      <c r="Q230" s="555"/>
      <c r="R230" s="555"/>
      <c r="S230" s="555"/>
      <c r="T230" s="555"/>
      <c r="U230" s="555"/>
      <c r="V230" s="555"/>
      <c r="W230" s="555"/>
      <c r="X230" s="555"/>
      <c r="Y230" s="555"/>
      <c r="Z230" s="555"/>
      <c r="AA230" s="555"/>
      <c r="AB230" s="555"/>
      <c r="AC230" s="555"/>
      <c r="AD230" s="555"/>
      <c r="AE230" s="555"/>
      <c r="AF230" s="555"/>
      <c r="AG230" s="555"/>
      <c r="AH230" s="555"/>
      <c r="AI230" s="555"/>
      <c r="AJ230" s="555"/>
      <c r="AK230" s="555"/>
      <c r="AL230" s="555"/>
      <c r="AM230" s="555"/>
      <c r="AN230" s="555"/>
      <c r="AO230" s="555"/>
      <c r="AP230" s="555"/>
      <c r="AQ230" s="555"/>
      <c r="AR230" s="555"/>
      <c r="AS230" s="555"/>
      <c r="AT230" s="555"/>
      <c r="AU230" s="555"/>
      <c r="AV230" s="555"/>
      <c r="AW230" s="555"/>
      <c r="AX230" s="555"/>
      <c r="AY230" s="555"/>
      <c r="AZ230" s="555"/>
      <c r="BA230" s="555"/>
      <c r="BB230" s="555"/>
      <c r="BC230" s="555"/>
      <c r="BD230" s="555"/>
      <c r="BE230" s="555"/>
      <c r="BF230" s="555"/>
      <c r="BG230" s="555"/>
      <c r="BH230" s="555"/>
      <c r="BI230" s="555"/>
      <c r="BJ230" s="555"/>
      <c r="BK230" s="555"/>
      <c r="BL230" s="555"/>
      <c r="BM230" s="555"/>
      <c r="BN230" s="555"/>
      <c r="BO230" s="555"/>
      <c r="BP230" s="555"/>
      <c r="BQ230" s="555"/>
      <c r="BR230" s="555"/>
      <c r="BS230" s="555"/>
      <c r="BT230" s="555"/>
      <c r="BU230" s="555"/>
      <c r="BV230" s="555"/>
      <c r="BW230" s="555"/>
      <c r="BX230" s="555"/>
      <c r="BY230" s="555"/>
      <c r="BZ230" s="555"/>
      <c r="CA230" s="555"/>
      <c r="CB230" s="555"/>
      <c r="CC230" s="555"/>
      <c r="CD230" s="555"/>
      <c r="CE230" s="555"/>
      <c r="CF230" s="555"/>
      <c r="CG230" s="555"/>
      <c r="CH230" s="555"/>
      <c r="CI230" s="555"/>
      <c r="CJ230" s="555"/>
      <c r="CK230" s="555"/>
      <c r="CL230" s="555"/>
      <c r="CM230" s="555"/>
      <c r="CN230" s="555"/>
      <c r="CO230" s="555"/>
      <c r="CP230" s="555"/>
      <c r="CQ230" s="555"/>
      <c r="CR230" s="555"/>
      <c r="CS230" s="555"/>
      <c r="CT230" s="555"/>
      <c r="CU230" s="555"/>
      <c r="CV230" s="555"/>
      <c r="CW230" s="555"/>
      <c r="CX230" s="555"/>
      <c r="CY230" s="555"/>
      <c r="CZ230" s="555"/>
      <c r="DA230" s="555"/>
      <c r="DB230" s="555"/>
      <c r="DC230" s="555"/>
      <c r="DD230" s="555"/>
      <c r="DE230" s="555"/>
      <c r="DF230" s="555"/>
      <c r="DG230" s="555"/>
      <c r="DH230" s="555"/>
      <c r="DI230" s="555"/>
      <c r="DJ230" s="50"/>
      <c r="DK230" s="50"/>
      <c r="DL230" s="81"/>
      <c r="DM230" s="50"/>
      <c r="DN230" s="50"/>
      <c r="DO230" s="122"/>
      <c r="DP230" s="521"/>
      <c r="DQ230" s="521"/>
      <c r="DR230" s="521"/>
      <c r="DS230" s="521"/>
      <c r="DT230" s="521"/>
      <c r="DU230" s="521"/>
      <c r="DV230" s="521"/>
      <c r="DW230" s="521"/>
      <c r="DX230" s="521"/>
      <c r="DY230" s="521"/>
      <c r="DZ230" s="521"/>
      <c r="EA230" s="521"/>
      <c r="EB230" s="521"/>
      <c r="EC230" s="521"/>
      <c r="ED230" s="521"/>
      <c r="EE230" s="521"/>
      <c r="EF230" s="521"/>
      <c r="EG230" s="521"/>
      <c r="EH230" s="521"/>
      <c r="EI230" s="521"/>
      <c r="EJ230" s="521"/>
      <c r="EK230" s="521"/>
      <c r="EL230" s="521"/>
      <c r="EM230" s="521"/>
      <c r="EN230" s="521"/>
      <c r="EO230" s="521"/>
      <c r="EP230" s="521"/>
      <c r="EQ230" s="521"/>
      <c r="ER230" s="521"/>
      <c r="ES230" s="521"/>
      <c r="ET230" s="521"/>
      <c r="EU230" s="521"/>
      <c r="EV230" s="521"/>
      <c r="EW230" s="521"/>
      <c r="EX230" s="521"/>
      <c r="EY230" s="521"/>
      <c r="EZ230" s="123"/>
      <c r="FA230" s="50"/>
      <c r="FB230" s="51"/>
    </row>
    <row r="231" spans="1:158" ht="9" customHeight="1">
      <c r="A231" s="49"/>
      <c r="B231" s="81"/>
      <c r="C231" s="50"/>
      <c r="D231" s="50"/>
      <c r="E231" s="555"/>
      <c r="F231" s="555"/>
      <c r="G231" s="555"/>
      <c r="H231" s="555"/>
      <c r="I231" s="555"/>
      <c r="J231" s="555"/>
      <c r="K231" s="555"/>
      <c r="L231" s="555"/>
      <c r="M231" s="555"/>
      <c r="N231" s="555"/>
      <c r="O231" s="555"/>
      <c r="P231" s="555"/>
      <c r="Q231" s="555"/>
      <c r="R231" s="555"/>
      <c r="S231" s="555"/>
      <c r="T231" s="555"/>
      <c r="U231" s="555"/>
      <c r="V231" s="555"/>
      <c r="W231" s="555"/>
      <c r="X231" s="555"/>
      <c r="Y231" s="555"/>
      <c r="Z231" s="555"/>
      <c r="AA231" s="555"/>
      <c r="AB231" s="555"/>
      <c r="AC231" s="555"/>
      <c r="AD231" s="555"/>
      <c r="AE231" s="555"/>
      <c r="AF231" s="555"/>
      <c r="AG231" s="555"/>
      <c r="AH231" s="555"/>
      <c r="AI231" s="555"/>
      <c r="AJ231" s="555"/>
      <c r="AK231" s="555"/>
      <c r="AL231" s="555"/>
      <c r="AM231" s="555"/>
      <c r="AN231" s="555"/>
      <c r="AO231" s="555"/>
      <c r="AP231" s="555"/>
      <c r="AQ231" s="555"/>
      <c r="AR231" s="555"/>
      <c r="AS231" s="555"/>
      <c r="AT231" s="555"/>
      <c r="AU231" s="555"/>
      <c r="AV231" s="555"/>
      <c r="AW231" s="555"/>
      <c r="AX231" s="555"/>
      <c r="AY231" s="555"/>
      <c r="AZ231" s="555"/>
      <c r="BA231" s="555"/>
      <c r="BB231" s="555"/>
      <c r="BC231" s="555"/>
      <c r="BD231" s="555"/>
      <c r="BE231" s="555"/>
      <c r="BF231" s="555"/>
      <c r="BG231" s="555"/>
      <c r="BH231" s="555"/>
      <c r="BI231" s="555"/>
      <c r="BJ231" s="555"/>
      <c r="BK231" s="555"/>
      <c r="BL231" s="555"/>
      <c r="BM231" s="555"/>
      <c r="BN231" s="555"/>
      <c r="BO231" s="555"/>
      <c r="BP231" s="555"/>
      <c r="BQ231" s="555"/>
      <c r="BR231" s="555"/>
      <c r="BS231" s="555"/>
      <c r="BT231" s="555"/>
      <c r="BU231" s="555"/>
      <c r="BV231" s="555"/>
      <c r="BW231" s="555"/>
      <c r="BX231" s="555"/>
      <c r="BY231" s="555"/>
      <c r="BZ231" s="555"/>
      <c r="CA231" s="555"/>
      <c r="CB231" s="555"/>
      <c r="CC231" s="555"/>
      <c r="CD231" s="555"/>
      <c r="CE231" s="555"/>
      <c r="CF231" s="555"/>
      <c r="CG231" s="555"/>
      <c r="CH231" s="555"/>
      <c r="CI231" s="555"/>
      <c r="CJ231" s="555"/>
      <c r="CK231" s="555"/>
      <c r="CL231" s="555"/>
      <c r="CM231" s="555"/>
      <c r="CN231" s="555"/>
      <c r="CO231" s="555"/>
      <c r="CP231" s="555"/>
      <c r="CQ231" s="555"/>
      <c r="CR231" s="555"/>
      <c r="CS231" s="555"/>
      <c r="CT231" s="555"/>
      <c r="CU231" s="555"/>
      <c r="CV231" s="555"/>
      <c r="CW231" s="555"/>
      <c r="CX231" s="555"/>
      <c r="CY231" s="555"/>
      <c r="CZ231" s="555"/>
      <c r="DA231" s="555"/>
      <c r="DB231" s="555"/>
      <c r="DC231" s="555"/>
      <c r="DD231" s="555"/>
      <c r="DE231" s="555"/>
      <c r="DF231" s="555"/>
      <c r="DG231" s="555"/>
      <c r="DH231" s="555"/>
      <c r="DI231" s="555"/>
      <c r="DJ231" s="50"/>
      <c r="DK231" s="50"/>
      <c r="DL231" s="81"/>
      <c r="DM231" s="50"/>
      <c r="DN231" s="50"/>
      <c r="DO231" s="122"/>
      <c r="DP231" s="520" t="str">
        <f>IF(Skills!X27="","","Stealth "&amp;IF(Skills!X27&lt;0,"-","+")&amp;Skills!X27)</f>
        <v>Stealth +1</v>
      </c>
      <c r="DQ231" s="520"/>
      <c r="DR231" s="520"/>
      <c r="DS231" s="520"/>
      <c r="DT231" s="520"/>
      <c r="DU231" s="520"/>
      <c r="DV231" s="520"/>
      <c r="DW231" s="520"/>
      <c r="DX231" s="520"/>
      <c r="DY231" s="520"/>
      <c r="DZ231" s="520"/>
      <c r="EA231" s="520"/>
      <c r="EB231" s="520"/>
      <c r="EC231" s="520"/>
      <c r="ED231" s="520"/>
      <c r="EE231" s="520"/>
      <c r="EF231" s="520"/>
      <c r="EG231" s="520"/>
      <c r="EH231" s="520"/>
      <c r="EI231" s="520"/>
      <c r="EJ231" s="520"/>
      <c r="EK231" s="520"/>
      <c r="EL231" s="520"/>
      <c r="EM231" s="520"/>
      <c r="EN231" s="520"/>
      <c r="EO231" s="520"/>
      <c r="EP231" s="520"/>
      <c r="EQ231" s="520"/>
      <c r="ER231" s="520"/>
      <c r="ES231" s="520"/>
      <c r="ET231" s="520"/>
      <c r="EU231" s="520"/>
      <c r="EV231" s="520"/>
      <c r="EW231" s="520"/>
      <c r="EX231" s="520"/>
      <c r="EY231" s="520"/>
      <c r="EZ231" s="123"/>
      <c r="FA231" s="50"/>
      <c r="FB231" s="51"/>
    </row>
    <row r="232" spans="1:158" ht="9" customHeight="1">
      <c r="A232" s="49"/>
      <c r="B232" s="81"/>
      <c r="C232" s="50"/>
      <c r="D232" s="50"/>
      <c r="E232" s="555"/>
      <c r="F232" s="555"/>
      <c r="G232" s="555"/>
      <c r="H232" s="555"/>
      <c r="I232" s="555"/>
      <c r="J232" s="555"/>
      <c r="K232" s="555"/>
      <c r="L232" s="555"/>
      <c r="M232" s="555"/>
      <c r="N232" s="555"/>
      <c r="O232" s="555"/>
      <c r="P232" s="555"/>
      <c r="Q232" s="555"/>
      <c r="R232" s="555"/>
      <c r="S232" s="555"/>
      <c r="T232" s="555"/>
      <c r="U232" s="555"/>
      <c r="V232" s="555"/>
      <c r="W232" s="555"/>
      <c r="X232" s="555"/>
      <c r="Y232" s="555"/>
      <c r="Z232" s="555"/>
      <c r="AA232" s="555"/>
      <c r="AB232" s="555"/>
      <c r="AC232" s="555"/>
      <c r="AD232" s="555"/>
      <c r="AE232" s="555"/>
      <c r="AF232" s="555"/>
      <c r="AG232" s="555"/>
      <c r="AH232" s="555"/>
      <c r="AI232" s="555"/>
      <c r="AJ232" s="555"/>
      <c r="AK232" s="555"/>
      <c r="AL232" s="555"/>
      <c r="AM232" s="555"/>
      <c r="AN232" s="555"/>
      <c r="AO232" s="555"/>
      <c r="AP232" s="555"/>
      <c r="AQ232" s="555"/>
      <c r="AR232" s="555"/>
      <c r="AS232" s="555"/>
      <c r="AT232" s="555"/>
      <c r="AU232" s="555"/>
      <c r="AV232" s="555"/>
      <c r="AW232" s="555"/>
      <c r="AX232" s="555"/>
      <c r="AY232" s="555"/>
      <c r="AZ232" s="555"/>
      <c r="BA232" s="555"/>
      <c r="BB232" s="555"/>
      <c r="BC232" s="555"/>
      <c r="BD232" s="555"/>
      <c r="BE232" s="555"/>
      <c r="BF232" s="555"/>
      <c r="BG232" s="555"/>
      <c r="BH232" s="555"/>
      <c r="BI232" s="555"/>
      <c r="BJ232" s="555"/>
      <c r="BK232" s="555"/>
      <c r="BL232" s="555"/>
      <c r="BM232" s="555"/>
      <c r="BN232" s="555"/>
      <c r="BO232" s="555"/>
      <c r="BP232" s="555"/>
      <c r="BQ232" s="555"/>
      <c r="BR232" s="555"/>
      <c r="BS232" s="555"/>
      <c r="BT232" s="555"/>
      <c r="BU232" s="555"/>
      <c r="BV232" s="555"/>
      <c r="BW232" s="555"/>
      <c r="BX232" s="555"/>
      <c r="BY232" s="555"/>
      <c r="BZ232" s="555"/>
      <c r="CA232" s="555"/>
      <c r="CB232" s="555"/>
      <c r="CC232" s="555"/>
      <c r="CD232" s="555"/>
      <c r="CE232" s="555"/>
      <c r="CF232" s="555"/>
      <c r="CG232" s="555"/>
      <c r="CH232" s="555"/>
      <c r="CI232" s="555"/>
      <c r="CJ232" s="555"/>
      <c r="CK232" s="555"/>
      <c r="CL232" s="555"/>
      <c r="CM232" s="555"/>
      <c r="CN232" s="555"/>
      <c r="CO232" s="555"/>
      <c r="CP232" s="555"/>
      <c r="CQ232" s="555"/>
      <c r="CR232" s="555"/>
      <c r="CS232" s="555"/>
      <c r="CT232" s="555"/>
      <c r="CU232" s="555"/>
      <c r="CV232" s="555"/>
      <c r="CW232" s="555"/>
      <c r="CX232" s="555"/>
      <c r="CY232" s="555"/>
      <c r="CZ232" s="555"/>
      <c r="DA232" s="555"/>
      <c r="DB232" s="555"/>
      <c r="DC232" s="555"/>
      <c r="DD232" s="555"/>
      <c r="DE232" s="555"/>
      <c r="DF232" s="555"/>
      <c r="DG232" s="555"/>
      <c r="DH232" s="555"/>
      <c r="DI232" s="555"/>
      <c r="DJ232" s="50"/>
      <c r="DK232" s="50"/>
      <c r="DL232" s="81"/>
      <c r="DM232" s="50"/>
      <c r="DN232" s="50"/>
      <c r="DO232" s="122"/>
      <c r="DP232" s="520"/>
      <c r="DQ232" s="520"/>
      <c r="DR232" s="520"/>
      <c r="DS232" s="520"/>
      <c r="DT232" s="520"/>
      <c r="DU232" s="520"/>
      <c r="DV232" s="520"/>
      <c r="DW232" s="520"/>
      <c r="DX232" s="520"/>
      <c r="DY232" s="520"/>
      <c r="DZ232" s="520"/>
      <c r="EA232" s="520"/>
      <c r="EB232" s="520"/>
      <c r="EC232" s="520"/>
      <c r="ED232" s="520"/>
      <c r="EE232" s="520"/>
      <c r="EF232" s="520"/>
      <c r="EG232" s="520"/>
      <c r="EH232" s="520"/>
      <c r="EI232" s="520"/>
      <c r="EJ232" s="520"/>
      <c r="EK232" s="520"/>
      <c r="EL232" s="520"/>
      <c r="EM232" s="520"/>
      <c r="EN232" s="520"/>
      <c r="EO232" s="520"/>
      <c r="EP232" s="520"/>
      <c r="EQ232" s="520"/>
      <c r="ER232" s="520"/>
      <c r="ES232" s="520"/>
      <c r="ET232" s="520"/>
      <c r="EU232" s="520"/>
      <c r="EV232" s="520"/>
      <c r="EW232" s="520"/>
      <c r="EX232" s="520"/>
      <c r="EY232" s="520"/>
      <c r="EZ232" s="123"/>
      <c r="FA232" s="50"/>
      <c r="FB232" s="51"/>
    </row>
    <row r="233" spans="1:158" ht="9" customHeight="1">
      <c r="A233" s="49"/>
      <c r="B233" s="81"/>
      <c r="C233" s="50"/>
      <c r="D233" s="50"/>
      <c r="E233" s="555"/>
      <c r="F233" s="555"/>
      <c r="G233" s="555"/>
      <c r="H233" s="555"/>
      <c r="I233" s="555"/>
      <c r="J233" s="555"/>
      <c r="K233" s="555"/>
      <c r="L233" s="555"/>
      <c r="M233" s="555"/>
      <c r="N233" s="555"/>
      <c r="O233" s="555"/>
      <c r="P233" s="555"/>
      <c r="Q233" s="555"/>
      <c r="R233" s="555"/>
      <c r="S233" s="555"/>
      <c r="T233" s="555"/>
      <c r="U233" s="555"/>
      <c r="V233" s="555"/>
      <c r="W233" s="555"/>
      <c r="X233" s="555"/>
      <c r="Y233" s="555"/>
      <c r="Z233" s="555"/>
      <c r="AA233" s="555"/>
      <c r="AB233" s="555"/>
      <c r="AC233" s="555"/>
      <c r="AD233" s="555"/>
      <c r="AE233" s="555"/>
      <c r="AF233" s="555"/>
      <c r="AG233" s="555"/>
      <c r="AH233" s="555"/>
      <c r="AI233" s="555"/>
      <c r="AJ233" s="555"/>
      <c r="AK233" s="555"/>
      <c r="AL233" s="555"/>
      <c r="AM233" s="555"/>
      <c r="AN233" s="555"/>
      <c r="AO233" s="555"/>
      <c r="AP233" s="555"/>
      <c r="AQ233" s="555"/>
      <c r="AR233" s="555"/>
      <c r="AS233" s="555"/>
      <c r="AT233" s="555"/>
      <c r="AU233" s="555"/>
      <c r="AV233" s="555"/>
      <c r="AW233" s="555"/>
      <c r="AX233" s="555"/>
      <c r="AY233" s="555"/>
      <c r="AZ233" s="555"/>
      <c r="BA233" s="555"/>
      <c r="BB233" s="555"/>
      <c r="BC233" s="555"/>
      <c r="BD233" s="555"/>
      <c r="BE233" s="555"/>
      <c r="BF233" s="555"/>
      <c r="BG233" s="555"/>
      <c r="BH233" s="555"/>
      <c r="BI233" s="555"/>
      <c r="BJ233" s="555"/>
      <c r="BK233" s="555"/>
      <c r="BL233" s="555"/>
      <c r="BM233" s="555"/>
      <c r="BN233" s="555"/>
      <c r="BO233" s="555"/>
      <c r="BP233" s="555"/>
      <c r="BQ233" s="555"/>
      <c r="BR233" s="555"/>
      <c r="BS233" s="555"/>
      <c r="BT233" s="555"/>
      <c r="BU233" s="555"/>
      <c r="BV233" s="555"/>
      <c r="BW233" s="555"/>
      <c r="BX233" s="555"/>
      <c r="BY233" s="555"/>
      <c r="BZ233" s="555"/>
      <c r="CA233" s="555"/>
      <c r="CB233" s="555"/>
      <c r="CC233" s="555"/>
      <c r="CD233" s="555"/>
      <c r="CE233" s="555"/>
      <c r="CF233" s="555"/>
      <c r="CG233" s="555"/>
      <c r="CH233" s="555"/>
      <c r="CI233" s="555"/>
      <c r="CJ233" s="555"/>
      <c r="CK233" s="555"/>
      <c r="CL233" s="555"/>
      <c r="CM233" s="555"/>
      <c r="CN233" s="555"/>
      <c r="CO233" s="555"/>
      <c r="CP233" s="555"/>
      <c r="CQ233" s="555"/>
      <c r="CR233" s="555"/>
      <c r="CS233" s="555"/>
      <c r="CT233" s="555"/>
      <c r="CU233" s="555"/>
      <c r="CV233" s="555"/>
      <c r="CW233" s="555"/>
      <c r="CX233" s="555"/>
      <c r="CY233" s="555"/>
      <c r="CZ233" s="555"/>
      <c r="DA233" s="555"/>
      <c r="DB233" s="555"/>
      <c r="DC233" s="555"/>
      <c r="DD233" s="555"/>
      <c r="DE233" s="555"/>
      <c r="DF233" s="555"/>
      <c r="DG233" s="555"/>
      <c r="DH233" s="555"/>
      <c r="DI233" s="555"/>
      <c r="DJ233" s="50"/>
      <c r="DK233" s="50"/>
      <c r="DL233" s="81"/>
      <c r="DM233" s="50"/>
      <c r="DN233" s="50"/>
      <c r="DO233" s="122"/>
      <c r="DP233" s="520"/>
      <c r="DQ233" s="520"/>
      <c r="DR233" s="520"/>
      <c r="DS233" s="520"/>
      <c r="DT233" s="520"/>
      <c r="DU233" s="520"/>
      <c r="DV233" s="520"/>
      <c r="DW233" s="520"/>
      <c r="DX233" s="520"/>
      <c r="DY233" s="520"/>
      <c r="DZ233" s="520"/>
      <c r="EA233" s="520"/>
      <c r="EB233" s="520"/>
      <c r="EC233" s="520"/>
      <c r="ED233" s="520"/>
      <c r="EE233" s="520"/>
      <c r="EF233" s="520"/>
      <c r="EG233" s="520"/>
      <c r="EH233" s="520"/>
      <c r="EI233" s="520"/>
      <c r="EJ233" s="520"/>
      <c r="EK233" s="520"/>
      <c r="EL233" s="520"/>
      <c r="EM233" s="520"/>
      <c r="EN233" s="520"/>
      <c r="EO233" s="520"/>
      <c r="EP233" s="520"/>
      <c r="EQ233" s="520"/>
      <c r="ER233" s="520"/>
      <c r="ES233" s="520"/>
      <c r="ET233" s="520"/>
      <c r="EU233" s="520"/>
      <c r="EV233" s="520"/>
      <c r="EW233" s="520"/>
      <c r="EX233" s="520"/>
      <c r="EY233" s="520"/>
      <c r="EZ233" s="123"/>
      <c r="FA233" s="50"/>
      <c r="FB233" s="51"/>
    </row>
    <row r="234" spans="1:158" ht="9" customHeight="1">
      <c r="A234" s="49"/>
      <c r="B234" s="81"/>
      <c r="C234" s="50"/>
      <c r="D234" s="50"/>
      <c r="E234" s="50"/>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50"/>
      <c r="DA234" s="50"/>
      <c r="DB234" s="50"/>
      <c r="DC234" s="50"/>
      <c r="DD234" s="50"/>
      <c r="DE234" s="50"/>
      <c r="DF234" s="50"/>
      <c r="DG234" s="50"/>
      <c r="DH234" s="50"/>
      <c r="DI234" s="50"/>
      <c r="DJ234" s="50"/>
      <c r="DK234" s="50"/>
      <c r="DL234" s="81"/>
      <c r="DM234" s="50"/>
      <c r="DN234" s="50"/>
      <c r="DO234" s="122"/>
      <c r="DP234" s="521"/>
      <c r="DQ234" s="521"/>
      <c r="DR234" s="521"/>
      <c r="DS234" s="521"/>
      <c r="DT234" s="521"/>
      <c r="DU234" s="521"/>
      <c r="DV234" s="521"/>
      <c r="DW234" s="521"/>
      <c r="DX234" s="521"/>
      <c r="DY234" s="521"/>
      <c r="DZ234" s="521"/>
      <c r="EA234" s="521"/>
      <c r="EB234" s="521"/>
      <c r="EC234" s="521"/>
      <c r="ED234" s="521"/>
      <c r="EE234" s="521"/>
      <c r="EF234" s="521"/>
      <c r="EG234" s="521"/>
      <c r="EH234" s="521"/>
      <c r="EI234" s="521"/>
      <c r="EJ234" s="521"/>
      <c r="EK234" s="521"/>
      <c r="EL234" s="521"/>
      <c r="EM234" s="521"/>
      <c r="EN234" s="521"/>
      <c r="EO234" s="521"/>
      <c r="EP234" s="521"/>
      <c r="EQ234" s="521"/>
      <c r="ER234" s="521"/>
      <c r="ES234" s="521"/>
      <c r="ET234" s="521"/>
      <c r="EU234" s="521"/>
      <c r="EV234" s="521"/>
      <c r="EW234" s="521"/>
      <c r="EX234" s="521"/>
      <c r="EY234" s="521"/>
      <c r="EZ234" s="123"/>
      <c r="FA234" s="50"/>
      <c r="FB234" s="51"/>
    </row>
    <row r="235" spans="1:158" ht="9" customHeight="1">
      <c r="A235" s="49"/>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50"/>
      <c r="DN235" s="50"/>
      <c r="DO235" s="122"/>
      <c r="DP235" s="520" t="str">
        <f>IF(Skills!X28="","","Technology "&amp;IF(Skills!X28&lt;0,"-","+")&amp;Skills!X28)</f>
        <v/>
      </c>
      <c r="DQ235" s="520"/>
      <c r="DR235" s="520"/>
      <c r="DS235" s="520"/>
      <c r="DT235" s="520"/>
      <c r="DU235" s="520"/>
      <c r="DV235" s="520"/>
      <c r="DW235" s="520"/>
      <c r="DX235" s="520"/>
      <c r="DY235" s="520"/>
      <c r="DZ235" s="520"/>
      <c r="EA235" s="520"/>
      <c r="EB235" s="520"/>
      <c r="EC235" s="520"/>
      <c r="ED235" s="520"/>
      <c r="EE235" s="520"/>
      <c r="EF235" s="520"/>
      <c r="EG235" s="520"/>
      <c r="EH235" s="520"/>
      <c r="EI235" s="520"/>
      <c r="EJ235" s="520"/>
      <c r="EK235" s="520"/>
      <c r="EL235" s="520"/>
      <c r="EM235" s="520"/>
      <c r="EN235" s="520"/>
      <c r="EO235" s="520"/>
      <c r="EP235" s="520"/>
      <c r="EQ235" s="520"/>
      <c r="ER235" s="520"/>
      <c r="ES235" s="520"/>
      <c r="ET235" s="520"/>
      <c r="EU235" s="520"/>
      <c r="EV235" s="520"/>
      <c r="EW235" s="520"/>
      <c r="EX235" s="520"/>
      <c r="EY235" s="520"/>
      <c r="EZ235" s="123"/>
      <c r="FA235" s="50"/>
      <c r="FB235" s="51"/>
    </row>
    <row r="236" spans="1:158" ht="9" customHeight="1">
      <c r="A236" s="49"/>
      <c r="B236" s="50"/>
      <c r="C236" s="50"/>
      <c r="D236" s="50"/>
      <c r="E236" s="50"/>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122"/>
      <c r="DP236" s="520"/>
      <c r="DQ236" s="520"/>
      <c r="DR236" s="520"/>
      <c r="DS236" s="520"/>
      <c r="DT236" s="520"/>
      <c r="DU236" s="520"/>
      <c r="DV236" s="520"/>
      <c r="DW236" s="520"/>
      <c r="DX236" s="520"/>
      <c r="DY236" s="520"/>
      <c r="DZ236" s="520"/>
      <c r="EA236" s="520"/>
      <c r="EB236" s="520"/>
      <c r="EC236" s="520"/>
      <c r="ED236" s="520"/>
      <c r="EE236" s="520"/>
      <c r="EF236" s="520"/>
      <c r="EG236" s="520"/>
      <c r="EH236" s="520"/>
      <c r="EI236" s="520"/>
      <c r="EJ236" s="520"/>
      <c r="EK236" s="520"/>
      <c r="EL236" s="520"/>
      <c r="EM236" s="520"/>
      <c r="EN236" s="520"/>
      <c r="EO236" s="520"/>
      <c r="EP236" s="520"/>
      <c r="EQ236" s="520"/>
      <c r="ER236" s="520"/>
      <c r="ES236" s="520"/>
      <c r="ET236" s="520"/>
      <c r="EU236" s="520"/>
      <c r="EV236" s="520"/>
      <c r="EW236" s="520"/>
      <c r="EX236" s="520"/>
      <c r="EY236" s="520"/>
      <c r="EZ236" s="123"/>
      <c r="FA236" s="50"/>
      <c r="FB236" s="51"/>
    </row>
    <row r="237" spans="1:158" ht="9" customHeight="1" thickBot="1">
      <c r="A237" s="49"/>
      <c r="B237" s="50"/>
      <c r="C237" s="50"/>
      <c r="D237" s="50"/>
      <c r="E237" s="50"/>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50"/>
      <c r="DA237" s="50"/>
      <c r="DB237" s="50"/>
      <c r="DC237" s="50"/>
      <c r="DD237" s="50"/>
      <c r="DE237" s="50"/>
      <c r="DF237" s="50"/>
      <c r="DG237" s="50"/>
      <c r="DH237" s="50"/>
      <c r="DI237" s="50"/>
      <c r="DJ237" s="50"/>
      <c r="DK237" s="50"/>
      <c r="DL237" s="50"/>
      <c r="DM237" s="50"/>
      <c r="DN237" s="50"/>
      <c r="DO237" s="122"/>
      <c r="DP237" s="520"/>
      <c r="DQ237" s="520"/>
      <c r="DR237" s="520"/>
      <c r="DS237" s="520"/>
      <c r="DT237" s="520"/>
      <c r="DU237" s="520"/>
      <c r="DV237" s="520"/>
      <c r="DW237" s="520"/>
      <c r="DX237" s="520"/>
      <c r="DY237" s="520"/>
      <c r="DZ237" s="520"/>
      <c r="EA237" s="520"/>
      <c r="EB237" s="520"/>
      <c r="EC237" s="520"/>
      <c r="ED237" s="520"/>
      <c r="EE237" s="520"/>
      <c r="EF237" s="520"/>
      <c r="EG237" s="520"/>
      <c r="EH237" s="520"/>
      <c r="EI237" s="520"/>
      <c r="EJ237" s="520"/>
      <c r="EK237" s="520"/>
      <c r="EL237" s="520"/>
      <c r="EM237" s="520"/>
      <c r="EN237" s="520"/>
      <c r="EO237" s="520"/>
      <c r="EP237" s="520"/>
      <c r="EQ237" s="520"/>
      <c r="ER237" s="520"/>
      <c r="ES237" s="520"/>
      <c r="ET237" s="520"/>
      <c r="EU237" s="520"/>
      <c r="EV237" s="520"/>
      <c r="EW237" s="520"/>
      <c r="EX237" s="520"/>
      <c r="EY237" s="520"/>
      <c r="EZ237" s="123"/>
      <c r="FA237" s="50"/>
      <c r="FB237" s="51"/>
    </row>
    <row r="238" spans="1:158" ht="9" customHeight="1" thickTop="1">
      <c r="A238" s="49"/>
      <c r="B238" s="50"/>
      <c r="C238" s="99"/>
      <c r="D238" s="537" t="s">
        <v>618</v>
      </c>
      <c r="E238" s="537"/>
      <c r="F238" s="537"/>
      <c r="G238" s="537"/>
      <c r="H238" s="537"/>
      <c r="I238" s="537"/>
      <c r="J238" s="537"/>
      <c r="K238" s="537"/>
      <c r="L238" s="537"/>
      <c r="M238" s="537"/>
      <c r="N238" s="537"/>
      <c r="O238" s="537"/>
      <c r="P238" s="537"/>
      <c r="Q238" s="537"/>
      <c r="R238" s="537"/>
      <c r="S238" s="537"/>
      <c r="T238" s="537"/>
      <c r="U238" s="537"/>
      <c r="V238" s="537"/>
      <c r="W238" s="537"/>
      <c r="X238" s="537"/>
      <c r="Y238" s="537"/>
      <c r="Z238" s="537"/>
      <c r="AA238" s="537"/>
      <c r="AB238" s="537"/>
      <c r="AC238" s="537"/>
      <c r="AD238" s="537"/>
      <c r="AE238" s="537"/>
      <c r="AF238" s="537"/>
      <c r="AG238" s="537"/>
      <c r="AH238" s="537"/>
      <c r="AI238" s="537"/>
      <c r="AJ238" s="537"/>
      <c r="AK238" s="537"/>
      <c r="AL238" s="537"/>
      <c r="AM238" s="537"/>
      <c r="AN238" s="537"/>
      <c r="AO238" s="537"/>
      <c r="AP238" s="98"/>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50"/>
      <c r="DA238" s="50"/>
      <c r="DB238" s="50"/>
      <c r="DC238" s="50"/>
      <c r="DD238" s="50"/>
      <c r="DE238" s="50"/>
      <c r="DF238" s="50"/>
      <c r="DG238" s="50"/>
      <c r="DH238" s="50"/>
      <c r="DI238" s="50"/>
      <c r="DJ238" s="50"/>
      <c r="DK238" s="50"/>
      <c r="DL238" s="50"/>
      <c r="DM238" s="50"/>
      <c r="DN238" s="50"/>
      <c r="DO238" s="122"/>
      <c r="DP238" s="521"/>
      <c r="DQ238" s="521"/>
      <c r="DR238" s="521"/>
      <c r="DS238" s="521"/>
      <c r="DT238" s="521"/>
      <c r="DU238" s="521"/>
      <c r="DV238" s="521"/>
      <c r="DW238" s="521"/>
      <c r="DX238" s="521"/>
      <c r="DY238" s="521"/>
      <c r="DZ238" s="521"/>
      <c r="EA238" s="521"/>
      <c r="EB238" s="521"/>
      <c r="EC238" s="521"/>
      <c r="ED238" s="521"/>
      <c r="EE238" s="521"/>
      <c r="EF238" s="521"/>
      <c r="EG238" s="521"/>
      <c r="EH238" s="521"/>
      <c r="EI238" s="521"/>
      <c r="EJ238" s="521"/>
      <c r="EK238" s="521"/>
      <c r="EL238" s="521"/>
      <c r="EM238" s="521"/>
      <c r="EN238" s="521"/>
      <c r="EO238" s="521"/>
      <c r="EP238" s="521"/>
      <c r="EQ238" s="521"/>
      <c r="ER238" s="521"/>
      <c r="ES238" s="521"/>
      <c r="ET238" s="521"/>
      <c r="EU238" s="521"/>
      <c r="EV238" s="521"/>
      <c r="EW238" s="521"/>
      <c r="EX238" s="521"/>
      <c r="EY238" s="521"/>
      <c r="EZ238" s="123"/>
      <c r="FA238" s="50"/>
      <c r="FB238" s="51"/>
    </row>
    <row r="239" spans="1:158" ht="9" customHeight="1">
      <c r="A239" s="49"/>
      <c r="B239" s="50"/>
      <c r="C239" s="110"/>
      <c r="D239" s="538"/>
      <c r="E239" s="538"/>
      <c r="F239" s="538"/>
      <c r="G239" s="538"/>
      <c r="H239" s="538"/>
      <c r="I239" s="538"/>
      <c r="J239" s="538"/>
      <c r="K239" s="538"/>
      <c r="L239" s="538"/>
      <c r="M239" s="538"/>
      <c r="N239" s="538"/>
      <c r="O239" s="538"/>
      <c r="P239" s="538"/>
      <c r="Q239" s="538"/>
      <c r="R239" s="538"/>
      <c r="S239" s="538"/>
      <c r="T239" s="538"/>
      <c r="U239" s="538"/>
      <c r="V239" s="538"/>
      <c r="W239" s="538"/>
      <c r="X239" s="538"/>
      <c r="Y239" s="538"/>
      <c r="Z239" s="538"/>
      <c r="AA239" s="538"/>
      <c r="AB239" s="538"/>
      <c r="AC239" s="538"/>
      <c r="AD239" s="538"/>
      <c r="AE239" s="538"/>
      <c r="AF239" s="538"/>
      <c r="AG239" s="538"/>
      <c r="AH239" s="538"/>
      <c r="AI239" s="538"/>
      <c r="AJ239" s="538"/>
      <c r="AK239" s="538"/>
      <c r="AL239" s="538"/>
      <c r="AM239" s="538"/>
      <c r="AN239" s="538"/>
      <c r="AO239" s="538"/>
      <c r="AP239" s="97"/>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50"/>
      <c r="DA239" s="50"/>
      <c r="DB239" s="50"/>
      <c r="DC239" s="50"/>
      <c r="DD239" s="50"/>
      <c r="DE239" s="50"/>
      <c r="DF239" s="50"/>
      <c r="DG239" s="50"/>
      <c r="DH239" s="50"/>
      <c r="DI239" s="50"/>
      <c r="DJ239" s="50"/>
      <c r="DK239" s="50"/>
      <c r="DL239" s="50"/>
      <c r="DM239" s="50"/>
      <c r="DN239" s="50"/>
      <c r="DO239" s="122"/>
      <c r="DP239" s="520" t="str">
        <f>IF(Skills!X29="","","Treatment "&amp;IF(Skills!X29&lt;0,"-","+")&amp;Skills!X29)</f>
        <v/>
      </c>
      <c r="DQ239" s="520"/>
      <c r="DR239" s="520"/>
      <c r="DS239" s="520"/>
      <c r="DT239" s="520"/>
      <c r="DU239" s="520"/>
      <c r="DV239" s="520"/>
      <c r="DW239" s="520"/>
      <c r="DX239" s="520"/>
      <c r="DY239" s="520"/>
      <c r="DZ239" s="520"/>
      <c r="EA239" s="520"/>
      <c r="EB239" s="520"/>
      <c r="EC239" s="520"/>
      <c r="ED239" s="520"/>
      <c r="EE239" s="520"/>
      <c r="EF239" s="520"/>
      <c r="EG239" s="520"/>
      <c r="EH239" s="520"/>
      <c r="EI239" s="520"/>
      <c r="EJ239" s="520"/>
      <c r="EK239" s="520"/>
      <c r="EL239" s="520"/>
      <c r="EM239" s="520"/>
      <c r="EN239" s="520"/>
      <c r="EO239" s="520"/>
      <c r="EP239" s="520"/>
      <c r="EQ239" s="520"/>
      <c r="ER239" s="520"/>
      <c r="ES239" s="520"/>
      <c r="ET239" s="520"/>
      <c r="EU239" s="520"/>
      <c r="EV239" s="520"/>
      <c r="EW239" s="520"/>
      <c r="EX239" s="520"/>
      <c r="EY239" s="520"/>
      <c r="EZ239" s="123"/>
      <c r="FA239" s="50"/>
      <c r="FB239" s="51"/>
    </row>
    <row r="240" spans="1:158" ht="9" customHeight="1">
      <c r="A240" s="49"/>
      <c r="B240" s="50"/>
      <c r="C240" s="110"/>
      <c r="D240" s="538"/>
      <c r="E240" s="538"/>
      <c r="F240" s="538"/>
      <c r="G240" s="538"/>
      <c r="H240" s="538"/>
      <c r="I240" s="538"/>
      <c r="J240" s="538"/>
      <c r="K240" s="538"/>
      <c r="L240" s="538"/>
      <c r="M240" s="538"/>
      <c r="N240" s="538"/>
      <c r="O240" s="538"/>
      <c r="P240" s="538"/>
      <c r="Q240" s="538"/>
      <c r="R240" s="538"/>
      <c r="S240" s="538"/>
      <c r="T240" s="538"/>
      <c r="U240" s="538"/>
      <c r="V240" s="538"/>
      <c r="W240" s="538"/>
      <c r="X240" s="538"/>
      <c r="Y240" s="538"/>
      <c r="Z240" s="538"/>
      <c r="AA240" s="538"/>
      <c r="AB240" s="538"/>
      <c r="AC240" s="538"/>
      <c r="AD240" s="538"/>
      <c r="AE240" s="538"/>
      <c r="AF240" s="538"/>
      <c r="AG240" s="538"/>
      <c r="AH240" s="538"/>
      <c r="AI240" s="538"/>
      <c r="AJ240" s="538"/>
      <c r="AK240" s="538"/>
      <c r="AL240" s="538"/>
      <c r="AM240" s="538"/>
      <c r="AN240" s="538"/>
      <c r="AO240" s="538"/>
      <c r="AP240" s="97"/>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50"/>
      <c r="DA240" s="50"/>
      <c r="DB240" s="50"/>
      <c r="DC240" s="50"/>
      <c r="DD240" s="50"/>
      <c r="DE240" s="50"/>
      <c r="DF240" s="50"/>
      <c r="DG240" s="50"/>
      <c r="DH240" s="50"/>
      <c r="DI240" s="50"/>
      <c r="DJ240" s="50"/>
      <c r="DK240" s="50"/>
      <c r="DL240" s="50"/>
      <c r="DM240" s="50"/>
      <c r="DN240" s="50"/>
      <c r="DO240" s="122"/>
      <c r="DP240" s="520"/>
      <c r="DQ240" s="520"/>
      <c r="DR240" s="520"/>
      <c r="DS240" s="520"/>
      <c r="DT240" s="520"/>
      <c r="DU240" s="520"/>
      <c r="DV240" s="520"/>
      <c r="DW240" s="520"/>
      <c r="DX240" s="520"/>
      <c r="DY240" s="520"/>
      <c r="DZ240" s="520"/>
      <c r="EA240" s="520"/>
      <c r="EB240" s="520"/>
      <c r="EC240" s="520"/>
      <c r="ED240" s="520"/>
      <c r="EE240" s="520"/>
      <c r="EF240" s="520"/>
      <c r="EG240" s="520"/>
      <c r="EH240" s="520"/>
      <c r="EI240" s="520"/>
      <c r="EJ240" s="520"/>
      <c r="EK240" s="520"/>
      <c r="EL240" s="520"/>
      <c r="EM240" s="520"/>
      <c r="EN240" s="520"/>
      <c r="EO240" s="520"/>
      <c r="EP240" s="520"/>
      <c r="EQ240" s="520"/>
      <c r="ER240" s="520"/>
      <c r="ES240" s="520"/>
      <c r="ET240" s="520"/>
      <c r="EU240" s="520"/>
      <c r="EV240" s="520"/>
      <c r="EW240" s="520"/>
      <c r="EX240" s="520"/>
      <c r="EY240" s="520"/>
      <c r="EZ240" s="123"/>
      <c r="FA240" s="50"/>
      <c r="FB240" s="51"/>
    </row>
    <row r="241" spans="1:158" ht="9" customHeight="1" thickBot="1">
      <c r="A241" s="49"/>
      <c r="B241" s="50"/>
      <c r="C241" s="110"/>
      <c r="D241" s="538"/>
      <c r="E241" s="538"/>
      <c r="F241" s="538"/>
      <c r="G241" s="538"/>
      <c r="H241" s="538"/>
      <c r="I241" s="538"/>
      <c r="J241" s="538"/>
      <c r="K241" s="538"/>
      <c r="L241" s="538"/>
      <c r="M241" s="538"/>
      <c r="N241" s="538"/>
      <c r="O241" s="538"/>
      <c r="P241" s="538"/>
      <c r="Q241" s="538"/>
      <c r="R241" s="538"/>
      <c r="S241" s="538"/>
      <c r="T241" s="538"/>
      <c r="U241" s="538"/>
      <c r="V241" s="538"/>
      <c r="W241" s="538"/>
      <c r="X241" s="538"/>
      <c r="Y241" s="538"/>
      <c r="Z241" s="538"/>
      <c r="AA241" s="538"/>
      <c r="AB241" s="538"/>
      <c r="AC241" s="538"/>
      <c r="AD241" s="538"/>
      <c r="AE241" s="538"/>
      <c r="AF241" s="538"/>
      <c r="AG241" s="538"/>
      <c r="AH241" s="538"/>
      <c r="AI241" s="538"/>
      <c r="AJ241" s="538"/>
      <c r="AK241" s="538"/>
      <c r="AL241" s="538"/>
      <c r="AM241" s="538"/>
      <c r="AN241" s="538"/>
      <c r="AO241" s="538"/>
      <c r="AP241" s="97"/>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c r="CC241" s="91"/>
      <c r="CD241" s="91"/>
      <c r="CE241" s="91"/>
      <c r="CF241" s="91"/>
      <c r="CG241" s="91"/>
      <c r="CH241" s="91"/>
      <c r="CI241" s="91"/>
      <c r="CJ241" s="91"/>
      <c r="CK241" s="91"/>
      <c r="CL241" s="91"/>
      <c r="CM241" s="91"/>
      <c r="CN241" s="91"/>
      <c r="CO241" s="91"/>
      <c r="CP241" s="91"/>
      <c r="CQ241" s="91"/>
      <c r="CR241" s="91"/>
      <c r="CS241" s="91"/>
      <c r="CT241" s="91"/>
      <c r="CU241" s="91"/>
      <c r="CV241" s="91"/>
      <c r="CW241" s="91"/>
      <c r="CX241" s="91"/>
      <c r="CY241" s="91"/>
      <c r="CZ241" s="91"/>
      <c r="DA241" s="91"/>
      <c r="DB241" s="91"/>
      <c r="DC241" s="91"/>
      <c r="DD241" s="91"/>
      <c r="DE241" s="91"/>
      <c r="DF241" s="91"/>
      <c r="DG241" s="91"/>
      <c r="DH241" s="91"/>
      <c r="DI241" s="91"/>
      <c r="DJ241" s="91"/>
      <c r="DK241" s="91"/>
      <c r="DL241" s="50"/>
      <c r="DM241" s="50"/>
      <c r="DN241" s="50"/>
      <c r="DO241" s="122"/>
      <c r="DP241" s="520"/>
      <c r="DQ241" s="520"/>
      <c r="DR241" s="520"/>
      <c r="DS241" s="520"/>
      <c r="DT241" s="520"/>
      <c r="DU241" s="520"/>
      <c r="DV241" s="520"/>
      <c r="DW241" s="520"/>
      <c r="DX241" s="520"/>
      <c r="DY241" s="520"/>
      <c r="DZ241" s="520"/>
      <c r="EA241" s="520"/>
      <c r="EB241" s="520"/>
      <c r="EC241" s="520"/>
      <c r="ED241" s="520"/>
      <c r="EE241" s="520"/>
      <c r="EF241" s="520"/>
      <c r="EG241" s="520"/>
      <c r="EH241" s="520"/>
      <c r="EI241" s="520"/>
      <c r="EJ241" s="520"/>
      <c r="EK241" s="520"/>
      <c r="EL241" s="520"/>
      <c r="EM241" s="520"/>
      <c r="EN241" s="520"/>
      <c r="EO241" s="520"/>
      <c r="EP241" s="520"/>
      <c r="EQ241" s="520"/>
      <c r="ER241" s="520"/>
      <c r="ES241" s="520"/>
      <c r="ET241" s="520"/>
      <c r="EU241" s="520"/>
      <c r="EV241" s="520"/>
      <c r="EW241" s="520"/>
      <c r="EX241" s="520"/>
      <c r="EY241" s="520"/>
      <c r="EZ241" s="123"/>
      <c r="FA241" s="50"/>
      <c r="FB241" s="51"/>
    </row>
    <row r="242" spans="1:158" ht="9" customHeight="1" thickTop="1">
      <c r="A242" s="49"/>
      <c r="B242" s="50"/>
      <c r="C242" s="526" t="str">
        <f>IF(Details!C6="","",Details!C6)</f>
        <v/>
      </c>
      <c r="D242" s="527"/>
      <c r="E242" s="527"/>
      <c r="F242" s="527"/>
      <c r="G242" s="527"/>
      <c r="H242" s="527"/>
      <c r="I242" s="527"/>
      <c r="J242" s="527"/>
      <c r="K242" s="527"/>
      <c r="L242" s="527"/>
      <c r="M242" s="527"/>
      <c r="N242" s="527"/>
      <c r="O242" s="527"/>
      <c r="P242" s="527"/>
      <c r="Q242" s="527"/>
      <c r="R242" s="527"/>
      <c r="S242" s="527"/>
      <c r="T242" s="527"/>
      <c r="U242" s="527"/>
      <c r="V242" s="527"/>
      <c r="W242" s="527"/>
      <c r="X242" s="527"/>
      <c r="Y242" s="527"/>
      <c r="Z242" s="527"/>
      <c r="AA242" s="527"/>
      <c r="AB242" s="527"/>
      <c r="AC242" s="527"/>
      <c r="AD242" s="527"/>
      <c r="AE242" s="527"/>
      <c r="AF242" s="527"/>
      <c r="AG242" s="527"/>
      <c r="AH242" s="527"/>
      <c r="AI242" s="527"/>
      <c r="AJ242" s="527"/>
      <c r="AK242" s="527"/>
      <c r="AL242" s="527"/>
      <c r="AM242" s="527"/>
      <c r="AN242" s="527"/>
      <c r="AO242" s="527"/>
      <c r="AP242" s="527"/>
      <c r="AQ242" s="527"/>
      <c r="AR242" s="527"/>
      <c r="AS242" s="527"/>
      <c r="AT242" s="527"/>
      <c r="AU242" s="527"/>
      <c r="AV242" s="527"/>
      <c r="AW242" s="527"/>
      <c r="AX242" s="527"/>
      <c r="AY242" s="527"/>
      <c r="AZ242" s="527"/>
      <c r="BA242" s="527"/>
      <c r="BB242" s="527"/>
      <c r="BC242" s="527"/>
      <c r="BD242" s="527"/>
      <c r="BE242" s="527"/>
      <c r="BF242" s="527"/>
      <c r="BG242" s="527"/>
      <c r="BH242" s="527"/>
      <c r="BI242" s="527"/>
      <c r="BJ242" s="527"/>
      <c r="BK242" s="527"/>
      <c r="BL242" s="527"/>
      <c r="BM242" s="527"/>
      <c r="BN242" s="527"/>
      <c r="BO242" s="527"/>
      <c r="BP242" s="527"/>
      <c r="BQ242" s="527"/>
      <c r="BR242" s="527"/>
      <c r="BS242" s="527"/>
      <c r="BT242" s="527"/>
      <c r="BU242" s="527"/>
      <c r="BV242" s="527"/>
      <c r="BW242" s="527"/>
      <c r="BX242" s="527"/>
      <c r="BY242" s="527"/>
      <c r="BZ242" s="527"/>
      <c r="CA242" s="527"/>
      <c r="CB242" s="527"/>
      <c r="CC242" s="527"/>
      <c r="CD242" s="527"/>
      <c r="CE242" s="527"/>
      <c r="CF242" s="527"/>
      <c r="CG242" s="527"/>
      <c r="CH242" s="527"/>
      <c r="CI242" s="527"/>
      <c r="CJ242" s="527"/>
      <c r="CK242" s="527"/>
      <c r="CL242" s="527"/>
      <c r="CM242" s="527"/>
      <c r="CN242" s="527"/>
      <c r="CO242" s="527"/>
      <c r="CP242" s="527"/>
      <c r="CQ242" s="527"/>
      <c r="CR242" s="527"/>
      <c r="CS242" s="527"/>
      <c r="CT242" s="527"/>
      <c r="CU242" s="527"/>
      <c r="CV242" s="527"/>
      <c r="CW242" s="527"/>
      <c r="CX242" s="527"/>
      <c r="CY242" s="527"/>
      <c r="CZ242" s="527"/>
      <c r="DA242" s="527"/>
      <c r="DB242" s="527"/>
      <c r="DC242" s="527"/>
      <c r="DD242" s="527"/>
      <c r="DE242" s="527"/>
      <c r="DF242" s="527"/>
      <c r="DG242" s="527"/>
      <c r="DH242" s="527"/>
      <c r="DI242" s="527"/>
      <c r="DJ242" s="527"/>
      <c r="DK242" s="528"/>
      <c r="DL242" s="50"/>
      <c r="DM242" s="50"/>
      <c r="DN242" s="50"/>
      <c r="DO242" s="122"/>
      <c r="DP242" s="521"/>
      <c r="DQ242" s="521"/>
      <c r="DR242" s="521"/>
      <c r="DS242" s="521"/>
      <c r="DT242" s="521"/>
      <c r="DU242" s="521"/>
      <c r="DV242" s="521"/>
      <c r="DW242" s="521"/>
      <c r="DX242" s="521"/>
      <c r="DY242" s="521"/>
      <c r="DZ242" s="521"/>
      <c r="EA242" s="521"/>
      <c r="EB242" s="521"/>
      <c r="EC242" s="521"/>
      <c r="ED242" s="521"/>
      <c r="EE242" s="521"/>
      <c r="EF242" s="521"/>
      <c r="EG242" s="521"/>
      <c r="EH242" s="521"/>
      <c r="EI242" s="521"/>
      <c r="EJ242" s="521"/>
      <c r="EK242" s="521"/>
      <c r="EL242" s="521"/>
      <c r="EM242" s="521"/>
      <c r="EN242" s="521"/>
      <c r="EO242" s="521"/>
      <c r="EP242" s="521"/>
      <c r="EQ242" s="521"/>
      <c r="ER242" s="521"/>
      <c r="ES242" s="521"/>
      <c r="ET242" s="521"/>
      <c r="EU242" s="521"/>
      <c r="EV242" s="521"/>
      <c r="EW242" s="521"/>
      <c r="EX242" s="521"/>
      <c r="EY242" s="521"/>
      <c r="EZ242" s="123"/>
      <c r="FA242" s="50"/>
      <c r="FB242" s="51"/>
    </row>
    <row r="243" spans="1:158" ht="9" customHeight="1">
      <c r="A243" s="49"/>
      <c r="B243" s="50"/>
      <c r="C243" s="526"/>
      <c r="D243" s="527"/>
      <c r="E243" s="527"/>
      <c r="F243" s="527"/>
      <c r="G243" s="527"/>
      <c r="H243" s="527"/>
      <c r="I243" s="527"/>
      <c r="J243" s="527"/>
      <c r="K243" s="527"/>
      <c r="L243" s="527"/>
      <c r="M243" s="527"/>
      <c r="N243" s="527"/>
      <c r="O243" s="527"/>
      <c r="P243" s="527"/>
      <c r="Q243" s="527"/>
      <c r="R243" s="527"/>
      <c r="S243" s="527"/>
      <c r="T243" s="527"/>
      <c r="U243" s="527"/>
      <c r="V243" s="527"/>
      <c r="W243" s="527"/>
      <c r="X243" s="527"/>
      <c r="Y243" s="527"/>
      <c r="Z243" s="527"/>
      <c r="AA243" s="527"/>
      <c r="AB243" s="527"/>
      <c r="AC243" s="527"/>
      <c r="AD243" s="527"/>
      <c r="AE243" s="527"/>
      <c r="AF243" s="527"/>
      <c r="AG243" s="527"/>
      <c r="AH243" s="527"/>
      <c r="AI243" s="527"/>
      <c r="AJ243" s="527"/>
      <c r="AK243" s="527"/>
      <c r="AL243" s="527"/>
      <c r="AM243" s="527"/>
      <c r="AN243" s="527"/>
      <c r="AO243" s="527"/>
      <c r="AP243" s="527"/>
      <c r="AQ243" s="527"/>
      <c r="AR243" s="527"/>
      <c r="AS243" s="527"/>
      <c r="AT243" s="527"/>
      <c r="AU243" s="527"/>
      <c r="AV243" s="527"/>
      <c r="AW243" s="527"/>
      <c r="AX243" s="527"/>
      <c r="AY243" s="527"/>
      <c r="AZ243" s="527"/>
      <c r="BA243" s="527"/>
      <c r="BB243" s="527"/>
      <c r="BC243" s="527"/>
      <c r="BD243" s="527"/>
      <c r="BE243" s="527"/>
      <c r="BF243" s="527"/>
      <c r="BG243" s="527"/>
      <c r="BH243" s="527"/>
      <c r="BI243" s="527"/>
      <c r="BJ243" s="527"/>
      <c r="BK243" s="527"/>
      <c r="BL243" s="527"/>
      <c r="BM243" s="527"/>
      <c r="BN243" s="527"/>
      <c r="BO243" s="527"/>
      <c r="BP243" s="527"/>
      <c r="BQ243" s="527"/>
      <c r="BR243" s="527"/>
      <c r="BS243" s="527"/>
      <c r="BT243" s="527"/>
      <c r="BU243" s="527"/>
      <c r="BV243" s="527"/>
      <c r="BW243" s="527"/>
      <c r="BX243" s="527"/>
      <c r="BY243" s="527"/>
      <c r="BZ243" s="527"/>
      <c r="CA243" s="527"/>
      <c r="CB243" s="527"/>
      <c r="CC243" s="527"/>
      <c r="CD243" s="527"/>
      <c r="CE243" s="527"/>
      <c r="CF243" s="527"/>
      <c r="CG243" s="527"/>
      <c r="CH243" s="527"/>
      <c r="CI243" s="527"/>
      <c r="CJ243" s="527"/>
      <c r="CK243" s="527"/>
      <c r="CL243" s="527"/>
      <c r="CM243" s="527"/>
      <c r="CN243" s="527"/>
      <c r="CO243" s="527"/>
      <c r="CP243" s="527"/>
      <c r="CQ243" s="527"/>
      <c r="CR243" s="527"/>
      <c r="CS243" s="527"/>
      <c r="CT243" s="527"/>
      <c r="CU243" s="527"/>
      <c r="CV243" s="527"/>
      <c r="CW243" s="527"/>
      <c r="CX243" s="527"/>
      <c r="CY243" s="527"/>
      <c r="CZ243" s="527"/>
      <c r="DA243" s="527"/>
      <c r="DB243" s="527"/>
      <c r="DC243" s="527"/>
      <c r="DD243" s="527"/>
      <c r="DE243" s="527"/>
      <c r="DF243" s="527"/>
      <c r="DG243" s="527"/>
      <c r="DH243" s="527"/>
      <c r="DI243" s="527"/>
      <c r="DJ243" s="527"/>
      <c r="DK243" s="528"/>
      <c r="DL243" s="50"/>
      <c r="DM243" s="50"/>
      <c r="DN243" s="50"/>
      <c r="DO243" s="122"/>
      <c r="DP243" s="520" t="str">
        <f>IF(Skills!X30="","","Vehicles "&amp;IF(Skills!X30&lt;0,"-","+")&amp;Skills!X30)</f>
        <v/>
      </c>
      <c r="DQ243" s="520"/>
      <c r="DR243" s="520"/>
      <c r="DS243" s="520"/>
      <c r="DT243" s="520"/>
      <c r="DU243" s="520"/>
      <c r="DV243" s="520"/>
      <c r="DW243" s="520"/>
      <c r="DX243" s="520"/>
      <c r="DY243" s="520"/>
      <c r="DZ243" s="520"/>
      <c r="EA243" s="520"/>
      <c r="EB243" s="520"/>
      <c r="EC243" s="520"/>
      <c r="ED243" s="520"/>
      <c r="EE243" s="520"/>
      <c r="EF243" s="520"/>
      <c r="EG243" s="520"/>
      <c r="EH243" s="520"/>
      <c r="EI243" s="520"/>
      <c r="EJ243" s="520"/>
      <c r="EK243" s="520"/>
      <c r="EL243" s="520"/>
      <c r="EM243" s="520"/>
      <c r="EN243" s="520"/>
      <c r="EO243" s="520"/>
      <c r="EP243" s="520"/>
      <c r="EQ243" s="520"/>
      <c r="ER243" s="520"/>
      <c r="ES243" s="520"/>
      <c r="ET243" s="520"/>
      <c r="EU243" s="520"/>
      <c r="EV243" s="520"/>
      <c r="EW243" s="520"/>
      <c r="EX243" s="520"/>
      <c r="EY243" s="520"/>
      <c r="EZ243" s="123"/>
      <c r="FA243" s="50"/>
      <c r="FB243" s="51"/>
    </row>
    <row r="244" spans="1:158" ht="9" customHeight="1">
      <c r="A244" s="49"/>
      <c r="B244" s="50"/>
      <c r="C244" s="526"/>
      <c r="D244" s="527"/>
      <c r="E244" s="527"/>
      <c r="F244" s="527"/>
      <c r="G244" s="527"/>
      <c r="H244" s="527"/>
      <c r="I244" s="527"/>
      <c r="J244" s="527"/>
      <c r="K244" s="527"/>
      <c r="L244" s="527"/>
      <c r="M244" s="527"/>
      <c r="N244" s="527"/>
      <c r="O244" s="527"/>
      <c r="P244" s="527"/>
      <c r="Q244" s="527"/>
      <c r="R244" s="527"/>
      <c r="S244" s="527"/>
      <c r="T244" s="527"/>
      <c r="U244" s="527"/>
      <c r="V244" s="527"/>
      <c r="W244" s="527"/>
      <c r="X244" s="527"/>
      <c r="Y244" s="527"/>
      <c r="Z244" s="527"/>
      <c r="AA244" s="527"/>
      <c r="AB244" s="527"/>
      <c r="AC244" s="527"/>
      <c r="AD244" s="527"/>
      <c r="AE244" s="527"/>
      <c r="AF244" s="527"/>
      <c r="AG244" s="527"/>
      <c r="AH244" s="527"/>
      <c r="AI244" s="527"/>
      <c r="AJ244" s="527"/>
      <c r="AK244" s="527"/>
      <c r="AL244" s="527"/>
      <c r="AM244" s="527"/>
      <c r="AN244" s="527"/>
      <c r="AO244" s="527"/>
      <c r="AP244" s="527"/>
      <c r="AQ244" s="527"/>
      <c r="AR244" s="527"/>
      <c r="AS244" s="527"/>
      <c r="AT244" s="527"/>
      <c r="AU244" s="527"/>
      <c r="AV244" s="527"/>
      <c r="AW244" s="527"/>
      <c r="AX244" s="527"/>
      <c r="AY244" s="527"/>
      <c r="AZ244" s="527"/>
      <c r="BA244" s="527"/>
      <c r="BB244" s="527"/>
      <c r="BC244" s="527"/>
      <c r="BD244" s="527"/>
      <c r="BE244" s="527"/>
      <c r="BF244" s="527"/>
      <c r="BG244" s="527"/>
      <c r="BH244" s="527"/>
      <c r="BI244" s="527"/>
      <c r="BJ244" s="527"/>
      <c r="BK244" s="527"/>
      <c r="BL244" s="527"/>
      <c r="BM244" s="527"/>
      <c r="BN244" s="527"/>
      <c r="BO244" s="527"/>
      <c r="BP244" s="527"/>
      <c r="BQ244" s="527"/>
      <c r="BR244" s="527"/>
      <c r="BS244" s="527"/>
      <c r="BT244" s="527"/>
      <c r="BU244" s="527"/>
      <c r="BV244" s="527"/>
      <c r="BW244" s="527"/>
      <c r="BX244" s="527"/>
      <c r="BY244" s="527"/>
      <c r="BZ244" s="527"/>
      <c r="CA244" s="527"/>
      <c r="CB244" s="527"/>
      <c r="CC244" s="527"/>
      <c r="CD244" s="527"/>
      <c r="CE244" s="527"/>
      <c r="CF244" s="527"/>
      <c r="CG244" s="527"/>
      <c r="CH244" s="527"/>
      <c r="CI244" s="527"/>
      <c r="CJ244" s="527"/>
      <c r="CK244" s="527"/>
      <c r="CL244" s="527"/>
      <c r="CM244" s="527"/>
      <c r="CN244" s="527"/>
      <c r="CO244" s="527"/>
      <c r="CP244" s="527"/>
      <c r="CQ244" s="527"/>
      <c r="CR244" s="527"/>
      <c r="CS244" s="527"/>
      <c r="CT244" s="527"/>
      <c r="CU244" s="527"/>
      <c r="CV244" s="527"/>
      <c r="CW244" s="527"/>
      <c r="CX244" s="527"/>
      <c r="CY244" s="527"/>
      <c r="CZ244" s="527"/>
      <c r="DA244" s="527"/>
      <c r="DB244" s="527"/>
      <c r="DC244" s="527"/>
      <c r="DD244" s="527"/>
      <c r="DE244" s="527"/>
      <c r="DF244" s="527"/>
      <c r="DG244" s="527"/>
      <c r="DH244" s="527"/>
      <c r="DI244" s="527"/>
      <c r="DJ244" s="527"/>
      <c r="DK244" s="528"/>
      <c r="DL244" s="50"/>
      <c r="DM244" s="50"/>
      <c r="DN244" s="50"/>
      <c r="DO244" s="122"/>
      <c r="DP244" s="520"/>
      <c r="DQ244" s="520"/>
      <c r="DR244" s="520"/>
      <c r="DS244" s="520"/>
      <c r="DT244" s="520"/>
      <c r="DU244" s="520"/>
      <c r="DV244" s="520"/>
      <c r="DW244" s="520"/>
      <c r="DX244" s="520"/>
      <c r="DY244" s="520"/>
      <c r="DZ244" s="520"/>
      <c r="EA244" s="520"/>
      <c r="EB244" s="520"/>
      <c r="EC244" s="520"/>
      <c r="ED244" s="520"/>
      <c r="EE244" s="520"/>
      <c r="EF244" s="520"/>
      <c r="EG244" s="520"/>
      <c r="EH244" s="520"/>
      <c r="EI244" s="520"/>
      <c r="EJ244" s="520"/>
      <c r="EK244" s="520"/>
      <c r="EL244" s="520"/>
      <c r="EM244" s="520"/>
      <c r="EN244" s="520"/>
      <c r="EO244" s="520"/>
      <c r="EP244" s="520"/>
      <c r="EQ244" s="520"/>
      <c r="ER244" s="520"/>
      <c r="ES244" s="520"/>
      <c r="ET244" s="520"/>
      <c r="EU244" s="520"/>
      <c r="EV244" s="520"/>
      <c r="EW244" s="520"/>
      <c r="EX244" s="520"/>
      <c r="EY244" s="520"/>
      <c r="EZ244" s="123"/>
      <c r="FA244" s="50"/>
      <c r="FB244" s="51"/>
    </row>
    <row r="245" spans="1:158" ht="9" customHeight="1">
      <c r="A245" s="49"/>
      <c r="B245" s="50"/>
      <c r="C245" s="532"/>
      <c r="D245" s="533"/>
      <c r="E245" s="533"/>
      <c r="F245" s="533"/>
      <c r="G245" s="533"/>
      <c r="H245" s="533"/>
      <c r="I245" s="533"/>
      <c r="J245" s="533"/>
      <c r="K245" s="533"/>
      <c r="L245" s="533"/>
      <c r="M245" s="533"/>
      <c r="N245" s="533"/>
      <c r="O245" s="533"/>
      <c r="P245" s="533"/>
      <c r="Q245" s="533"/>
      <c r="R245" s="533"/>
      <c r="S245" s="533"/>
      <c r="T245" s="533"/>
      <c r="U245" s="533"/>
      <c r="V245" s="533"/>
      <c r="W245" s="533"/>
      <c r="X245" s="533"/>
      <c r="Y245" s="533"/>
      <c r="Z245" s="533"/>
      <c r="AA245" s="533"/>
      <c r="AB245" s="533"/>
      <c r="AC245" s="533"/>
      <c r="AD245" s="533"/>
      <c r="AE245" s="533"/>
      <c r="AF245" s="533"/>
      <c r="AG245" s="533"/>
      <c r="AH245" s="533"/>
      <c r="AI245" s="533"/>
      <c r="AJ245" s="533"/>
      <c r="AK245" s="533"/>
      <c r="AL245" s="533"/>
      <c r="AM245" s="533"/>
      <c r="AN245" s="533"/>
      <c r="AO245" s="533"/>
      <c r="AP245" s="533"/>
      <c r="AQ245" s="533"/>
      <c r="AR245" s="533"/>
      <c r="AS245" s="533"/>
      <c r="AT245" s="533"/>
      <c r="AU245" s="533"/>
      <c r="AV245" s="533"/>
      <c r="AW245" s="533"/>
      <c r="AX245" s="533"/>
      <c r="AY245" s="533"/>
      <c r="AZ245" s="533"/>
      <c r="BA245" s="533"/>
      <c r="BB245" s="533"/>
      <c r="BC245" s="533"/>
      <c r="BD245" s="533"/>
      <c r="BE245" s="533"/>
      <c r="BF245" s="533"/>
      <c r="BG245" s="533"/>
      <c r="BH245" s="533"/>
      <c r="BI245" s="533"/>
      <c r="BJ245" s="533"/>
      <c r="BK245" s="533"/>
      <c r="BL245" s="533"/>
      <c r="BM245" s="533"/>
      <c r="BN245" s="533"/>
      <c r="BO245" s="533"/>
      <c r="BP245" s="533"/>
      <c r="BQ245" s="533"/>
      <c r="BR245" s="533"/>
      <c r="BS245" s="533"/>
      <c r="BT245" s="533"/>
      <c r="BU245" s="533"/>
      <c r="BV245" s="533"/>
      <c r="BW245" s="533"/>
      <c r="BX245" s="533"/>
      <c r="BY245" s="533"/>
      <c r="BZ245" s="533"/>
      <c r="CA245" s="533"/>
      <c r="CB245" s="533"/>
      <c r="CC245" s="533"/>
      <c r="CD245" s="533"/>
      <c r="CE245" s="533"/>
      <c r="CF245" s="533"/>
      <c r="CG245" s="533"/>
      <c r="CH245" s="533"/>
      <c r="CI245" s="533"/>
      <c r="CJ245" s="533"/>
      <c r="CK245" s="533"/>
      <c r="CL245" s="533"/>
      <c r="CM245" s="533"/>
      <c r="CN245" s="533"/>
      <c r="CO245" s="533"/>
      <c r="CP245" s="533"/>
      <c r="CQ245" s="533"/>
      <c r="CR245" s="533"/>
      <c r="CS245" s="533"/>
      <c r="CT245" s="533"/>
      <c r="CU245" s="533"/>
      <c r="CV245" s="533"/>
      <c r="CW245" s="533"/>
      <c r="CX245" s="533"/>
      <c r="CY245" s="533"/>
      <c r="CZ245" s="533"/>
      <c r="DA245" s="533"/>
      <c r="DB245" s="533"/>
      <c r="DC245" s="533"/>
      <c r="DD245" s="533"/>
      <c r="DE245" s="533"/>
      <c r="DF245" s="533"/>
      <c r="DG245" s="533"/>
      <c r="DH245" s="533"/>
      <c r="DI245" s="533"/>
      <c r="DJ245" s="533"/>
      <c r="DK245" s="534"/>
      <c r="DL245" s="50"/>
      <c r="DM245" s="50"/>
      <c r="DN245" s="50"/>
      <c r="DO245" s="122"/>
      <c r="DP245" s="520"/>
      <c r="DQ245" s="520"/>
      <c r="DR245" s="520"/>
      <c r="DS245" s="520"/>
      <c r="DT245" s="520"/>
      <c r="DU245" s="520"/>
      <c r="DV245" s="520"/>
      <c r="DW245" s="520"/>
      <c r="DX245" s="520"/>
      <c r="DY245" s="520"/>
      <c r="DZ245" s="520"/>
      <c r="EA245" s="520"/>
      <c r="EB245" s="520"/>
      <c r="EC245" s="520"/>
      <c r="ED245" s="520"/>
      <c r="EE245" s="520"/>
      <c r="EF245" s="520"/>
      <c r="EG245" s="520"/>
      <c r="EH245" s="520"/>
      <c r="EI245" s="520"/>
      <c r="EJ245" s="520"/>
      <c r="EK245" s="520"/>
      <c r="EL245" s="520"/>
      <c r="EM245" s="520"/>
      <c r="EN245" s="520"/>
      <c r="EO245" s="520"/>
      <c r="EP245" s="520"/>
      <c r="EQ245" s="520"/>
      <c r="ER245" s="520"/>
      <c r="ES245" s="520"/>
      <c r="ET245" s="520"/>
      <c r="EU245" s="520"/>
      <c r="EV245" s="520"/>
      <c r="EW245" s="520"/>
      <c r="EX245" s="520"/>
      <c r="EY245" s="520"/>
      <c r="EZ245" s="123"/>
      <c r="FA245" s="50"/>
      <c r="FB245" s="51"/>
    </row>
    <row r="246" spans="1:158" ht="9" customHeight="1">
      <c r="A246" s="49"/>
      <c r="B246" s="50"/>
      <c r="C246" s="526" t="str">
        <f>IF(Details!C7="","",Details!C7)</f>
        <v/>
      </c>
      <c r="D246" s="527"/>
      <c r="E246" s="527"/>
      <c r="F246" s="527"/>
      <c r="G246" s="527"/>
      <c r="H246" s="527"/>
      <c r="I246" s="527"/>
      <c r="J246" s="527"/>
      <c r="K246" s="527"/>
      <c r="L246" s="527"/>
      <c r="M246" s="527"/>
      <c r="N246" s="527"/>
      <c r="O246" s="527"/>
      <c r="P246" s="527"/>
      <c r="Q246" s="527"/>
      <c r="R246" s="527"/>
      <c r="S246" s="527"/>
      <c r="T246" s="527"/>
      <c r="U246" s="527"/>
      <c r="V246" s="527"/>
      <c r="W246" s="527"/>
      <c r="X246" s="527"/>
      <c r="Y246" s="527"/>
      <c r="Z246" s="527"/>
      <c r="AA246" s="527"/>
      <c r="AB246" s="527"/>
      <c r="AC246" s="527"/>
      <c r="AD246" s="527"/>
      <c r="AE246" s="527"/>
      <c r="AF246" s="527"/>
      <c r="AG246" s="527"/>
      <c r="AH246" s="527"/>
      <c r="AI246" s="527"/>
      <c r="AJ246" s="527"/>
      <c r="AK246" s="527"/>
      <c r="AL246" s="527"/>
      <c r="AM246" s="527"/>
      <c r="AN246" s="527"/>
      <c r="AO246" s="527"/>
      <c r="AP246" s="527"/>
      <c r="AQ246" s="527"/>
      <c r="AR246" s="527"/>
      <c r="AS246" s="527"/>
      <c r="AT246" s="527"/>
      <c r="AU246" s="527"/>
      <c r="AV246" s="527"/>
      <c r="AW246" s="527"/>
      <c r="AX246" s="527"/>
      <c r="AY246" s="527"/>
      <c r="AZ246" s="527"/>
      <c r="BA246" s="527"/>
      <c r="BB246" s="527"/>
      <c r="BC246" s="527"/>
      <c r="BD246" s="527"/>
      <c r="BE246" s="527"/>
      <c r="BF246" s="527"/>
      <c r="BG246" s="527"/>
      <c r="BH246" s="527"/>
      <c r="BI246" s="527"/>
      <c r="BJ246" s="527"/>
      <c r="BK246" s="527"/>
      <c r="BL246" s="527"/>
      <c r="BM246" s="527"/>
      <c r="BN246" s="527"/>
      <c r="BO246" s="527"/>
      <c r="BP246" s="527"/>
      <c r="BQ246" s="527"/>
      <c r="BR246" s="527"/>
      <c r="BS246" s="527"/>
      <c r="BT246" s="527"/>
      <c r="BU246" s="527"/>
      <c r="BV246" s="527"/>
      <c r="BW246" s="527"/>
      <c r="BX246" s="527"/>
      <c r="BY246" s="527"/>
      <c r="BZ246" s="527"/>
      <c r="CA246" s="527"/>
      <c r="CB246" s="527"/>
      <c r="CC246" s="527"/>
      <c r="CD246" s="527"/>
      <c r="CE246" s="527"/>
      <c r="CF246" s="527"/>
      <c r="CG246" s="527"/>
      <c r="CH246" s="527"/>
      <c r="CI246" s="527"/>
      <c r="CJ246" s="527"/>
      <c r="CK246" s="527"/>
      <c r="CL246" s="527"/>
      <c r="CM246" s="527"/>
      <c r="CN246" s="527"/>
      <c r="CO246" s="527"/>
      <c r="CP246" s="527"/>
      <c r="CQ246" s="527"/>
      <c r="CR246" s="527"/>
      <c r="CS246" s="527"/>
      <c r="CT246" s="527"/>
      <c r="CU246" s="527"/>
      <c r="CV246" s="527"/>
      <c r="CW246" s="527"/>
      <c r="CX246" s="527"/>
      <c r="CY246" s="527"/>
      <c r="CZ246" s="527"/>
      <c r="DA246" s="527"/>
      <c r="DB246" s="527"/>
      <c r="DC246" s="527"/>
      <c r="DD246" s="527"/>
      <c r="DE246" s="527"/>
      <c r="DF246" s="527"/>
      <c r="DG246" s="527"/>
      <c r="DH246" s="527"/>
      <c r="DI246" s="527"/>
      <c r="DJ246" s="527"/>
      <c r="DK246" s="528"/>
      <c r="DL246" s="50"/>
      <c r="DM246" s="50"/>
      <c r="DN246" s="50"/>
      <c r="DO246" s="122"/>
      <c r="DP246" s="521"/>
      <c r="DQ246" s="521"/>
      <c r="DR246" s="521"/>
      <c r="DS246" s="521"/>
      <c r="DT246" s="521"/>
      <c r="DU246" s="521"/>
      <c r="DV246" s="521"/>
      <c r="DW246" s="521"/>
      <c r="DX246" s="521"/>
      <c r="DY246" s="521"/>
      <c r="DZ246" s="521"/>
      <c r="EA246" s="521"/>
      <c r="EB246" s="521"/>
      <c r="EC246" s="521"/>
      <c r="ED246" s="521"/>
      <c r="EE246" s="521"/>
      <c r="EF246" s="521"/>
      <c r="EG246" s="521"/>
      <c r="EH246" s="521"/>
      <c r="EI246" s="521"/>
      <c r="EJ246" s="521"/>
      <c r="EK246" s="521"/>
      <c r="EL246" s="521"/>
      <c r="EM246" s="521"/>
      <c r="EN246" s="521"/>
      <c r="EO246" s="521"/>
      <c r="EP246" s="521"/>
      <c r="EQ246" s="521"/>
      <c r="ER246" s="521"/>
      <c r="ES246" s="521"/>
      <c r="ET246" s="521"/>
      <c r="EU246" s="521"/>
      <c r="EV246" s="521"/>
      <c r="EW246" s="521"/>
      <c r="EX246" s="521"/>
      <c r="EY246" s="521"/>
      <c r="EZ246" s="123"/>
      <c r="FA246" s="50"/>
      <c r="FB246" s="51"/>
    </row>
    <row r="247" spans="1:158" ht="9" customHeight="1">
      <c r="A247" s="49"/>
      <c r="B247" s="50"/>
      <c r="C247" s="526"/>
      <c r="D247" s="527"/>
      <c r="E247" s="527"/>
      <c r="F247" s="527"/>
      <c r="G247" s="527"/>
      <c r="H247" s="527"/>
      <c r="I247" s="527"/>
      <c r="J247" s="527"/>
      <c r="K247" s="527"/>
      <c r="L247" s="527"/>
      <c r="M247" s="527"/>
      <c r="N247" s="527"/>
      <c r="O247" s="527"/>
      <c r="P247" s="527"/>
      <c r="Q247" s="527"/>
      <c r="R247" s="527"/>
      <c r="S247" s="527"/>
      <c r="T247" s="527"/>
      <c r="U247" s="527"/>
      <c r="V247" s="527"/>
      <c r="W247" s="527"/>
      <c r="X247" s="527"/>
      <c r="Y247" s="527"/>
      <c r="Z247" s="527"/>
      <c r="AA247" s="527"/>
      <c r="AB247" s="527"/>
      <c r="AC247" s="527"/>
      <c r="AD247" s="527"/>
      <c r="AE247" s="527"/>
      <c r="AF247" s="527"/>
      <c r="AG247" s="527"/>
      <c r="AH247" s="527"/>
      <c r="AI247" s="527"/>
      <c r="AJ247" s="527"/>
      <c r="AK247" s="527"/>
      <c r="AL247" s="527"/>
      <c r="AM247" s="527"/>
      <c r="AN247" s="527"/>
      <c r="AO247" s="527"/>
      <c r="AP247" s="527"/>
      <c r="AQ247" s="527"/>
      <c r="AR247" s="527"/>
      <c r="AS247" s="527"/>
      <c r="AT247" s="527"/>
      <c r="AU247" s="527"/>
      <c r="AV247" s="527"/>
      <c r="AW247" s="527"/>
      <c r="AX247" s="527"/>
      <c r="AY247" s="527"/>
      <c r="AZ247" s="527"/>
      <c r="BA247" s="527"/>
      <c r="BB247" s="527"/>
      <c r="BC247" s="527"/>
      <c r="BD247" s="527"/>
      <c r="BE247" s="527"/>
      <c r="BF247" s="527"/>
      <c r="BG247" s="527"/>
      <c r="BH247" s="527"/>
      <c r="BI247" s="527"/>
      <c r="BJ247" s="527"/>
      <c r="BK247" s="527"/>
      <c r="BL247" s="527"/>
      <c r="BM247" s="527"/>
      <c r="BN247" s="527"/>
      <c r="BO247" s="527"/>
      <c r="BP247" s="527"/>
      <c r="BQ247" s="527"/>
      <c r="BR247" s="527"/>
      <c r="BS247" s="527"/>
      <c r="BT247" s="527"/>
      <c r="BU247" s="527"/>
      <c r="BV247" s="527"/>
      <c r="BW247" s="527"/>
      <c r="BX247" s="527"/>
      <c r="BY247" s="527"/>
      <c r="BZ247" s="527"/>
      <c r="CA247" s="527"/>
      <c r="CB247" s="527"/>
      <c r="CC247" s="527"/>
      <c r="CD247" s="527"/>
      <c r="CE247" s="527"/>
      <c r="CF247" s="527"/>
      <c r="CG247" s="527"/>
      <c r="CH247" s="527"/>
      <c r="CI247" s="527"/>
      <c r="CJ247" s="527"/>
      <c r="CK247" s="527"/>
      <c r="CL247" s="527"/>
      <c r="CM247" s="527"/>
      <c r="CN247" s="527"/>
      <c r="CO247" s="527"/>
      <c r="CP247" s="527"/>
      <c r="CQ247" s="527"/>
      <c r="CR247" s="527"/>
      <c r="CS247" s="527"/>
      <c r="CT247" s="527"/>
      <c r="CU247" s="527"/>
      <c r="CV247" s="527"/>
      <c r="CW247" s="527"/>
      <c r="CX247" s="527"/>
      <c r="CY247" s="527"/>
      <c r="CZ247" s="527"/>
      <c r="DA247" s="527"/>
      <c r="DB247" s="527"/>
      <c r="DC247" s="527"/>
      <c r="DD247" s="527"/>
      <c r="DE247" s="527"/>
      <c r="DF247" s="527"/>
      <c r="DG247" s="527"/>
      <c r="DH247" s="527"/>
      <c r="DI247" s="527"/>
      <c r="DJ247" s="527"/>
      <c r="DK247" s="528"/>
      <c r="DL247" s="50"/>
      <c r="DM247" s="50"/>
      <c r="DN247" s="50"/>
      <c r="DO247" s="122"/>
      <c r="DP247" s="50"/>
      <c r="DQ247" s="50"/>
      <c r="DR247" s="50"/>
      <c r="DS247" s="50"/>
      <c r="DT247" s="50"/>
      <c r="DU247" s="50"/>
      <c r="DV247" s="50"/>
      <c r="DW247" s="50"/>
      <c r="DX247" s="50"/>
      <c r="DY247" s="50"/>
      <c r="DZ247" s="50"/>
      <c r="EA247" s="50"/>
      <c r="EB247" s="50"/>
      <c r="EC247" s="50"/>
      <c r="ED247" s="50"/>
      <c r="EE247" s="50"/>
      <c r="EF247" s="50"/>
      <c r="EG247" s="50"/>
      <c r="EH247" s="50"/>
      <c r="EI247" s="50"/>
      <c r="EJ247" s="50"/>
      <c r="EK247" s="50"/>
      <c r="EL247" s="50"/>
      <c r="EM247" s="50"/>
      <c r="EN247" s="50"/>
      <c r="EO247" s="50"/>
      <c r="EP247" s="50"/>
      <c r="EQ247" s="50"/>
      <c r="ER247" s="50"/>
      <c r="ES247" s="50"/>
      <c r="ET247" s="50"/>
      <c r="EU247" s="50"/>
      <c r="EV247" s="50"/>
      <c r="EW247" s="50"/>
      <c r="EX247" s="50"/>
      <c r="EY247" s="50"/>
      <c r="EZ247" s="123"/>
      <c r="FA247" s="50"/>
      <c r="FB247" s="51"/>
    </row>
    <row r="248" spans="1:158" ht="9" customHeight="1">
      <c r="A248" s="49"/>
      <c r="B248" s="50"/>
      <c r="C248" s="526"/>
      <c r="D248" s="527"/>
      <c r="E248" s="527"/>
      <c r="F248" s="527"/>
      <c r="G248" s="527"/>
      <c r="H248" s="527"/>
      <c r="I248" s="527"/>
      <c r="J248" s="527"/>
      <c r="K248" s="527"/>
      <c r="L248" s="527"/>
      <c r="M248" s="527"/>
      <c r="N248" s="527"/>
      <c r="O248" s="527"/>
      <c r="P248" s="527"/>
      <c r="Q248" s="527"/>
      <c r="R248" s="527"/>
      <c r="S248" s="527"/>
      <c r="T248" s="527"/>
      <c r="U248" s="527"/>
      <c r="V248" s="527"/>
      <c r="W248" s="527"/>
      <c r="X248" s="527"/>
      <c r="Y248" s="527"/>
      <c r="Z248" s="527"/>
      <c r="AA248" s="527"/>
      <c r="AB248" s="527"/>
      <c r="AC248" s="527"/>
      <c r="AD248" s="527"/>
      <c r="AE248" s="527"/>
      <c r="AF248" s="527"/>
      <c r="AG248" s="527"/>
      <c r="AH248" s="527"/>
      <c r="AI248" s="527"/>
      <c r="AJ248" s="527"/>
      <c r="AK248" s="527"/>
      <c r="AL248" s="527"/>
      <c r="AM248" s="527"/>
      <c r="AN248" s="527"/>
      <c r="AO248" s="527"/>
      <c r="AP248" s="527"/>
      <c r="AQ248" s="527"/>
      <c r="AR248" s="527"/>
      <c r="AS248" s="527"/>
      <c r="AT248" s="527"/>
      <c r="AU248" s="527"/>
      <c r="AV248" s="527"/>
      <c r="AW248" s="527"/>
      <c r="AX248" s="527"/>
      <c r="AY248" s="527"/>
      <c r="AZ248" s="527"/>
      <c r="BA248" s="527"/>
      <c r="BB248" s="527"/>
      <c r="BC248" s="527"/>
      <c r="BD248" s="527"/>
      <c r="BE248" s="527"/>
      <c r="BF248" s="527"/>
      <c r="BG248" s="527"/>
      <c r="BH248" s="527"/>
      <c r="BI248" s="527"/>
      <c r="BJ248" s="527"/>
      <c r="BK248" s="527"/>
      <c r="BL248" s="527"/>
      <c r="BM248" s="527"/>
      <c r="BN248" s="527"/>
      <c r="BO248" s="527"/>
      <c r="BP248" s="527"/>
      <c r="BQ248" s="527"/>
      <c r="BR248" s="527"/>
      <c r="BS248" s="527"/>
      <c r="BT248" s="527"/>
      <c r="BU248" s="527"/>
      <c r="BV248" s="527"/>
      <c r="BW248" s="527"/>
      <c r="BX248" s="527"/>
      <c r="BY248" s="527"/>
      <c r="BZ248" s="527"/>
      <c r="CA248" s="527"/>
      <c r="CB248" s="527"/>
      <c r="CC248" s="527"/>
      <c r="CD248" s="527"/>
      <c r="CE248" s="527"/>
      <c r="CF248" s="527"/>
      <c r="CG248" s="527"/>
      <c r="CH248" s="527"/>
      <c r="CI248" s="527"/>
      <c r="CJ248" s="527"/>
      <c r="CK248" s="527"/>
      <c r="CL248" s="527"/>
      <c r="CM248" s="527"/>
      <c r="CN248" s="527"/>
      <c r="CO248" s="527"/>
      <c r="CP248" s="527"/>
      <c r="CQ248" s="527"/>
      <c r="CR248" s="527"/>
      <c r="CS248" s="527"/>
      <c r="CT248" s="527"/>
      <c r="CU248" s="527"/>
      <c r="CV248" s="527"/>
      <c r="CW248" s="527"/>
      <c r="CX248" s="527"/>
      <c r="CY248" s="527"/>
      <c r="CZ248" s="527"/>
      <c r="DA248" s="527"/>
      <c r="DB248" s="527"/>
      <c r="DC248" s="527"/>
      <c r="DD248" s="527"/>
      <c r="DE248" s="527"/>
      <c r="DF248" s="527"/>
      <c r="DG248" s="527"/>
      <c r="DH248" s="527"/>
      <c r="DI248" s="527"/>
      <c r="DJ248" s="527"/>
      <c r="DK248" s="528"/>
      <c r="DL248" s="50"/>
      <c r="DM248" s="50"/>
      <c r="DN248" s="50"/>
      <c r="DO248" s="122"/>
      <c r="DP248" s="50"/>
      <c r="DQ248" s="50"/>
      <c r="DR248" s="50"/>
      <c r="DS248" s="50"/>
      <c r="DT248" s="50"/>
      <c r="DU248" s="50"/>
      <c r="DV248" s="50"/>
      <c r="DW248" s="50"/>
      <c r="DX248" s="50"/>
      <c r="DY248" s="50"/>
      <c r="DZ248" s="50"/>
      <c r="EA248" s="50"/>
      <c r="EB248" s="50"/>
      <c r="EC248" s="50"/>
      <c r="ED248" s="50"/>
      <c r="EE248" s="50"/>
      <c r="EF248" s="50"/>
      <c r="EG248" s="50"/>
      <c r="EH248" s="50"/>
      <c r="EI248" s="50"/>
      <c r="EJ248" s="50"/>
      <c r="EK248" s="50"/>
      <c r="EL248" s="50"/>
      <c r="EM248" s="50"/>
      <c r="EN248" s="50"/>
      <c r="EO248" s="50"/>
      <c r="EP248" s="50"/>
      <c r="EQ248" s="50"/>
      <c r="ER248" s="50"/>
      <c r="ES248" s="50"/>
      <c r="ET248" s="50"/>
      <c r="EU248" s="50"/>
      <c r="EV248" s="50"/>
      <c r="EW248" s="50"/>
      <c r="EX248" s="50"/>
      <c r="EY248" s="50"/>
      <c r="EZ248" s="123"/>
      <c r="FA248" s="50"/>
      <c r="FB248" s="51"/>
    </row>
    <row r="249" spans="1:158" ht="9" customHeight="1" thickBot="1">
      <c r="A249" s="49"/>
      <c r="B249" s="50"/>
      <c r="C249" s="532"/>
      <c r="D249" s="533"/>
      <c r="E249" s="533"/>
      <c r="F249" s="533"/>
      <c r="G249" s="533"/>
      <c r="H249" s="533"/>
      <c r="I249" s="533"/>
      <c r="J249" s="533"/>
      <c r="K249" s="533"/>
      <c r="L249" s="533"/>
      <c r="M249" s="533"/>
      <c r="N249" s="533"/>
      <c r="O249" s="533"/>
      <c r="P249" s="533"/>
      <c r="Q249" s="533"/>
      <c r="R249" s="533"/>
      <c r="S249" s="533"/>
      <c r="T249" s="533"/>
      <c r="U249" s="533"/>
      <c r="V249" s="533"/>
      <c r="W249" s="533"/>
      <c r="X249" s="533"/>
      <c r="Y249" s="533"/>
      <c r="Z249" s="533"/>
      <c r="AA249" s="533"/>
      <c r="AB249" s="533"/>
      <c r="AC249" s="533"/>
      <c r="AD249" s="533"/>
      <c r="AE249" s="533"/>
      <c r="AF249" s="533"/>
      <c r="AG249" s="533"/>
      <c r="AH249" s="533"/>
      <c r="AI249" s="533"/>
      <c r="AJ249" s="533"/>
      <c r="AK249" s="533"/>
      <c r="AL249" s="533"/>
      <c r="AM249" s="533"/>
      <c r="AN249" s="533"/>
      <c r="AO249" s="533"/>
      <c r="AP249" s="533"/>
      <c r="AQ249" s="533"/>
      <c r="AR249" s="533"/>
      <c r="AS249" s="533"/>
      <c r="AT249" s="533"/>
      <c r="AU249" s="533"/>
      <c r="AV249" s="533"/>
      <c r="AW249" s="533"/>
      <c r="AX249" s="533"/>
      <c r="AY249" s="533"/>
      <c r="AZ249" s="533"/>
      <c r="BA249" s="533"/>
      <c r="BB249" s="533"/>
      <c r="BC249" s="533"/>
      <c r="BD249" s="533"/>
      <c r="BE249" s="533"/>
      <c r="BF249" s="533"/>
      <c r="BG249" s="533"/>
      <c r="BH249" s="533"/>
      <c r="BI249" s="533"/>
      <c r="BJ249" s="533"/>
      <c r="BK249" s="533"/>
      <c r="BL249" s="533"/>
      <c r="BM249" s="533"/>
      <c r="BN249" s="533"/>
      <c r="BO249" s="533"/>
      <c r="BP249" s="533"/>
      <c r="BQ249" s="533"/>
      <c r="BR249" s="533"/>
      <c r="BS249" s="533"/>
      <c r="BT249" s="533"/>
      <c r="BU249" s="533"/>
      <c r="BV249" s="533"/>
      <c r="BW249" s="533"/>
      <c r="BX249" s="533"/>
      <c r="BY249" s="533"/>
      <c r="BZ249" s="533"/>
      <c r="CA249" s="533"/>
      <c r="CB249" s="533"/>
      <c r="CC249" s="533"/>
      <c r="CD249" s="533"/>
      <c r="CE249" s="533"/>
      <c r="CF249" s="533"/>
      <c r="CG249" s="533"/>
      <c r="CH249" s="533"/>
      <c r="CI249" s="533"/>
      <c r="CJ249" s="533"/>
      <c r="CK249" s="533"/>
      <c r="CL249" s="533"/>
      <c r="CM249" s="533"/>
      <c r="CN249" s="533"/>
      <c r="CO249" s="533"/>
      <c r="CP249" s="533"/>
      <c r="CQ249" s="533"/>
      <c r="CR249" s="533"/>
      <c r="CS249" s="533"/>
      <c r="CT249" s="533"/>
      <c r="CU249" s="533"/>
      <c r="CV249" s="533"/>
      <c r="CW249" s="533"/>
      <c r="CX249" s="533"/>
      <c r="CY249" s="533"/>
      <c r="CZ249" s="533"/>
      <c r="DA249" s="533"/>
      <c r="DB249" s="533"/>
      <c r="DC249" s="533"/>
      <c r="DD249" s="533"/>
      <c r="DE249" s="533"/>
      <c r="DF249" s="533"/>
      <c r="DG249" s="533"/>
      <c r="DH249" s="533"/>
      <c r="DI249" s="533"/>
      <c r="DJ249" s="533"/>
      <c r="DK249" s="534"/>
      <c r="DL249" s="50"/>
      <c r="DM249" s="50"/>
      <c r="DN249" s="50"/>
      <c r="DO249" s="128"/>
      <c r="DP249" s="129"/>
      <c r="DQ249" s="129"/>
      <c r="DR249" s="129"/>
      <c r="DS249" s="129"/>
      <c r="DT249" s="129"/>
      <c r="DU249" s="129"/>
      <c r="DV249" s="129"/>
      <c r="DW249" s="129"/>
      <c r="DX249" s="129"/>
      <c r="DY249" s="129"/>
      <c r="DZ249" s="129"/>
      <c r="EA249" s="129"/>
      <c r="EB249" s="129"/>
      <c r="EC249" s="129"/>
      <c r="ED249" s="129"/>
      <c r="EE249" s="129"/>
      <c r="EF249" s="129"/>
      <c r="EG249" s="129"/>
      <c r="EH249" s="129"/>
      <c r="EI249" s="129"/>
      <c r="EJ249" s="129"/>
      <c r="EK249" s="129"/>
      <c r="EL249" s="129"/>
      <c r="EM249" s="129"/>
      <c r="EN249" s="129"/>
      <c r="EO249" s="129"/>
      <c r="EP249" s="129"/>
      <c r="EQ249" s="129"/>
      <c r="ER249" s="129"/>
      <c r="ES249" s="129"/>
      <c r="ET249" s="129"/>
      <c r="EU249" s="129"/>
      <c r="EV249" s="129"/>
      <c r="EW249" s="129"/>
      <c r="EX249" s="129"/>
      <c r="EY249" s="129"/>
      <c r="EZ249" s="130"/>
      <c r="FA249" s="50"/>
      <c r="FB249" s="51"/>
    </row>
    <row r="250" spans="1:158" ht="9" customHeight="1" thickTop="1">
      <c r="A250" s="49"/>
      <c r="B250" s="50"/>
      <c r="C250" s="526" t="str">
        <f>IF(Details!C8="","",Details!C8)</f>
        <v/>
      </c>
      <c r="D250" s="527"/>
      <c r="E250" s="527"/>
      <c r="F250" s="527"/>
      <c r="G250" s="527"/>
      <c r="H250" s="527"/>
      <c r="I250" s="527"/>
      <c r="J250" s="527"/>
      <c r="K250" s="527"/>
      <c r="L250" s="527"/>
      <c r="M250" s="527"/>
      <c r="N250" s="527"/>
      <c r="O250" s="527"/>
      <c r="P250" s="527"/>
      <c r="Q250" s="527"/>
      <c r="R250" s="527"/>
      <c r="S250" s="527"/>
      <c r="T250" s="527"/>
      <c r="U250" s="527"/>
      <c r="V250" s="527"/>
      <c r="W250" s="527"/>
      <c r="X250" s="527"/>
      <c r="Y250" s="527"/>
      <c r="Z250" s="527"/>
      <c r="AA250" s="527"/>
      <c r="AB250" s="527"/>
      <c r="AC250" s="527"/>
      <c r="AD250" s="527"/>
      <c r="AE250" s="527"/>
      <c r="AF250" s="527"/>
      <c r="AG250" s="527"/>
      <c r="AH250" s="527"/>
      <c r="AI250" s="527"/>
      <c r="AJ250" s="527"/>
      <c r="AK250" s="527"/>
      <c r="AL250" s="527"/>
      <c r="AM250" s="527"/>
      <c r="AN250" s="527"/>
      <c r="AO250" s="527"/>
      <c r="AP250" s="527"/>
      <c r="AQ250" s="527"/>
      <c r="AR250" s="527"/>
      <c r="AS250" s="527"/>
      <c r="AT250" s="527"/>
      <c r="AU250" s="527"/>
      <c r="AV250" s="527"/>
      <c r="AW250" s="527"/>
      <c r="AX250" s="527"/>
      <c r="AY250" s="527"/>
      <c r="AZ250" s="527"/>
      <c r="BA250" s="527"/>
      <c r="BB250" s="527"/>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527"/>
      <c r="BX250" s="527"/>
      <c r="BY250" s="527"/>
      <c r="BZ250" s="527"/>
      <c r="CA250" s="527"/>
      <c r="CB250" s="527"/>
      <c r="CC250" s="527"/>
      <c r="CD250" s="527"/>
      <c r="CE250" s="527"/>
      <c r="CF250" s="527"/>
      <c r="CG250" s="527"/>
      <c r="CH250" s="527"/>
      <c r="CI250" s="527"/>
      <c r="CJ250" s="527"/>
      <c r="CK250" s="527"/>
      <c r="CL250" s="527"/>
      <c r="CM250" s="527"/>
      <c r="CN250" s="527"/>
      <c r="CO250" s="527"/>
      <c r="CP250" s="527"/>
      <c r="CQ250" s="527"/>
      <c r="CR250" s="527"/>
      <c r="CS250" s="527"/>
      <c r="CT250" s="527"/>
      <c r="CU250" s="527"/>
      <c r="CV250" s="527"/>
      <c r="CW250" s="527"/>
      <c r="CX250" s="527"/>
      <c r="CY250" s="527"/>
      <c r="CZ250" s="527"/>
      <c r="DA250" s="527"/>
      <c r="DB250" s="527"/>
      <c r="DC250" s="527"/>
      <c r="DD250" s="527"/>
      <c r="DE250" s="527"/>
      <c r="DF250" s="527"/>
      <c r="DG250" s="527"/>
      <c r="DH250" s="527"/>
      <c r="DI250" s="527"/>
      <c r="DJ250" s="527"/>
      <c r="DK250" s="528"/>
      <c r="DL250" s="50"/>
      <c r="DM250" s="50"/>
      <c r="DN250" s="50"/>
      <c r="DO250" s="50"/>
      <c r="DP250" s="50"/>
      <c r="DQ250" s="50"/>
      <c r="DR250" s="50"/>
      <c r="DS250" s="50"/>
      <c r="DT250" s="50"/>
      <c r="DU250" s="50"/>
      <c r="DV250" s="50"/>
      <c r="DW250" s="50"/>
      <c r="DX250" s="50"/>
      <c r="DY250" s="50"/>
      <c r="DZ250" s="50"/>
      <c r="EA250" s="50"/>
      <c r="EB250" s="50"/>
      <c r="EC250" s="50"/>
      <c r="ED250" s="50"/>
      <c r="EE250" s="50"/>
      <c r="EF250" s="50"/>
      <c r="EG250" s="50"/>
      <c r="EH250" s="50"/>
      <c r="EI250" s="50"/>
      <c r="EJ250" s="50"/>
      <c r="EK250" s="50"/>
      <c r="EL250" s="50"/>
      <c r="EM250" s="50"/>
      <c r="EN250" s="50"/>
      <c r="EO250" s="50"/>
      <c r="EP250" s="50"/>
      <c r="EQ250" s="50"/>
      <c r="ER250" s="50"/>
      <c r="ES250" s="50"/>
      <c r="ET250" s="50"/>
      <c r="EU250" s="50"/>
      <c r="EV250" s="50"/>
      <c r="EW250" s="50"/>
      <c r="EX250" s="50"/>
      <c r="EY250" s="50"/>
      <c r="EZ250" s="50"/>
      <c r="FA250" s="50"/>
      <c r="FB250" s="51"/>
    </row>
    <row r="251" spans="1:158" ht="9" customHeight="1" thickBot="1">
      <c r="A251" s="49"/>
      <c r="B251" s="50"/>
      <c r="C251" s="526"/>
      <c r="D251" s="527"/>
      <c r="E251" s="527"/>
      <c r="F251" s="527"/>
      <c r="G251" s="527"/>
      <c r="H251" s="527"/>
      <c r="I251" s="527"/>
      <c r="J251" s="527"/>
      <c r="K251" s="527"/>
      <c r="L251" s="527"/>
      <c r="M251" s="527"/>
      <c r="N251" s="527"/>
      <c r="O251" s="527"/>
      <c r="P251" s="527"/>
      <c r="Q251" s="527"/>
      <c r="R251" s="527"/>
      <c r="S251" s="527"/>
      <c r="T251" s="527"/>
      <c r="U251" s="527"/>
      <c r="V251" s="527"/>
      <c r="W251" s="527"/>
      <c r="X251" s="527"/>
      <c r="Y251" s="527"/>
      <c r="Z251" s="527"/>
      <c r="AA251" s="527"/>
      <c r="AB251" s="527"/>
      <c r="AC251" s="527"/>
      <c r="AD251" s="527"/>
      <c r="AE251" s="527"/>
      <c r="AF251" s="527"/>
      <c r="AG251" s="527"/>
      <c r="AH251" s="527"/>
      <c r="AI251" s="527"/>
      <c r="AJ251" s="527"/>
      <c r="AK251" s="527"/>
      <c r="AL251" s="527"/>
      <c r="AM251" s="527"/>
      <c r="AN251" s="527"/>
      <c r="AO251" s="527"/>
      <c r="AP251" s="527"/>
      <c r="AQ251" s="527"/>
      <c r="AR251" s="527"/>
      <c r="AS251" s="527"/>
      <c r="AT251" s="527"/>
      <c r="AU251" s="527"/>
      <c r="AV251" s="527"/>
      <c r="AW251" s="527"/>
      <c r="AX251" s="527"/>
      <c r="AY251" s="527"/>
      <c r="AZ251" s="527"/>
      <c r="BA251" s="527"/>
      <c r="BB251" s="527"/>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527"/>
      <c r="BX251" s="527"/>
      <c r="BY251" s="527"/>
      <c r="BZ251" s="527"/>
      <c r="CA251" s="527"/>
      <c r="CB251" s="527"/>
      <c r="CC251" s="527"/>
      <c r="CD251" s="527"/>
      <c r="CE251" s="527"/>
      <c r="CF251" s="527"/>
      <c r="CG251" s="527"/>
      <c r="CH251" s="527"/>
      <c r="CI251" s="527"/>
      <c r="CJ251" s="527"/>
      <c r="CK251" s="527"/>
      <c r="CL251" s="527"/>
      <c r="CM251" s="527"/>
      <c r="CN251" s="527"/>
      <c r="CO251" s="527"/>
      <c r="CP251" s="527"/>
      <c r="CQ251" s="527"/>
      <c r="CR251" s="527"/>
      <c r="CS251" s="527"/>
      <c r="CT251" s="527"/>
      <c r="CU251" s="527"/>
      <c r="CV251" s="527"/>
      <c r="CW251" s="527"/>
      <c r="CX251" s="527"/>
      <c r="CY251" s="527"/>
      <c r="CZ251" s="527"/>
      <c r="DA251" s="527"/>
      <c r="DB251" s="527"/>
      <c r="DC251" s="527"/>
      <c r="DD251" s="527"/>
      <c r="DE251" s="527"/>
      <c r="DF251" s="527"/>
      <c r="DG251" s="527"/>
      <c r="DH251" s="527"/>
      <c r="DI251" s="527"/>
      <c r="DJ251" s="527"/>
      <c r="DK251" s="528"/>
      <c r="DL251" s="50"/>
      <c r="DM251" s="50"/>
      <c r="DN251" s="50"/>
      <c r="DO251" s="50"/>
      <c r="DP251" s="50"/>
      <c r="DQ251" s="50"/>
      <c r="DR251" s="50"/>
      <c r="DS251" s="50"/>
      <c r="DT251" s="50"/>
      <c r="DU251" s="50"/>
      <c r="DV251" s="50"/>
      <c r="DW251" s="50"/>
      <c r="DX251" s="50"/>
      <c r="DY251" s="50"/>
      <c r="DZ251" s="50"/>
      <c r="EA251" s="50"/>
      <c r="EB251" s="50"/>
      <c r="EC251" s="50"/>
      <c r="ED251" s="50"/>
      <c r="EE251" s="50"/>
      <c r="EF251" s="50"/>
      <c r="EG251" s="50"/>
      <c r="EH251" s="50"/>
      <c r="EI251" s="50"/>
      <c r="EJ251" s="50"/>
      <c r="EK251" s="50"/>
      <c r="EL251" s="50"/>
      <c r="EM251" s="50"/>
      <c r="EN251" s="50"/>
      <c r="EO251" s="50"/>
      <c r="EP251" s="50"/>
      <c r="EQ251" s="50"/>
      <c r="ER251" s="50"/>
      <c r="ES251" s="50"/>
      <c r="ET251" s="50"/>
      <c r="EU251" s="50"/>
      <c r="EV251" s="50"/>
      <c r="EW251" s="50"/>
      <c r="EX251" s="50"/>
      <c r="EY251" s="50"/>
      <c r="EZ251" s="50"/>
      <c r="FA251" s="50"/>
      <c r="FB251" s="51"/>
    </row>
    <row r="252" spans="1:158" ht="9" customHeight="1" thickTop="1">
      <c r="A252" s="49"/>
      <c r="B252" s="50"/>
      <c r="C252" s="526"/>
      <c r="D252" s="527"/>
      <c r="E252" s="527"/>
      <c r="F252" s="527"/>
      <c r="G252" s="527"/>
      <c r="H252" s="527"/>
      <c r="I252" s="527"/>
      <c r="J252" s="527"/>
      <c r="K252" s="527"/>
      <c r="L252" s="527"/>
      <c r="M252" s="527"/>
      <c r="N252" s="527"/>
      <c r="O252" s="527"/>
      <c r="P252" s="527"/>
      <c r="Q252" s="527"/>
      <c r="R252" s="527"/>
      <c r="S252" s="527"/>
      <c r="T252" s="527"/>
      <c r="U252" s="527"/>
      <c r="V252" s="527"/>
      <c r="W252" s="527"/>
      <c r="X252" s="527"/>
      <c r="Y252" s="527"/>
      <c r="Z252" s="527"/>
      <c r="AA252" s="527"/>
      <c r="AB252" s="527"/>
      <c r="AC252" s="527"/>
      <c r="AD252" s="527"/>
      <c r="AE252" s="527"/>
      <c r="AF252" s="527"/>
      <c r="AG252" s="527"/>
      <c r="AH252" s="527"/>
      <c r="AI252" s="527"/>
      <c r="AJ252" s="527"/>
      <c r="AK252" s="527"/>
      <c r="AL252" s="527"/>
      <c r="AM252" s="527"/>
      <c r="AN252" s="527"/>
      <c r="AO252" s="527"/>
      <c r="AP252" s="527"/>
      <c r="AQ252" s="527"/>
      <c r="AR252" s="527"/>
      <c r="AS252" s="527"/>
      <c r="AT252" s="527"/>
      <c r="AU252" s="527"/>
      <c r="AV252" s="527"/>
      <c r="AW252" s="527"/>
      <c r="AX252" s="527"/>
      <c r="AY252" s="527"/>
      <c r="AZ252" s="527"/>
      <c r="BA252" s="527"/>
      <c r="BB252" s="527"/>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527"/>
      <c r="BX252" s="527"/>
      <c r="BY252" s="527"/>
      <c r="BZ252" s="527"/>
      <c r="CA252" s="527"/>
      <c r="CB252" s="527"/>
      <c r="CC252" s="527"/>
      <c r="CD252" s="527"/>
      <c r="CE252" s="527"/>
      <c r="CF252" s="527"/>
      <c r="CG252" s="527"/>
      <c r="CH252" s="527"/>
      <c r="CI252" s="527"/>
      <c r="CJ252" s="527"/>
      <c r="CK252" s="527"/>
      <c r="CL252" s="527"/>
      <c r="CM252" s="527"/>
      <c r="CN252" s="527"/>
      <c r="CO252" s="527"/>
      <c r="CP252" s="527"/>
      <c r="CQ252" s="527"/>
      <c r="CR252" s="527"/>
      <c r="CS252" s="527"/>
      <c r="CT252" s="527"/>
      <c r="CU252" s="527"/>
      <c r="CV252" s="527"/>
      <c r="CW252" s="527"/>
      <c r="CX252" s="527"/>
      <c r="CY252" s="527"/>
      <c r="CZ252" s="527"/>
      <c r="DA252" s="527"/>
      <c r="DB252" s="527"/>
      <c r="DC252" s="527"/>
      <c r="DD252" s="527"/>
      <c r="DE252" s="527"/>
      <c r="DF252" s="527"/>
      <c r="DG252" s="527"/>
      <c r="DH252" s="527"/>
      <c r="DI252" s="527"/>
      <c r="DJ252" s="527"/>
      <c r="DK252" s="528"/>
      <c r="DL252" s="50"/>
      <c r="DM252" s="50"/>
      <c r="DN252" s="50"/>
      <c r="DO252" s="50"/>
      <c r="DP252" s="135"/>
      <c r="DQ252" s="131"/>
      <c r="DR252" s="131"/>
      <c r="DS252" s="131"/>
      <c r="DT252" s="131"/>
      <c r="DU252" s="131"/>
      <c r="DV252" s="131"/>
      <c r="DW252" s="131"/>
      <c r="DX252" s="131"/>
      <c r="DY252" s="131"/>
      <c r="DZ252" s="131"/>
      <c r="EA252" s="131"/>
      <c r="EB252" s="131"/>
      <c r="EC252" s="131"/>
      <c r="ED252" s="131"/>
      <c r="EE252" s="136"/>
      <c r="EF252" s="50"/>
      <c r="EG252" s="50"/>
      <c r="EH252" s="50"/>
      <c r="EI252" s="50"/>
      <c r="EJ252" s="135"/>
      <c r="EK252" s="131"/>
      <c r="EL252" s="131"/>
      <c r="EM252" s="131"/>
      <c r="EN252" s="131"/>
      <c r="EO252" s="131"/>
      <c r="EP252" s="131"/>
      <c r="EQ252" s="131"/>
      <c r="ER252" s="131"/>
      <c r="ES252" s="131"/>
      <c r="ET252" s="131"/>
      <c r="EU252" s="131"/>
      <c r="EV252" s="131"/>
      <c r="EW252" s="131"/>
      <c r="EX252" s="131"/>
      <c r="EY252" s="136"/>
      <c r="EZ252" s="50"/>
      <c r="FA252" s="50"/>
      <c r="FB252" s="51"/>
    </row>
    <row r="253" spans="1:158" ht="9" customHeight="1">
      <c r="A253" s="49"/>
      <c r="B253" s="50"/>
      <c r="C253" s="532"/>
      <c r="D253" s="533"/>
      <c r="E253" s="533"/>
      <c r="F253" s="533"/>
      <c r="G253" s="533"/>
      <c r="H253" s="533"/>
      <c r="I253" s="533"/>
      <c r="J253" s="533"/>
      <c r="K253" s="533"/>
      <c r="L253" s="533"/>
      <c r="M253" s="533"/>
      <c r="N253" s="533"/>
      <c r="O253" s="533"/>
      <c r="P253" s="533"/>
      <c r="Q253" s="533"/>
      <c r="R253" s="533"/>
      <c r="S253" s="533"/>
      <c r="T253" s="533"/>
      <c r="U253" s="533"/>
      <c r="V253" s="533"/>
      <c r="W253" s="533"/>
      <c r="X253" s="533"/>
      <c r="Y253" s="533"/>
      <c r="Z253" s="533"/>
      <c r="AA253" s="533"/>
      <c r="AB253" s="533"/>
      <c r="AC253" s="533"/>
      <c r="AD253" s="533"/>
      <c r="AE253" s="533"/>
      <c r="AF253" s="533"/>
      <c r="AG253" s="533"/>
      <c r="AH253" s="533"/>
      <c r="AI253" s="533"/>
      <c r="AJ253" s="533"/>
      <c r="AK253" s="533"/>
      <c r="AL253" s="533"/>
      <c r="AM253" s="533"/>
      <c r="AN253" s="533"/>
      <c r="AO253" s="533"/>
      <c r="AP253" s="533"/>
      <c r="AQ253" s="533"/>
      <c r="AR253" s="533"/>
      <c r="AS253" s="533"/>
      <c r="AT253" s="533"/>
      <c r="AU253" s="533"/>
      <c r="AV253" s="533"/>
      <c r="AW253" s="533"/>
      <c r="AX253" s="533"/>
      <c r="AY253" s="533"/>
      <c r="AZ253" s="533"/>
      <c r="BA253" s="533"/>
      <c r="BB253" s="533"/>
      <c r="BC253" s="533"/>
      <c r="BD253" s="533"/>
      <c r="BE253" s="533"/>
      <c r="BF253" s="533"/>
      <c r="BG253" s="533"/>
      <c r="BH253" s="533"/>
      <c r="BI253" s="533"/>
      <c r="BJ253" s="533"/>
      <c r="BK253" s="533"/>
      <c r="BL253" s="533"/>
      <c r="BM253" s="533"/>
      <c r="BN253" s="533"/>
      <c r="BO253" s="533"/>
      <c r="BP253" s="533"/>
      <c r="BQ253" s="533"/>
      <c r="BR253" s="533"/>
      <c r="BS253" s="533"/>
      <c r="BT253" s="533"/>
      <c r="BU253" s="533"/>
      <c r="BV253" s="533"/>
      <c r="BW253" s="533"/>
      <c r="BX253" s="533"/>
      <c r="BY253" s="533"/>
      <c r="BZ253" s="533"/>
      <c r="CA253" s="533"/>
      <c r="CB253" s="533"/>
      <c r="CC253" s="533"/>
      <c r="CD253" s="533"/>
      <c r="CE253" s="533"/>
      <c r="CF253" s="533"/>
      <c r="CG253" s="533"/>
      <c r="CH253" s="533"/>
      <c r="CI253" s="533"/>
      <c r="CJ253" s="533"/>
      <c r="CK253" s="533"/>
      <c r="CL253" s="533"/>
      <c r="CM253" s="533"/>
      <c r="CN253" s="533"/>
      <c r="CO253" s="533"/>
      <c r="CP253" s="533"/>
      <c r="CQ253" s="533"/>
      <c r="CR253" s="533"/>
      <c r="CS253" s="533"/>
      <c r="CT253" s="533"/>
      <c r="CU253" s="533"/>
      <c r="CV253" s="533"/>
      <c r="CW253" s="533"/>
      <c r="CX253" s="533"/>
      <c r="CY253" s="533"/>
      <c r="CZ253" s="533"/>
      <c r="DA253" s="533"/>
      <c r="DB253" s="533"/>
      <c r="DC253" s="533"/>
      <c r="DD253" s="533"/>
      <c r="DE253" s="533"/>
      <c r="DF253" s="533"/>
      <c r="DG253" s="533"/>
      <c r="DH253" s="533"/>
      <c r="DI253" s="533"/>
      <c r="DJ253" s="533"/>
      <c r="DK253" s="534"/>
      <c r="DL253" s="50"/>
      <c r="DM253" s="50"/>
      <c r="DN253" s="50"/>
      <c r="DO253" s="135"/>
      <c r="DP253" s="50"/>
      <c r="DQ253" s="535" t="s">
        <v>616</v>
      </c>
      <c r="DR253" s="535"/>
      <c r="DS253" s="535"/>
      <c r="DT253" s="535"/>
      <c r="DU253" s="535"/>
      <c r="DV253" s="535"/>
      <c r="DW253" s="535"/>
      <c r="DX253" s="535"/>
      <c r="DY253" s="535"/>
      <c r="DZ253" s="535"/>
      <c r="EA253" s="535"/>
      <c r="EB253" s="535"/>
      <c r="EC253" s="535"/>
      <c r="ED253" s="535"/>
      <c r="EE253" s="50"/>
      <c r="EF253" s="136"/>
      <c r="EG253" s="50"/>
      <c r="EH253" s="50"/>
      <c r="EI253" s="135"/>
      <c r="EJ253" s="50"/>
      <c r="EK253" s="535" t="s">
        <v>617</v>
      </c>
      <c r="EL253" s="535"/>
      <c r="EM253" s="535"/>
      <c r="EN253" s="535"/>
      <c r="EO253" s="535"/>
      <c r="EP253" s="535"/>
      <c r="EQ253" s="535"/>
      <c r="ER253" s="535"/>
      <c r="ES253" s="535"/>
      <c r="ET253" s="535"/>
      <c r="EU253" s="535"/>
      <c r="EV253" s="535"/>
      <c r="EW253" s="535"/>
      <c r="EX253" s="535"/>
      <c r="EY253" s="50"/>
      <c r="EZ253" s="136"/>
      <c r="FA253" s="50"/>
      <c r="FB253" s="51"/>
    </row>
    <row r="254" spans="1:158" ht="9" customHeight="1">
      <c r="A254" s="49"/>
      <c r="B254" s="50"/>
      <c r="C254" s="526" t="str">
        <f>IF(Details!C9="","",Details!C9)</f>
        <v/>
      </c>
      <c r="D254" s="527"/>
      <c r="E254" s="527"/>
      <c r="F254" s="527"/>
      <c r="G254" s="527"/>
      <c r="H254" s="527"/>
      <c r="I254" s="527"/>
      <c r="J254" s="527"/>
      <c r="K254" s="527"/>
      <c r="L254" s="527"/>
      <c r="M254" s="527"/>
      <c r="N254" s="527"/>
      <c r="O254" s="527"/>
      <c r="P254" s="527"/>
      <c r="Q254" s="527"/>
      <c r="R254" s="527"/>
      <c r="S254" s="527"/>
      <c r="T254" s="527"/>
      <c r="U254" s="527"/>
      <c r="V254" s="527"/>
      <c r="W254" s="527"/>
      <c r="X254" s="527"/>
      <c r="Y254" s="527"/>
      <c r="Z254" s="527"/>
      <c r="AA254" s="527"/>
      <c r="AB254" s="527"/>
      <c r="AC254" s="527"/>
      <c r="AD254" s="527"/>
      <c r="AE254" s="527"/>
      <c r="AF254" s="527"/>
      <c r="AG254" s="527"/>
      <c r="AH254" s="527"/>
      <c r="AI254" s="527"/>
      <c r="AJ254" s="527"/>
      <c r="AK254" s="527"/>
      <c r="AL254" s="527"/>
      <c r="AM254" s="527"/>
      <c r="AN254" s="527"/>
      <c r="AO254" s="527"/>
      <c r="AP254" s="527"/>
      <c r="AQ254" s="527"/>
      <c r="AR254" s="527"/>
      <c r="AS254" s="527"/>
      <c r="AT254" s="527"/>
      <c r="AU254" s="527"/>
      <c r="AV254" s="527"/>
      <c r="AW254" s="527"/>
      <c r="AX254" s="527"/>
      <c r="AY254" s="527"/>
      <c r="AZ254" s="527"/>
      <c r="BA254" s="527"/>
      <c r="BB254" s="527"/>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527"/>
      <c r="BX254" s="527"/>
      <c r="BY254" s="527"/>
      <c r="BZ254" s="527"/>
      <c r="CA254" s="527"/>
      <c r="CB254" s="527"/>
      <c r="CC254" s="527"/>
      <c r="CD254" s="527"/>
      <c r="CE254" s="527"/>
      <c r="CF254" s="527"/>
      <c r="CG254" s="527"/>
      <c r="CH254" s="527"/>
      <c r="CI254" s="527"/>
      <c r="CJ254" s="527"/>
      <c r="CK254" s="527"/>
      <c r="CL254" s="527"/>
      <c r="CM254" s="527"/>
      <c r="CN254" s="527"/>
      <c r="CO254" s="527"/>
      <c r="CP254" s="527"/>
      <c r="CQ254" s="527"/>
      <c r="CR254" s="527"/>
      <c r="CS254" s="527"/>
      <c r="CT254" s="527"/>
      <c r="CU254" s="527"/>
      <c r="CV254" s="527"/>
      <c r="CW254" s="527"/>
      <c r="CX254" s="527"/>
      <c r="CY254" s="527"/>
      <c r="CZ254" s="527"/>
      <c r="DA254" s="527"/>
      <c r="DB254" s="527"/>
      <c r="DC254" s="527"/>
      <c r="DD254" s="527"/>
      <c r="DE254" s="527"/>
      <c r="DF254" s="527"/>
      <c r="DG254" s="527"/>
      <c r="DH254" s="527"/>
      <c r="DI254" s="527"/>
      <c r="DJ254" s="527"/>
      <c r="DK254" s="528"/>
      <c r="DL254" s="50"/>
      <c r="DM254" s="50"/>
      <c r="DN254" s="50"/>
      <c r="DO254" s="132"/>
      <c r="DP254" s="50"/>
      <c r="DQ254" s="535"/>
      <c r="DR254" s="535"/>
      <c r="DS254" s="535"/>
      <c r="DT254" s="535"/>
      <c r="DU254" s="535"/>
      <c r="DV254" s="535"/>
      <c r="DW254" s="535"/>
      <c r="DX254" s="535"/>
      <c r="DY254" s="535"/>
      <c r="DZ254" s="535"/>
      <c r="EA254" s="535"/>
      <c r="EB254" s="535"/>
      <c r="EC254" s="535"/>
      <c r="ED254" s="535"/>
      <c r="EE254" s="50"/>
      <c r="EF254" s="133"/>
      <c r="EG254" s="50"/>
      <c r="EH254" s="50"/>
      <c r="EI254" s="132"/>
      <c r="EJ254" s="50"/>
      <c r="EK254" s="535"/>
      <c r="EL254" s="535"/>
      <c r="EM254" s="535"/>
      <c r="EN254" s="535"/>
      <c r="EO254" s="535"/>
      <c r="EP254" s="535"/>
      <c r="EQ254" s="535"/>
      <c r="ER254" s="535"/>
      <c r="ES254" s="535"/>
      <c r="ET254" s="535"/>
      <c r="EU254" s="535"/>
      <c r="EV254" s="535"/>
      <c r="EW254" s="535"/>
      <c r="EX254" s="535"/>
      <c r="EY254" s="50"/>
      <c r="EZ254" s="133"/>
      <c r="FA254" s="50"/>
      <c r="FB254" s="51"/>
    </row>
    <row r="255" spans="1:158" ht="9" customHeight="1">
      <c r="A255" s="49"/>
      <c r="B255" s="50"/>
      <c r="C255" s="526"/>
      <c r="D255" s="527"/>
      <c r="E255" s="527"/>
      <c r="F255" s="527"/>
      <c r="G255" s="527"/>
      <c r="H255" s="527"/>
      <c r="I255" s="527"/>
      <c r="J255" s="527"/>
      <c r="K255" s="527"/>
      <c r="L255" s="527"/>
      <c r="M255" s="527"/>
      <c r="N255" s="527"/>
      <c r="O255" s="527"/>
      <c r="P255" s="527"/>
      <c r="Q255" s="527"/>
      <c r="R255" s="527"/>
      <c r="S255" s="527"/>
      <c r="T255" s="527"/>
      <c r="U255" s="527"/>
      <c r="V255" s="527"/>
      <c r="W255" s="527"/>
      <c r="X255" s="527"/>
      <c r="Y255" s="527"/>
      <c r="Z255" s="527"/>
      <c r="AA255" s="527"/>
      <c r="AB255" s="527"/>
      <c r="AC255" s="527"/>
      <c r="AD255" s="527"/>
      <c r="AE255" s="527"/>
      <c r="AF255" s="527"/>
      <c r="AG255" s="527"/>
      <c r="AH255" s="527"/>
      <c r="AI255" s="527"/>
      <c r="AJ255" s="527"/>
      <c r="AK255" s="527"/>
      <c r="AL255" s="527"/>
      <c r="AM255" s="527"/>
      <c r="AN255" s="527"/>
      <c r="AO255" s="527"/>
      <c r="AP255" s="527"/>
      <c r="AQ255" s="527"/>
      <c r="AR255" s="527"/>
      <c r="AS255" s="527"/>
      <c r="AT255" s="527"/>
      <c r="AU255" s="527"/>
      <c r="AV255" s="527"/>
      <c r="AW255" s="527"/>
      <c r="AX255" s="527"/>
      <c r="AY255" s="527"/>
      <c r="AZ255" s="527"/>
      <c r="BA255" s="527"/>
      <c r="BB255" s="527"/>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527"/>
      <c r="BX255" s="527"/>
      <c r="BY255" s="527"/>
      <c r="BZ255" s="527"/>
      <c r="CA255" s="527"/>
      <c r="CB255" s="527"/>
      <c r="CC255" s="527"/>
      <c r="CD255" s="527"/>
      <c r="CE255" s="527"/>
      <c r="CF255" s="527"/>
      <c r="CG255" s="527"/>
      <c r="CH255" s="527"/>
      <c r="CI255" s="527"/>
      <c r="CJ255" s="527"/>
      <c r="CK255" s="527"/>
      <c r="CL255" s="527"/>
      <c r="CM255" s="527"/>
      <c r="CN255" s="527"/>
      <c r="CO255" s="527"/>
      <c r="CP255" s="527"/>
      <c r="CQ255" s="527"/>
      <c r="CR255" s="527"/>
      <c r="CS255" s="527"/>
      <c r="CT255" s="527"/>
      <c r="CU255" s="527"/>
      <c r="CV255" s="527"/>
      <c r="CW255" s="527"/>
      <c r="CX255" s="527"/>
      <c r="CY255" s="527"/>
      <c r="CZ255" s="527"/>
      <c r="DA255" s="527"/>
      <c r="DB255" s="527"/>
      <c r="DC255" s="527"/>
      <c r="DD255" s="527"/>
      <c r="DE255" s="527"/>
      <c r="DF255" s="527"/>
      <c r="DG255" s="527"/>
      <c r="DH255" s="527"/>
      <c r="DI255" s="527"/>
      <c r="DJ255" s="527"/>
      <c r="DK255" s="528"/>
      <c r="DL255" s="50"/>
      <c r="DM255" s="50"/>
      <c r="DN255" s="50"/>
      <c r="DO255" s="132"/>
      <c r="DP255" s="50"/>
      <c r="DQ255" s="535"/>
      <c r="DR255" s="535"/>
      <c r="DS255" s="535"/>
      <c r="DT255" s="535"/>
      <c r="DU255" s="535"/>
      <c r="DV255" s="535"/>
      <c r="DW255" s="535"/>
      <c r="DX255" s="535"/>
      <c r="DY255" s="535"/>
      <c r="DZ255" s="535"/>
      <c r="EA255" s="535"/>
      <c r="EB255" s="535"/>
      <c r="EC255" s="535"/>
      <c r="ED255" s="535"/>
      <c r="EE255" s="50"/>
      <c r="EF255" s="133"/>
      <c r="EG255" s="50"/>
      <c r="EH255" s="50"/>
      <c r="EI255" s="132"/>
      <c r="EJ255" s="50"/>
      <c r="EK255" s="535"/>
      <c r="EL255" s="535"/>
      <c r="EM255" s="535"/>
      <c r="EN255" s="535"/>
      <c r="EO255" s="535"/>
      <c r="EP255" s="535"/>
      <c r="EQ255" s="535"/>
      <c r="ER255" s="535"/>
      <c r="ES255" s="535"/>
      <c r="ET255" s="535"/>
      <c r="EU255" s="535"/>
      <c r="EV255" s="535"/>
      <c r="EW255" s="535"/>
      <c r="EX255" s="535"/>
      <c r="EY255" s="50"/>
      <c r="EZ255" s="133"/>
      <c r="FA255" s="50"/>
      <c r="FB255" s="51"/>
    </row>
    <row r="256" spans="1:158" ht="9" customHeight="1">
      <c r="A256" s="49"/>
      <c r="B256" s="50"/>
      <c r="C256" s="526"/>
      <c r="D256" s="527"/>
      <c r="E256" s="527"/>
      <c r="F256" s="527"/>
      <c r="G256" s="527"/>
      <c r="H256" s="527"/>
      <c r="I256" s="527"/>
      <c r="J256" s="527"/>
      <c r="K256" s="527"/>
      <c r="L256" s="527"/>
      <c r="M256" s="527"/>
      <c r="N256" s="527"/>
      <c r="O256" s="527"/>
      <c r="P256" s="527"/>
      <c r="Q256" s="527"/>
      <c r="R256" s="527"/>
      <c r="S256" s="527"/>
      <c r="T256" s="527"/>
      <c r="U256" s="527"/>
      <c r="V256" s="527"/>
      <c r="W256" s="527"/>
      <c r="X256" s="527"/>
      <c r="Y256" s="527"/>
      <c r="Z256" s="527"/>
      <c r="AA256" s="527"/>
      <c r="AB256" s="527"/>
      <c r="AC256" s="527"/>
      <c r="AD256" s="527"/>
      <c r="AE256" s="527"/>
      <c r="AF256" s="527"/>
      <c r="AG256" s="527"/>
      <c r="AH256" s="527"/>
      <c r="AI256" s="527"/>
      <c r="AJ256" s="527"/>
      <c r="AK256" s="527"/>
      <c r="AL256" s="527"/>
      <c r="AM256" s="527"/>
      <c r="AN256" s="527"/>
      <c r="AO256" s="527"/>
      <c r="AP256" s="527"/>
      <c r="AQ256" s="527"/>
      <c r="AR256" s="527"/>
      <c r="AS256" s="527"/>
      <c r="AT256" s="527"/>
      <c r="AU256" s="527"/>
      <c r="AV256" s="527"/>
      <c r="AW256" s="527"/>
      <c r="AX256" s="527"/>
      <c r="AY256" s="527"/>
      <c r="AZ256" s="527"/>
      <c r="BA256" s="527"/>
      <c r="BB256" s="527"/>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527"/>
      <c r="BX256" s="527"/>
      <c r="BY256" s="527"/>
      <c r="BZ256" s="527"/>
      <c r="CA256" s="527"/>
      <c r="CB256" s="527"/>
      <c r="CC256" s="527"/>
      <c r="CD256" s="527"/>
      <c r="CE256" s="527"/>
      <c r="CF256" s="527"/>
      <c r="CG256" s="527"/>
      <c r="CH256" s="527"/>
      <c r="CI256" s="527"/>
      <c r="CJ256" s="527"/>
      <c r="CK256" s="527"/>
      <c r="CL256" s="527"/>
      <c r="CM256" s="527"/>
      <c r="CN256" s="527"/>
      <c r="CO256" s="527"/>
      <c r="CP256" s="527"/>
      <c r="CQ256" s="527"/>
      <c r="CR256" s="527"/>
      <c r="CS256" s="527"/>
      <c r="CT256" s="527"/>
      <c r="CU256" s="527"/>
      <c r="CV256" s="527"/>
      <c r="CW256" s="527"/>
      <c r="CX256" s="527"/>
      <c r="CY256" s="527"/>
      <c r="CZ256" s="527"/>
      <c r="DA256" s="527"/>
      <c r="DB256" s="527"/>
      <c r="DC256" s="527"/>
      <c r="DD256" s="527"/>
      <c r="DE256" s="527"/>
      <c r="DF256" s="527"/>
      <c r="DG256" s="527"/>
      <c r="DH256" s="527"/>
      <c r="DI256" s="527"/>
      <c r="DJ256" s="527"/>
      <c r="DK256" s="528"/>
      <c r="DL256" s="50"/>
      <c r="DM256" s="50"/>
      <c r="DN256" s="50"/>
      <c r="DO256" s="132"/>
      <c r="DP256" s="50"/>
      <c r="DQ256" s="535"/>
      <c r="DR256" s="535"/>
      <c r="DS256" s="535"/>
      <c r="DT256" s="535"/>
      <c r="DU256" s="535"/>
      <c r="DV256" s="535"/>
      <c r="DW256" s="535"/>
      <c r="DX256" s="535"/>
      <c r="DY256" s="535"/>
      <c r="DZ256" s="535"/>
      <c r="EA256" s="535"/>
      <c r="EB256" s="535"/>
      <c r="EC256" s="535"/>
      <c r="ED256" s="535"/>
      <c r="EE256" s="50"/>
      <c r="EF256" s="133"/>
      <c r="EG256" s="50"/>
      <c r="EH256" s="50"/>
      <c r="EI256" s="132"/>
      <c r="EJ256" s="50"/>
      <c r="EK256" s="535"/>
      <c r="EL256" s="535"/>
      <c r="EM256" s="535"/>
      <c r="EN256" s="535"/>
      <c r="EO256" s="535"/>
      <c r="EP256" s="535"/>
      <c r="EQ256" s="535"/>
      <c r="ER256" s="535"/>
      <c r="ES256" s="535"/>
      <c r="ET256" s="535"/>
      <c r="EU256" s="535"/>
      <c r="EV256" s="535"/>
      <c r="EW256" s="535"/>
      <c r="EX256" s="535"/>
      <c r="EY256" s="50"/>
      <c r="EZ256" s="133"/>
      <c r="FA256" s="50"/>
      <c r="FB256" s="51"/>
    </row>
    <row r="257" spans="1:158" ht="9" customHeight="1">
      <c r="A257" s="49"/>
      <c r="B257" s="50"/>
      <c r="C257" s="532"/>
      <c r="D257" s="533"/>
      <c r="E257" s="533"/>
      <c r="F257" s="533"/>
      <c r="G257" s="533"/>
      <c r="H257" s="533"/>
      <c r="I257" s="533"/>
      <c r="J257" s="533"/>
      <c r="K257" s="533"/>
      <c r="L257" s="533"/>
      <c r="M257" s="533"/>
      <c r="N257" s="533"/>
      <c r="O257" s="533"/>
      <c r="P257" s="533"/>
      <c r="Q257" s="533"/>
      <c r="R257" s="533"/>
      <c r="S257" s="533"/>
      <c r="T257" s="533"/>
      <c r="U257" s="533"/>
      <c r="V257" s="533"/>
      <c r="W257" s="533"/>
      <c r="X257" s="533"/>
      <c r="Y257" s="533"/>
      <c r="Z257" s="533"/>
      <c r="AA257" s="533"/>
      <c r="AB257" s="533"/>
      <c r="AC257" s="533"/>
      <c r="AD257" s="533"/>
      <c r="AE257" s="533"/>
      <c r="AF257" s="533"/>
      <c r="AG257" s="533"/>
      <c r="AH257" s="533"/>
      <c r="AI257" s="533"/>
      <c r="AJ257" s="533"/>
      <c r="AK257" s="533"/>
      <c r="AL257" s="533"/>
      <c r="AM257" s="533"/>
      <c r="AN257" s="533"/>
      <c r="AO257" s="533"/>
      <c r="AP257" s="533"/>
      <c r="AQ257" s="533"/>
      <c r="AR257" s="533"/>
      <c r="AS257" s="533"/>
      <c r="AT257" s="533"/>
      <c r="AU257" s="533"/>
      <c r="AV257" s="533"/>
      <c r="AW257" s="533"/>
      <c r="AX257" s="533"/>
      <c r="AY257" s="533"/>
      <c r="AZ257" s="533"/>
      <c r="BA257" s="533"/>
      <c r="BB257" s="533"/>
      <c r="BC257" s="533"/>
      <c r="BD257" s="533"/>
      <c r="BE257" s="533"/>
      <c r="BF257" s="533"/>
      <c r="BG257" s="533"/>
      <c r="BH257" s="533"/>
      <c r="BI257" s="533"/>
      <c r="BJ257" s="533"/>
      <c r="BK257" s="533"/>
      <c r="BL257" s="533"/>
      <c r="BM257" s="533"/>
      <c r="BN257" s="533"/>
      <c r="BO257" s="533"/>
      <c r="BP257" s="533"/>
      <c r="BQ257" s="533"/>
      <c r="BR257" s="533"/>
      <c r="BS257" s="533"/>
      <c r="BT257" s="533"/>
      <c r="BU257" s="533"/>
      <c r="BV257" s="533"/>
      <c r="BW257" s="533"/>
      <c r="BX257" s="533"/>
      <c r="BY257" s="533"/>
      <c r="BZ257" s="533"/>
      <c r="CA257" s="533"/>
      <c r="CB257" s="533"/>
      <c r="CC257" s="533"/>
      <c r="CD257" s="533"/>
      <c r="CE257" s="533"/>
      <c r="CF257" s="533"/>
      <c r="CG257" s="533"/>
      <c r="CH257" s="533"/>
      <c r="CI257" s="533"/>
      <c r="CJ257" s="533"/>
      <c r="CK257" s="533"/>
      <c r="CL257" s="533"/>
      <c r="CM257" s="533"/>
      <c r="CN257" s="533"/>
      <c r="CO257" s="533"/>
      <c r="CP257" s="533"/>
      <c r="CQ257" s="533"/>
      <c r="CR257" s="533"/>
      <c r="CS257" s="533"/>
      <c r="CT257" s="533"/>
      <c r="CU257" s="533"/>
      <c r="CV257" s="533"/>
      <c r="CW257" s="533"/>
      <c r="CX257" s="533"/>
      <c r="CY257" s="533"/>
      <c r="CZ257" s="533"/>
      <c r="DA257" s="533"/>
      <c r="DB257" s="533"/>
      <c r="DC257" s="533"/>
      <c r="DD257" s="533"/>
      <c r="DE257" s="533"/>
      <c r="DF257" s="533"/>
      <c r="DG257" s="533"/>
      <c r="DH257" s="533"/>
      <c r="DI257" s="533"/>
      <c r="DJ257" s="533"/>
      <c r="DK257" s="534"/>
      <c r="DL257" s="50"/>
      <c r="DM257" s="50"/>
      <c r="DN257" s="50"/>
      <c r="DO257" s="132"/>
      <c r="DP257" s="50"/>
      <c r="DQ257" s="535"/>
      <c r="DR257" s="535"/>
      <c r="DS257" s="535"/>
      <c r="DT257" s="535"/>
      <c r="DU257" s="535"/>
      <c r="DV257" s="535"/>
      <c r="DW257" s="535"/>
      <c r="DX257" s="535"/>
      <c r="DY257" s="535"/>
      <c r="DZ257" s="535"/>
      <c r="EA257" s="535"/>
      <c r="EB257" s="535"/>
      <c r="EC257" s="535"/>
      <c r="ED257" s="535"/>
      <c r="EE257" s="50"/>
      <c r="EF257" s="133"/>
      <c r="EG257" s="50"/>
      <c r="EH257" s="50"/>
      <c r="EI257" s="132"/>
      <c r="EJ257" s="50"/>
      <c r="EK257" s="535"/>
      <c r="EL257" s="535"/>
      <c r="EM257" s="535"/>
      <c r="EN257" s="535"/>
      <c r="EO257" s="535"/>
      <c r="EP257" s="535"/>
      <c r="EQ257" s="535"/>
      <c r="ER257" s="535"/>
      <c r="ES257" s="535"/>
      <c r="ET257" s="535"/>
      <c r="EU257" s="535"/>
      <c r="EV257" s="535"/>
      <c r="EW257" s="535"/>
      <c r="EX257" s="535"/>
      <c r="EY257" s="50"/>
      <c r="EZ257" s="133"/>
      <c r="FA257" s="50"/>
      <c r="FB257" s="51"/>
    </row>
    <row r="258" spans="1:158" ht="9" customHeight="1">
      <c r="A258" s="49"/>
      <c r="B258" s="50"/>
      <c r="C258" s="526" t="str">
        <f>IF(Details!C10="","",Details!C10)</f>
        <v/>
      </c>
      <c r="D258" s="527"/>
      <c r="E258" s="527"/>
      <c r="F258" s="527"/>
      <c r="G258" s="527"/>
      <c r="H258" s="527"/>
      <c r="I258" s="527"/>
      <c r="J258" s="527"/>
      <c r="K258" s="527"/>
      <c r="L258" s="527"/>
      <c r="M258" s="527"/>
      <c r="N258" s="527"/>
      <c r="O258" s="527"/>
      <c r="P258" s="527"/>
      <c r="Q258" s="527"/>
      <c r="R258" s="527"/>
      <c r="S258" s="527"/>
      <c r="T258" s="527"/>
      <c r="U258" s="527"/>
      <c r="V258" s="527"/>
      <c r="W258" s="527"/>
      <c r="X258" s="527"/>
      <c r="Y258" s="527"/>
      <c r="Z258" s="527"/>
      <c r="AA258" s="527"/>
      <c r="AB258" s="527"/>
      <c r="AC258" s="527"/>
      <c r="AD258" s="527"/>
      <c r="AE258" s="527"/>
      <c r="AF258" s="527"/>
      <c r="AG258" s="527"/>
      <c r="AH258" s="527"/>
      <c r="AI258" s="527"/>
      <c r="AJ258" s="527"/>
      <c r="AK258" s="527"/>
      <c r="AL258" s="527"/>
      <c r="AM258" s="527"/>
      <c r="AN258" s="527"/>
      <c r="AO258" s="527"/>
      <c r="AP258" s="527"/>
      <c r="AQ258" s="527"/>
      <c r="AR258" s="527"/>
      <c r="AS258" s="527"/>
      <c r="AT258" s="527"/>
      <c r="AU258" s="527"/>
      <c r="AV258" s="527"/>
      <c r="AW258" s="527"/>
      <c r="AX258" s="527"/>
      <c r="AY258" s="527"/>
      <c r="AZ258" s="527"/>
      <c r="BA258" s="527"/>
      <c r="BB258" s="527"/>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527"/>
      <c r="BX258" s="527"/>
      <c r="BY258" s="527"/>
      <c r="BZ258" s="527"/>
      <c r="CA258" s="527"/>
      <c r="CB258" s="527"/>
      <c r="CC258" s="527"/>
      <c r="CD258" s="527"/>
      <c r="CE258" s="527"/>
      <c r="CF258" s="527"/>
      <c r="CG258" s="527"/>
      <c r="CH258" s="527"/>
      <c r="CI258" s="527"/>
      <c r="CJ258" s="527"/>
      <c r="CK258" s="527"/>
      <c r="CL258" s="527"/>
      <c r="CM258" s="527"/>
      <c r="CN258" s="527"/>
      <c r="CO258" s="527"/>
      <c r="CP258" s="527"/>
      <c r="CQ258" s="527"/>
      <c r="CR258" s="527"/>
      <c r="CS258" s="527"/>
      <c r="CT258" s="527"/>
      <c r="CU258" s="527"/>
      <c r="CV258" s="527"/>
      <c r="CW258" s="527"/>
      <c r="CX258" s="527"/>
      <c r="CY258" s="527"/>
      <c r="CZ258" s="527"/>
      <c r="DA258" s="527"/>
      <c r="DB258" s="527"/>
      <c r="DC258" s="527"/>
      <c r="DD258" s="527"/>
      <c r="DE258" s="527"/>
      <c r="DF258" s="527"/>
      <c r="DG258" s="527"/>
      <c r="DH258" s="527"/>
      <c r="DI258" s="527"/>
      <c r="DJ258" s="527"/>
      <c r="DK258" s="528"/>
      <c r="DL258" s="50"/>
      <c r="DM258" s="50"/>
      <c r="DN258" s="50"/>
      <c r="DO258" s="132"/>
      <c r="DP258" s="50"/>
      <c r="DQ258" s="536">
        <f>Basics!U9</f>
        <v>118</v>
      </c>
      <c r="DR258" s="536"/>
      <c r="DS258" s="536"/>
      <c r="DT258" s="536"/>
      <c r="DU258" s="536"/>
      <c r="DV258" s="536"/>
      <c r="DW258" s="536"/>
      <c r="DX258" s="536"/>
      <c r="DY258" s="536"/>
      <c r="DZ258" s="536"/>
      <c r="EA258" s="536"/>
      <c r="EB258" s="536"/>
      <c r="EC258" s="536"/>
      <c r="ED258" s="536"/>
      <c r="EE258" s="50"/>
      <c r="EF258" s="133"/>
      <c r="EG258" s="50"/>
      <c r="EH258" s="50"/>
      <c r="EI258" s="132"/>
      <c r="EJ258" s="50"/>
      <c r="EK258" s="536"/>
      <c r="EL258" s="536"/>
      <c r="EM258" s="536"/>
      <c r="EN258" s="536"/>
      <c r="EO258" s="536"/>
      <c r="EP258" s="536"/>
      <c r="EQ258" s="536"/>
      <c r="ER258" s="536"/>
      <c r="ES258" s="536"/>
      <c r="ET258" s="536"/>
      <c r="EU258" s="536"/>
      <c r="EV258" s="536"/>
      <c r="EW258" s="536"/>
      <c r="EX258" s="536"/>
      <c r="EY258" s="50"/>
      <c r="EZ258" s="133"/>
      <c r="FA258" s="50"/>
      <c r="FB258" s="51"/>
    </row>
    <row r="259" spans="1:158" ht="9" customHeight="1">
      <c r="A259" s="49"/>
      <c r="B259" s="50"/>
      <c r="C259" s="526"/>
      <c r="D259" s="527"/>
      <c r="E259" s="527"/>
      <c r="F259" s="527"/>
      <c r="G259" s="527"/>
      <c r="H259" s="527"/>
      <c r="I259" s="527"/>
      <c r="J259" s="527"/>
      <c r="K259" s="527"/>
      <c r="L259" s="527"/>
      <c r="M259" s="527"/>
      <c r="N259" s="527"/>
      <c r="O259" s="527"/>
      <c r="P259" s="527"/>
      <c r="Q259" s="527"/>
      <c r="R259" s="527"/>
      <c r="S259" s="527"/>
      <c r="T259" s="527"/>
      <c r="U259" s="527"/>
      <c r="V259" s="527"/>
      <c r="W259" s="527"/>
      <c r="X259" s="527"/>
      <c r="Y259" s="527"/>
      <c r="Z259" s="527"/>
      <c r="AA259" s="527"/>
      <c r="AB259" s="527"/>
      <c r="AC259" s="527"/>
      <c r="AD259" s="527"/>
      <c r="AE259" s="527"/>
      <c r="AF259" s="527"/>
      <c r="AG259" s="527"/>
      <c r="AH259" s="527"/>
      <c r="AI259" s="527"/>
      <c r="AJ259" s="527"/>
      <c r="AK259" s="527"/>
      <c r="AL259" s="527"/>
      <c r="AM259" s="527"/>
      <c r="AN259" s="527"/>
      <c r="AO259" s="527"/>
      <c r="AP259" s="527"/>
      <c r="AQ259" s="527"/>
      <c r="AR259" s="527"/>
      <c r="AS259" s="527"/>
      <c r="AT259" s="527"/>
      <c r="AU259" s="527"/>
      <c r="AV259" s="527"/>
      <c r="AW259" s="527"/>
      <c r="AX259" s="527"/>
      <c r="AY259" s="527"/>
      <c r="AZ259" s="527"/>
      <c r="BA259" s="527"/>
      <c r="BB259" s="527"/>
      <c r="BC259" s="527"/>
      <c r="BD259" s="527"/>
      <c r="BE259" s="527"/>
      <c r="BF259" s="527"/>
      <c r="BG259" s="527"/>
      <c r="BH259" s="527"/>
      <c r="BI259" s="527"/>
      <c r="BJ259" s="527"/>
      <c r="BK259" s="527"/>
      <c r="BL259" s="527"/>
      <c r="BM259" s="527"/>
      <c r="BN259" s="527"/>
      <c r="BO259" s="527"/>
      <c r="BP259" s="527"/>
      <c r="BQ259" s="527"/>
      <c r="BR259" s="527"/>
      <c r="BS259" s="527"/>
      <c r="BT259" s="527"/>
      <c r="BU259" s="527"/>
      <c r="BV259" s="527"/>
      <c r="BW259" s="527"/>
      <c r="BX259" s="527"/>
      <c r="BY259" s="527"/>
      <c r="BZ259" s="527"/>
      <c r="CA259" s="527"/>
      <c r="CB259" s="527"/>
      <c r="CC259" s="527"/>
      <c r="CD259" s="527"/>
      <c r="CE259" s="527"/>
      <c r="CF259" s="527"/>
      <c r="CG259" s="527"/>
      <c r="CH259" s="527"/>
      <c r="CI259" s="527"/>
      <c r="CJ259" s="527"/>
      <c r="CK259" s="527"/>
      <c r="CL259" s="527"/>
      <c r="CM259" s="527"/>
      <c r="CN259" s="527"/>
      <c r="CO259" s="527"/>
      <c r="CP259" s="527"/>
      <c r="CQ259" s="527"/>
      <c r="CR259" s="527"/>
      <c r="CS259" s="527"/>
      <c r="CT259" s="527"/>
      <c r="CU259" s="527"/>
      <c r="CV259" s="527"/>
      <c r="CW259" s="527"/>
      <c r="CX259" s="527"/>
      <c r="CY259" s="527"/>
      <c r="CZ259" s="527"/>
      <c r="DA259" s="527"/>
      <c r="DB259" s="527"/>
      <c r="DC259" s="527"/>
      <c r="DD259" s="527"/>
      <c r="DE259" s="527"/>
      <c r="DF259" s="527"/>
      <c r="DG259" s="527"/>
      <c r="DH259" s="527"/>
      <c r="DI259" s="527"/>
      <c r="DJ259" s="527"/>
      <c r="DK259" s="528"/>
      <c r="DL259" s="50"/>
      <c r="DM259" s="50"/>
      <c r="DN259" s="50"/>
      <c r="DO259" s="132"/>
      <c r="DP259" s="50"/>
      <c r="DQ259" s="536"/>
      <c r="DR259" s="536"/>
      <c r="DS259" s="536"/>
      <c r="DT259" s="536"/>
      <c r="DU259" s="536"/>
      <c r="DV259" s="536"/>
      <c r="DW259" s="536"/>
      <c r="DX259" s="536"/>
      <c r="DY259" s="536"/>
      <c r="DZ259" s="536"/>
      <c r="EA259" s="536"/>
      <c r="EB259" s="536"/>
      <c r="EC259" s="536"/>
      <c r="ED259" s="536"/>
      <c r="EE259" s="50"/>
      <c r="EF259" s="133"/>
      <c r="EG259" s="50"/>
      <c r="EH259" s="50"/>
      <c r="EI259" s="132"/>
      <c r="EJ259" s="50"/>
      <c r="EK259" s="536"/>
      <c r="EL259" s="536"/>
      <c r="EM259" s="536"/>
      <c r="EN259" s="536"/>
      <c r="EO259" s="536"/>
      <c r="EP259" s="536"/>
      <c r="EQ259" s="536"/>
      <c r="ER259" s="536"/>
      <c r="ES259" s="536"/>
      <c r="ET259" s="536"/>
      <c r="EU259" s="536"/>
      <c r="EV259" s="536"/>
      <c r="EW259" s="536"/>
      <c r="EX259" s="536"/>
      <c r="EY259" s="50"/>
      <c r="EZ259" s="133"/>
      <c r="FA259" s="50"/>
      <c r="FB259" s="51"/>
    </row>
    <row r="260" spans="1:158" ht="9" customHeight="1">
      <c r="A260" s="49"/>
      <c r="B260" s="50"/>
      <c r="C260" s="526"/>
      <c r="D260" s="527"/>
      <c r="E260" s="527"/>
      <c r="F260" s="527"/>
      <c r="G260" s="527"/>
      <c r="H260" s="527"/>
      <c r="I260" s="527"/>
      <c r="J260" s="527"/>
      <c r="K260" s="527"/>
      <c r="L260" s="527"/>
      <c r="M260" s="527"/>
      <c r="N260" s="527"/>
      <c r="O260" s="527"/>
      <c r="P260" s="527"/>
      <c r="Q260" s="527"/>
      <c r="R260" s="527"/>
      <c r="S260" s="527"/>
      <c r="T260" s="527"/>
      <c r="U260" s="527"/>
      <c r="V260" s="527"/>
      <c r="W260" s="527"/>
      <c r="X260" s="527"/>
      <c r="Y260" s="527"/>
      <c r="Z260" s="527"/>
      <c r="AA260" s="527"/>
      <c r="AB260" s="527"/>
      <c r="AC260" s="527"/>
      <c r="AD260" s="527"/>
      <c r="AE260" s="527"/>
      <c r="AF260" s="527"/>
      <c r="AG260" s="527"/>
      <c r="AH260" s="527"/>
      <c r="AI260" s="527"/>
      <c r="AJ260" s="527"/>
      <c r="AK260" s="527"/>
      <c r="AL260" s="527"/>
      <c r="AM260" s="527"/>
      <c r="AN260" s="527"/>
      <c r="AO260" s="527"/>
      <c r="AP260" s="527"/>
      <c r="AQ260" s="527"/>
      <c r="AR260" s="527"/>
      <c r="AS260" s="527"/>
      <c r="AT260" s="527"/>
      <c r="AU260" s="527"/>
      <c r="AV260" s="527"/>
      <c r="AW260" s="527"/>
      <c r="AX260" s="527"/>
      <c r="AY260" s="527"/>
      <c r="AZ260" s="527"/>
      <c r="BA260" s="527"/>
      <c r="BB260" s="527"/>
      <c r="BC260" s="527"/>
      <c r="BD260" s="527"/>
      <c r="BE260" s="527"/>
      <c r="BF260" s="527"/>
      <c r="BG260" s="527"/>
      <c r="BH260" s="527"/>
      <c r="BI260" s="527"/>
      <c r="BJ260" s="527"/>
      <c r="BK260" s="527"/>
      <c r="BL260" s="527"/>
      <c r="BM260" s="527"/>
      <c r="BN260" s="527"/>
      <c r="BO260" s="527"/>
      <c r="BP260" s="527"/>
      <c r="BQ260" s="527"/>
      <c r="BR260" s="527"/>
      <c r="BS260" s="527"/>
      <c r="BT260" s="527"/>
      <c r="BU260" s="527"/>
      <c r="BV260" s="527"/>
      <c r="BW260" s="527"/>
      <c r="BX260" s="527"/>
      <c r="BY260" s="527"/>
      <c r="BZ260" s="527"/>
      <c r="CA260" s="527"/>
      <c r="CB260" s="527"/>
      <c r="CC260" s="527"/>
      <c r="CD260" s="527"/>
      <c r="CE260" s="527"/>
      <c r="CF260" s="527"/>
      <c r="CG260" s="527"/>
      <c r="CH260" s="527"/>
      <c r="CI260" s="527"/>
      <c r="CJ260" s="527"/>
      <c r="CK260" s="527"/>
      <c r="CL260" s="527"/>
      <c r="CM260" s="527"/>
      <c r="CN260" s="527"/>
      <c r="CO260" s="527"/>
      <c r="CP260" s="527"/>
      <c r="CQ260" s="527"/>
      <c r="CR260" s="527"/>
      <c r="CS260" s="527"/>
      <c r="CT260" s="527"/>
      <c r="CU260" s="527"/>
      <c r="CV260" s="527"/>
      <c r="CW260" s="527"/>
      <c r="CX260" s="527"/>
      <c r="CY260" s="527"/>
      <c r="CZ260" s="527"/>
      <c r="DA260" s="527"/>
      <c r="DB260" s="527"/>
      <c r="DC260" s="527"/>
      <c r="DD260" s="527"/>
      <c r="DE260" s="527"/>
      <c r="DF260" s="527"/>
      <c r="DG260" s="527"/>
      <c r="DH260" s="527"/>
      <c r="DI260" s="527"/>
      <c r="DJ260" s="527"/>
      <c r="DK260" s="528"/>
      <c r="DL260" s="50"/>
      <c r="DM260" s="50"/>
      <c r="DN260" s="50"/>
      <c r="DO260" s="132"/>
      <c r="DP260" s="50"/>
      <c r="DQ260" s="536"/>
      <c r="DR260" s="536"/>
      <c r="DS260" s="536"/>
      <c r="DT260" s="536"/>
      <c r="DU260" s="536"/>
      <c r="DV260" s="536"/>
      <c r="DW260" s="536"/>
      <c r="DX260" s="536"/>
      <c r="DY260" s="536"/>
      <c r="DZ260" s="536"/>
      <c r="EA260" s="536"/>
      <c r="EB260" s="536"/>
      <c r="EC260" s="536"/>
      <c r="ED260" s="536"/>
      <c r="EE260" s="50"/>
      <c r="EF260" s="133"/>
      <c r="EG260" s="50"/>
      <c r="EH260" s="50"/>
      <c r="EI260" s="132"/>
      <c r="EJ260" s="50"/>
      <c r="EK260" s="536"/>
      <c r="EL260" s="536"/>
      <c r="EM260" s="536"/>
      <c r="EN260" s="536"/>
      <c r="EO260" s="536"/>
      <c r="EP260" s="536"/>
      <c r="EQ260" s="536"/>
      <c r="ER260" s="536"/>
      <c r="ES260" s="536"/>
      <c r="ET260" s="536"/>
      <c r="EU260" s="536"/>
      <c r="EV260" s="536"/>
      <c r="EW260" s="536"/>
      <c r="EX260" s="536"/>
      <c r="EY260" s="50"/>
      <c r="EZ260" s="133"/>
      <c r="FA260" s="50"/>
      <c r="FB260" s="51"/>
    </row>
    <row r="261" spans="1:158" ht="9" customHeight="1">
      <c r="A261" s="49"/>
      <c r="B261" s="50"/>
      <c r="C261" s="532"/>
      <c r="D261" s="533"/>
      <c r="E261" s="533"/>
      <c r="F261" s="533"/>
      <c r="G261" s="533"/>
      <c r="H261" s="533"/>
      <c r="I261" s="533"/>
      <c r="J261" s="533"/>
      <c r="K261" s="533"/>
      <c r="L261" s="533"/>
      <c r="M261" s="533"/>
      <c r="N261" s="533"/>
      <c r="O261" s="533"/>
      <c r="P261" s="533"/>
      <c r="Q261" s="533"/>
      <c r="R261" s="533"/>
      <c r="S261" s="533"/>
      <c r="T261" s="533"/>
      <c r="U261" s="533"/>
      <c r="V261" s="533"/>
      <c r="W261" s="533"/>
      <c r="X261" s="533"/>
      <c r="Y261" s="533"/>
      <c r="Z261" s="533"/>
      <c r="AA261" s="533"/>
      <c r="AB261" s="533"/>
      <c r="AC261" s="533"/>
      <c r="AD261" s="533"/>
      <c r="AE261" s="533"/>
      <c r="AF261" s="533"/>
      <c r="AG261" s="533"/>
      <c r="AH261" s="533"/>
      <c r="AI261" s="533"/>
      <c r="AJ261" s="533"/>
      <c r="AK261" s="533"/>
      <c r="AL261" s="533"/>
      <c r="AM261" s="533"/>
      <c r="AN261" s="533"/>
      <c r="AO261" s="533"/>
      <c r="AP261" s="533"/>
      <c r="AQ261" s="533"/>
      <c r="AR261" s="533"/>
      <c r="AS261" s="533"/>
      <c r="AT261" s="533"/>
      <c r="AU261" s="533"/>
      <c r="AV261" s="533"/>
      <c r="AW261" s="533"/>
      <c r="AX261" s="533"/>
      <c r="AY261" s="533"/>
      <c r="AZ261" s="533"/>
      <c r="BA261" s="533"/>
      <c r="BB261" s="533"/>
      <c r="BC261" s="533"/>
      <c r="BD261" s="533"/>
      <c r="BE261" s="533"/>
      <c r="BF261" s="533"/>
      <c r="BG261" s="533"/>
      <c r="BH261" s="533"/>
      <c r="BI261" s="533"/>
      <c r="BJ261" s="533"/>
      <c r="BK261" s="533"/>
      <c r="BL261" s="533"/>
      <c r="BM261" s="533"/>
      <c r="BN261" s="533"/>
      <c r="BO261" s="533"/>
      <c r="BP261" s="533"/>
      <c r="BQ261" s="533"/>
      <c r="BR261" s="533"/>
      <c r="BS261" s="533"/>
      <c r="BT261" s="533"/>
      <c r="BU261" s="533"/>
      <c r="BV261" s="533"/>
      <c r="BW261" s="533"/>
      <c r="BX261" s="533"/>
      <c r="BY261" s="533"/>
      <c r="BZ261" s="533"/>
      <c r="CA261" s="533"/>
      <c r="CB261" s="533"/>
      <c r="CC261" s="533"/>
      <c r="CD261" s="533"/>
      <c r="CE261" s="533"/>
      <c r="CF261" s="533"/>
      <c r="CG261" s="533"/>
      <c r="CH261" s="533"/>
      <c r="CI261" s="533"/>
      <c r="CJ261" s="533"/>
      <c r="CK261" s="533"/>
      <c r="CL261" s="533"/>
      <c r="CM261" s="533"/>
      <c r="CN261" s="533"/>
      <c r="CO261" s="533"/>
      <c r="CP261" s="533"/>
      <c r="CQ261" s="533"/>
      <c r="CR261" s="533"/>
      <c r="CS261" s="533"/>
      <c r="CT261" s="533"/>
      <c r="CU261" s="533"/>
      <c r="CV261" s="533"/>
      <c r="CW261" s="533"/>
      <c r="CX261" s="533"/>
      <c r="CY261" s="533"/>
      <c r="CZ261" s="533"/>
      <c r="DA261" s="533"/>
      <c r="DB261" s="533"/>
      <c r="DC261" s="533"/>
      <c r="DD261" s="533"/>
      <c r="DE261" s="533"/>
      <c r="DF261" s="533"/>
      <c r="DG261" s="533"/>
      <c r="DH261" s="533"/>
      <c r="DI261" s="533"/>
      <c r="DJ261" s="533"/>
      <c r="DK261" s="534"/>
      <c r="DL261" s="50"/>
      <c r="DM261" s="50"/>
      <c r="DN261" s="50"/>
      <c r="DO261" s="132"/>
      <c r="DP261" s="50"/>
      <c r="DQ261" s="536"/>
      <c r="DR261" s="536"/>
      <c r="DS261" s="536"/>
      <c r="DT261" s="536"/>
      <c r="DU261" s="536"/>
      <c r="DV261" s="536"/>
      <c r="DW261" s="536"/>
      <c r="DX261" s="536"/>
      <c r="DY261" s="536"/>
      <c r="DZ261" s="536"/>
      <c r="EA261" s="536"/>
      <c r="EB261" s="536"/>
      <c r="EC261" s="536"/>
      <c r="ED261" s="536"/>
      <c r="EE261" s="50"/>
      <c r="EF261" s="133"/>
      <c r="EG261" s="50"/>
      <c r="EH261" s="50"/>
      <c r="EI261" s="132"/>
      <c r="EJ261" s="50"/>
      <c r="EK261" s="536"/>
      <c r="EL261" s="536"/>
      <c r="EM261" s="536"/>
      <c r="EN261" s="536"/>
      <c r="EO261" s="536"/>
      <c r="EP261" s="536"/>
      <c r="EQ261" s="536"/>
      <c r="ER261" s="536"/>
      <c r="ES261" s="536"/>
      <c r="ET261" s="536"/>
      <c r="EU261" s="536"/>
      <c r="EV261" s="536"/>
      <c r="EW261" s="536"/>
      <c r="EX261" s="536"/>
      <c r="EY261" s="50"/>
      <c r="EZ261" s="133"/>
      <c r="FA261" s="50"/>
      <c r="FB261" s="51"/>
    </row>
    <row r="262" spans="1:158" ht="9" customHeight="1">
      <c r="A262" s="49"/>
      <c r="B262" s="50"/>
      <c r="C262" s="523" t="str">
        <f>IF(Details!C11="","",Details!C11)</f>
        <v/>
      </c>
      <c r="D262" s="524"/>
      <c r="E262" s="524"/>
      <c r="F262" s="524"/>
      <c r="G262" s="524"/>
      <c r="H262" s="524"/>
      <c r="I262" s="524"/>
      <c r="J262" s="524"/>
      <c r="K262" s="524"/>
      <c r="L262" s="524"/>
      <c r="M262" s="524"/>
      <c r="N262" s="524"/>
      <c r="O262" s="524"/>
      <c r="P262" s="524"/>
      <c r="Q262" s="524"/>
      <c r="R262" s="524"/>
      <c r="S262" s="524"/>
      <c r="T262" s="524"/>
      <c r="U262" s="524"/>
      <c r="V262" s="524"/>
      <c r="W262" s="524"/>
      <c r="X262" s="524"/>
      <c r="Y262" s="524"/>
      <c r="Z262" s="524"/>
      <c r="AA262" s="524"/>
      <c r="AB262" s="524"/>
      <c r="AC262" s="524"/>
      <c r="AD262" s="524"/>
      <c r="AE262" s="524"/>
      <c r="AF262" s="524"/>
      <c r="AG262" s="524"/>
      <c r="AH262" s="524"/>
      <c r="AI262" s="524"/>
      <c r="AJ262" s="524"/>
      <c r="AK262" s="524"/>
      <c r="AL262" s="524"/>
      <c r="AM262" s="524"/>
      <c r="AN262" s="524"/>
      <c r="AO262" s="524"/>
      <c r="AP262" s="524"/>
      <c r="AQ262" s="524"/>
      <c r="AR262" s="524"/>
      <c r="AS262" s="524"/>
      <c r="AT262" s="524"/>
      <c r="AU262" s="524"/>
      <c r="AV262" s="524"/>
      <c r="AW262" s="524"/>
      <c r="AX262" s="524"/>
      <c r="AY262" s="524"/>
      <c r="AZ262" s="524"/>
      <c r="BA262" s="524"/>
      <c r="BB262" s="524"/>
      <c r="BC262" s="524"/>
      <c r="BD262" s="524"/>
      <c r="BE262" s="524"/>
      <c r="BF262" s="524"/>
      <c r="BG262" s="524"/>
      <c r="BH262" s="524"/>
      <c r="BI262" s="524"/>
      <c r="BJ262" s="524"/>
      <c r="BK262" s="524"/>
      <c r="BL262" s="524"/>
      <c r="BM262" s="524"/>
      <c r="BN262" s="524"/>
      <c r="BO262" s="524"/>
      <c r="BP262" s="524"/>
      <c r="BQ262" s="524"/>
      <c r="BR262" s="524"/>
      <c r="BS262" s="524"/>
      <c r="BT262" s="524"/>
      <c r="BU262" s="524"/>
      <c r="BV262" s="524"/>
      <c r="BW262" s="524"/>
      <c r="BX262" s="524"/>
      <c r="BY262" s="524"/>
      <c r="BZ262" s="524"/>
      <c r="CA262" s="524"/>
      <c r="CB262" s="524"/>
      <c r="CC262" s="524"/>
      <c r="CD262" s="524"/>
      <c r="CE262" s="524"/>
      <c r="CF262" s="524"/>
      <c r="CG262" s="524"/>
      <c r="CH262" s="524"/>
      <c r="CI262" s="524"/>
      <c r="CJ262" s="524"/>
      <c r="CK262" s="524"/>
      <c r="CL262" s="524"/>
      <c r="CM262" s="524"/>
      <c r="CN262" s="524"/>
      <c r="CO262" s="524"/>
      <c r="CP262" s="524"/>
      <c r="CQ262" s="524"/>
      <c r="CR262" s="524"/>
      <c r="CS262" s="524"/>
      <c r="CT262" s="524"/>
      <c r="CU262" s="524"/>
      <c r="CV262" s="524"/>
      <c r="CW262" s="524"/>
      <c r="CX262" s="524"/>
      <c r="CY262" s="524"/>
      <c r="CZ262" s="524"/>
      <c r="DA262" s="524"/>
      <c r="DB262" s="524"/>
      <c r="DC262" s="524"/>
      <c r="DD262" s="524"/>
      <c r="DE262" s="524"/>
      <c r="DF262" s="524"/>
      <c r="DG262" s="524"/>
      <c r="DH262" s="524"/>
      <c r="DI262" s="524"/>
      <c r="DJ262" s="524"/>
      <c r="DK262" s="525"/>
      <c r="DL262" s="50"/>
      <c r="DM262" s="50"/>
      <c r="DN262" s="50"/>
      <c r="DO262" s="132"/>
      <c r="DP262" s="50"/>
      <c r="DQ262" s="536"/>
      <c r="DR262" s="536"/>
      <c r="DS262" s="536"/>
      <c r="DT262" s="536"/>
      <c r="DU262" s="536"/>
      <c r="DV262" s="536"/>
      <c r="DW262" s="536"/>
      <c r="DX262" s="536"/>
      <c r="DY262" s="536"/>
      <c r="DZ262" s="536"/>
      <c r="EA262" s="536"/>
      <c r="EB262" s="536"/>
      <c r="EC262" s="536"/>
      <c r="ED262" s="536"/>
      <c r="EE262" s="50"/>
      <c r="EF262" s="133"/>
      <c r="EG262" s="50"/>
      <c r="EH262" s="50"/>
      <c r="EI262" s="132"/>
      <c r="EJ262" s="50"/>
      <c r="EK262" s="536"/>
      <c r="EL262" s="536"/>
      <c r="EM262" s="536"/>
      <c r="EN262" s="536"/>
      <c r="EO262" s="536"/>
      <c r="EP262" s="536"/>
      <c r="EQ262" s="536"/>
      <c r="ER262" s="536"/>
      <c r="ES262" s="536"/>
      <c r="ET262" s="536"/>
      <c r="EU262" s="536"/>
      <c r="EV262" s="536"/>
      <c r="EW262" s="536"/>
      <c r="EX262" s="536"/>
      <c r="EY262" s="50"/>
      <c r="EZ262" s="133"/>
      <c r="FA262" s="50"/>
      <c r="FB262" s="51"/>
    </row>
    <row r="263" spans="1:158" ht="9" customHeight="1">
      <c r="A263" s="49"/>
      <c r="B263" s="50"/>
      <c r="C263" s="526"/>
      <c r="D263" s="527"/>
      <c r="E263" s="527"/>
      <c r="F263" s="527"/>
      <c r="G263" s="527"/>
      <c r="H263" s="527"/>
      <c r="I263" s="527"/>
      <c r="J263" s="527"/>
      <c r="K263" s="527"/>
      <c r="L263" s="527"/>
      <c r="M263" s="527"/>
      <c r="N263" s="527"/>
      <c r="O263" s="527"/>
      <c r="P263" s="527"/>
      <c r="Q263" s="527"/>
      <c r="R263" s="527"/>
      <c r="S263" s="527"/>
      <c r="T263" s="527"/>
      <c r="U263" s="527"/>
      <c r="V263" s="527"/>
      <c r="W263" s="527"/>
      <c r="X263" s="527"/>
      <c r="Y263" s="527"/>
      <c r="Z263" s="527"/>
      <c r="AA263" s="527"/>
      <c r="AB263" s="527"/>
      <c r="AC263" s="527"/>
      <c r="AD263" s="527"/>
      <c r="AE263" s="527"/>
      <c r="AF263" s="527"/>
      <c r="AG263" s="527"/>
      <c r="AH263" s="527"/>
      <c r="AI263" s="527"/>
      <c r="AJ263" s="527"/>
      <c r="AK263" s="527"/>
      <c r="AL263" s="527"/>
      <c r="AM263" s="527"/>
      <c r="AN263" s="527"/>
      <c r="AO263" s="527"/>
      <c r="AP263" s="527"/>
      <c r="AQ263" s="527"/>
      <c r="AR263" s="527"/>
      <c r="AS263" s="527"/>
      <c r="AT263" s="527"/>
      <c r="AU263" s="527"/>
      <c r="AV263" s="527"/>
      <c r="AW263" s="527"/>
      <c r="AX263" s="527"/>
      <c r="AY263" s="527"/>
      <c r="AZ263" s="527"/>
      <c r="BA263" s="527"/>
      <c r="BB263" s="527"/>
      <c r="BC263" s="527"/>
      <c r="BD263" s="527"/>
      <c r="BE263" s="527"/>
      <c r="BF263" s="527"/>
      <c r="BG263" s="527"/>
      <c r="BH263" s="527"/>
      <c r="BI263" s="527"/>
      <c r="BJ263" s="527"/>
      <c r="BK263" s="527"/>
      <c r="BL263" s="527"/>
      <c r="BM263" s="527"/>
      <c r="BN263" s="527"/>
      <c r="BO263" s="527"/>
      <c r="BP263" s="527"/>
      <c r="BQ263" s="527"/>
      <c r="BR263" s="527"/>
      <c r="BS263" s="527"/>
      <c r="BT263" s="527"/>
      <c r="BU263" s="527"/>
      <c r="BV263" s="527"/>
      <c r="BW263" s="527"/>
      <c r="BX263" s="527"/>
      <c r="BY263" s="527"/>
      <c r="BZ263" s="527"/>
      <c r="CA263" s="527"/>
      <c r="CB263" s="527"/>
      <c r="CC263" s="527"/>
      <c r="CD263" s="527"/>
      <c r="CE263" s="527"/>
      <c r="CF263" s="527"/>
      <c r="CG263" s="527"/>
      <c r="CH263" s="527"/>
      <c r="CI263" s="527"/>
      <c r="CJ263" s="527"/>
      <c r="CK263" s="527"/>
      <c r="CL263" s="527"/>
      <c r="CM263" s="527"/>
      <c r="CN263" s="527"/>
      <c r="CO263" s="527"/>
      <c r="CP263" s="527"/>
      <c r="CQ263" s="527"/>
      <c r="CR263" s="527"/>
      <c r="CS263" s="527"/>
      <c r="CT263" s="527"/>
      <c r="CU263" s="527"/>
      <c r="CV263" s="527"/>
      <c r="CW263" s="527"/>
      <c r="CX263" s="527"/>
      <c r="CY263" s="527"/>
      <c r="CZ263" s="527"/>
      <c r="DA263" s="527"/>
      <c r="DB263" s="527"/>
      <c r="DC263" s="527"/>
      <c r="DD263" s="527"/>
      <c r="DE263" s="527"/>
      <c r="DF263" s="527"/>
      <c r="DG263" s="527"/>
      <c r="DH263" s="527"/>
      <c r="DI263" s="527"/>
      <c r="DJ263" s="527"/>
      <c r="DK263" s="528"/>
      <c r="DL263" s="50"/>
      <c r="DM263" s="50"/>
      <c r="DN263" s="50"/>
      <c r="DO263" s="132"/>
      <c r="DP263" s="50"/>
      <c r="DQ263" s="536"/>
      <c r="DR263" s="536"/>
      <c r="DS263" s="536"/>
      <c r="DT263" s="536"/>
      <c r="DU263" s="536"/>
      <c r="DV263" s="536"/>
      <c r="DW263" s="536"/>
      <c r="DX263" s="536"/>
      <c r="DY263" s="536"/>
      <c r="DZ263" s="536"/>
      <c r="EA263" s="536"/>
      <c r="EB263" s="536"/>
      <c r="EC263" s="536"/>
      <c r="ED263" s="536"/>
      <c r="EE263" s="50"/>
      <c r="EF263" s="133"/>
      <c r="EG263" s="50"/>
      <c r="EH263" s="50"/>
      <c r="EI263" s="132"/>
      <c r="EJ263" s="50"/>
      <c r="EK263" s="536"/>
      <c r="EL263" s="536"/>
      <c r="EM263" s="536"/>
      <c r="EN263" s="536"/>
      <c r="EO263" s="536"/>
      <c r="EP263" s="536"/>
      <c r="EQ263" s="536"/>
      <c r="ER263" s="536"/>
      <c r="ES263" s="536"/>
      <c r="ET263" s="536"/>
      <c r="EU263" s="536"/>
      <c r="EV263" s="536"/>
      <c r="EW263" s="536"/>
      <c r="EX263" s="536"/>
      <c r="EY263" s="50"/>
      <c r="EZ263" s="133"/>
      <c r="FA263" s="50"/>
      <c r="FB263" s="51"/>
    </row>
    <row r="264" spans="1:158" ht="9" customHeight="1">
      <c r="A264" s="49"/>
      <c r="B264" s="50"/>
      <c r="C264" s="526"/>
      <c r="D264" s="527"/>
      <c r="E264" s="527"/>
      <c r="F264" s="527"/>
      <c r="G264" s="527"/>
      <c r="H264" s="527"/>
      <c r="I264" s="527"/>
      <c r="J264" s="527"/>
      <c r="K264" s="527"/>
      <c r="L264" s="527"/>
      <c r="M264" s="527"/>
      <c r="N264" s="527"/>
      <c r="O264" s="527"/>
      <c r="P264" s="527"/>
      <c r="Q264" s="527"/>
      <c r="R264" s="527"/>
      <c r="S264" s="527"/>
      <c r="T264" s="527"/>
      <c r="U264" s="527"/>
      <c r="V264" s="527"/>
      <c r="W264" s="527"/>
      <c r="X264" s="527"/>
      <c r="Y264" s="527"/>
      <c r="Z264" s="527"/>
      <c r="AA264" s="527"/>
      <c r="AB264" s="527"/>
      <c r="AC264" s="527"/>
      <c r="AD264" s="527"/>
      <c r="AE264" s="527"/>
      <c r="AF264" s="527"/>
      <c r="AG264" s="527"/>
      <c r="AH264" s="527"/>
      <c r="AI264" s="527"/>
      <c r="AJ264" s="527"/>
      <c r="AK264" s="527"/>
      <c r="AL264" s="527"/>
      <c r="AM264" s="527"/>
      <c r="AN264" s="527"/>
      <c r="AO264" s="527"/>
      <c r="AP264" s="527"/>
      <c r="AQ264" s="527"/>
      <c r="AR264" s="527"/>
      <c r="AS264" s="527"/>
      <c r="AT264" s="527"/>
      <c r="AU264" s="527"/>
      <c r="AV264" s="527"/>
      <c r="AW264" s="527"/>
      <c r="AX264" s="527"/>
      <c r="AY264" s="527"/>
      <c r="AZ264" s="527"/>
      <c r="BA264" s="527"/>
      <c r="BB264" s="527"/>
      <c r="BC264" s="527"/>
      <c r="BD264" s="527"/>
      <c r="BE264" s="527"/>
      <c r="BF264" s="527"/>
      <c r="BG264" s="527"/>
      <c r="BH264" s="527"/>
      <c r="BI264" s="527"/>
      <c r="BJ264" s="527"/>
      <c r="BK264" s="527"/>
      <c r="BL264" s="527"/>
      <c r="BM264" s="527"/>
      <c r="BN264" s="527"/>
      <c r="BO264" s="527"/>
      <c r="BP264" s="527"/>
      <c r="BQ264" s="527"/>
      <c r="BR264" s="527"/>
      <c r="BS264" s="527"/>
      <c r="BT264" s="527"/>
      <c r="BU264" s="527"/>
      <c r="BV264" s="527"/>
      <c r="BW264" s="527"/>
      <c r="BX264" s="527"/>
      <c r="BY264" s="527"/>
      <c r="BZ264" s="527"/>
      <c r="CA264" s="527"/>
      <c r="CB264" s="527"/>
      <c r="CC264" s="527"/>
      <c r="CD264" s="527"/>
      <c r="CE264" s="527"/>
      <c r="CF264" s="527"/>
      <c r="CG264" s="527"/>
      <c r="CH264" s="527"/>
      <c r="CI264" s="527"/>
      <c r="CJ264" s="527"/>
      <c r="CK264" s="527"/>
      <c r="CL264" s="527"/>
      <c r="CM264" s="527"/>
      <c r="CN264" s="527"/>
      <c r="CO264" s="527"/>
      <c r="CP264" s="527"/>
      <c r="CQ264" s="527"/>
      <c r="CR264" s="527"/>
      <c r="CS264" s="527"/>
      <c r="CT264" s="527"/>
      <c r="CU264" s="527"/>
      <c r="CV264" s="527"/>
      <c r="CW264" s="527"/>
      <c r="CX264" s="527"/>
      <c r="CY264" s="527"/>
      <c r="CZ264" s="527"/>
      <c r="DA264" s="527"/>
      <c r="DB264" s="527"/>
      <c r="DC264" s="527"/>
      <c r="DD264" s="527"/>
      <c r="DE264" s="527"/>
      <c r="DF264" s="527"/>
      <c r="DG264" s="527"/>
      <c r="DH264" s="527"/>
      <c r="DI264" s="527"/>
      <c r="DJ264" s="527"/>
      <c r="DK264" s="528"/>
      <c r="DL264" s="50"/>
      <c r="DM264" s="50"/>
      <c r="DN264" s="50"/>
      <c r="DO264" s="136"/>
      <c r="DP264" s="50"/>
      <c r="DQ264" s="536"/>
      <c r="DR264" s="536"/>
      <c r="DS264" s="536"/>
      <c r="DT264" s="536"/>
      <c r="DU264" s="536"/>
      <c r="DV264" s="536"/>
      <c r="DW264" s="536"/>
      <c r="DX264" s="536"/>
      <c r="DY264" s="536"/>
      <c r="DZ264" s="536"/>
      <c r="EA264" s="536"/>
      <c r="EB264" s="536"/>
      <c r="EC264" s="536"/>
      <c r="ED264" s="536"/>
      <c r="EE264" s="50"/>
      <c r="EF264" s="135"/>
      <c r="EG264" s="50"/>
      <c r="EH264" s="50"/>
      <c r="EI264" s="136"/>
      <c r="EJ264" s="50"/>
      <c r="EK264" s="536"/>
      <c r="EL264" s="536"/>
      <c r="EM264" s="536"/>
      <c r="EN264" s="536"/>
      <c r="EO264" s="536"/>
      <c r="EP264" s="536"/>
      <c r="EQ264" s="536"/>
      <c r="ER264" s="536"/>
      <c r="ES264" s="536"/>
      <c r="ET264" s="536"/>
      <c r="EU264" s="536"/>
      <c r="EV264" s="536"/>
      <c r="EW264" s="536"/>
      <c r="EX264" s="536"/>
      <c r="EY264" s="50"/>
      <c r="EZ264" s="135"/>
      <c r="FA264" s="50"/>
      <c r="FB264" s="51"/>
    </row>
    <row r="265" spans="1:158" ht="9" customHeight="1" thickBot="1">
      <c r="A265" s="49"/>
      <c r="B265" s="50"/>
      <c r="C265" s="529"/>
      <c r="D265" s="530"/>
      <c r="E265" s="530"/>
      <c r="F265" s="530"/>
      <c r="G265" s="530"/>
      <c r="H265" s="530"/>
      <c r="I265" s="530"/>
      <c r="J265" s="530"/>
      <c r="K265" s="530"/>
      <c r="L265" s="530"/>
      <c r="M265" s="530"/>
      <c r="N265" s="530"/>
      <c r="O265" s="530"/>
      <c r="P265" s="530"/>
      <c r="Q265" s="530"/>
      <c r="R265" s="530"/>
      <c r="S265" s="530"/>
      <c r="T265" s="530"/>
      <c r="U265" s="530"/>
      <c r="V265" s="530"/>
      <c r="W265" s="530"/>
      <c r="X265" s="530"/>
      <c r="Y265" s="530"/>
      <c r="Z265" s="530"/>
      <c r="AA265" s="530"/>
      <c r="AB265" s="530"/>
      <c r="AC265" s="530"/>
      <c r="AD265" s="530"/>
      <c r="AE265" s="530"/>
      <c r="AF265" s="530"/>
      <c r="AG265" s="530"/>
      <c r="AH265" s="530"/>
      <c r="AI265" s="530"/>
      <c r="AJ265" s="530"/>
      <c r="AK265" s="530"/>
      <c r="AL265" s="530"/>
      <c r="AM265" s="530"/>
      <c r="AN265" s="530"/>
      <c r="AO265" s="530"/>
      <c r="AP265" s="530"/>
      <c r="AQ265" s="530"/>
      <c r="AR265" s="530"/>
      <c r="AS265" s="530"/>
      <c r="AT265" s="530"/>
      <c r="AU265" s="530"/>
      <c r="AV265" s="530"/>
      <c r="AW265" s="530"/>
      <c r="AX265" s="530"/>
      <c r="AY265" s="530"/>
      <c r="AZ265" s="530"/>
      <c r="BA265" s="530"/>
      <c r="BB265" s="530"/>
      <c r="BC265" s="530"/>
      <c r="BD265" s="530"/>
      <c r="BE265" s="530"/>
      <c r="BF265" s="530"/>
      <c r="BG265" s="530"/>
      <c r="BH265" s="530"/>
      <c r="BI265" s="530"/>
      <c r="BJ265" s="530"/>
      <c r="BK265" s="530"/>
      <c r="BL265" s="530"/>
      <c r="BM265" s="530"/>
      <c r="BN265" s="530"/>
      <c r="BO265" s="530"/>
      <c r="BP265" s="530"/>
      <c r="BQ265" s="530"/>
      <c r="BR265" s="530"/>
      <c r="BS265" s="530"/>
      <c r="BT265" s="530"/>
      <c r="BU265" s="530"/>
      <c r="BV265" s="530"/>
      <c r="BW265" s="530"/>
      <c r="BX265" s="530"/>
      <c r="BY265" s="530"/>
      <c r="BZ265" s="530"/>
      <c r="CA265" s="530"/>
      <c r="CB265" s="530"/>
      <c r="CC265" s="530"/>
      <c r="CD265" s="530"/>
      <c r="CE265" s="530"/>
      <c r="CF265" s="530"/>
      <c r="CG265" s="530"/>
      <c r="CH265" s="530"/>
      <c r="CI265" s="530"/>
      <c r="CJ265" s="530"/>
      <c r="CK265" s="530"/>
      <c r="CL265" s="530"/>
      <c r="CM265" s="530"/>
      <c r="CN265" s="530"/>
      <c r="CO265" s="530"/>
      <c r="CP265" s="530"/>
      <c r="CQ265" s="530"/>
      <c r="CR265" s="530"/>
      <c r="CS265" s="530"/>
      <c r="CT265" s="530"/>
      <c r="CU265" s="530"/>
      <c r="CV265" s="530"/>
      <c r="CW265" s="530"/>
      <c r="CX265" s="530"/>
      <c r="CY265" s="530"/>
      <c r="CZ265" s="530"/>
      <c r="DA265" s="530"/>
      <c r="DB265" s="530"/>
      <c r="DC265" s="530"/>
      <c r="DD265" s="530"/>
      <c r="DE265" s="530"/>
      <c r="DF265" s="530"/>
      <c r="DG265" s="530"/>
      <c r="DH265" s="530"/>
      <c r="DI265" s="530"/>
      <c r="DJ265" s="530"/>
      <c r="DK265" s="531"/>
      <c r="DL265" s="50"/>
      <c r="DM265" s="50"/>
      <c r="DN265" s="50"/>
      <c r="DO265" s="50"/>
      <c r="DP265" s="136"/>
      <c r="DQ265" s="134"/>
      <c r="DR265" s="134"/>
      <c r="DS265" s="134"/>
      <c r="DT265" s="134"/>
      <c r="DU265" s="134"/>
      <c r="DV265" s="134"/>
      <c r="DW265" s="134"/>
      <c r="DX265" s="134"/>
      <c r="DY265" s="134"/>
      <c r="DZ265" s="134"/>
      <c r="EA265" s="134"/>
      <c r="EB265" s="134"/>
      <c r="EC265" s="134"/>
      <c r="ED265" s="134"/>
      <c r="EE265" s="135"/>
      <c r="EF265" s="50"/>
      <c r="EG265" s="50"/>
      <c r="EH265" s="50"/>
      <c r="EI265" s="50"/>
      <c r="EJ265" s="136"/>
      <c r="EK265" s="134"/>
      <c r="EL265" s="134"/>
      <c r="EM265" s="134"/>
      <c r="EN265" s="134"/>
      <c r="EO265" s="134"/>
      <c r="EP265" s="134"/>
      <c r="EQ265" s="134"/>
      <c r="ER265" s="134"/>
      <c r="ES265" s="134"/>
      <c r="ET265" s="134"/>
      <c r="EU265" s="134"/>
      <c r="EV265" s="134"/>
      <c r="EW265" s="134"/>
      <c r="EX265" s="134"/>
      <c r="EY265" s="135"/>
      <c r="EZ265" s="50"/>
      <c r="FA265" s="50"/>
      <c r="FB265" s="51"/>
    </row>
    <row r="266" spans="1:158" ht="9" customHeight="1" thickTop="1">
      <c r="A266" s="49"/>
      <c r="B266" s="50"/>
      <c r="C266" s="50"/>
      <c r="D266" s="50"/>
      <c r="E266" s="50"/>
      <c r="F266" s="50"/>
      <c r="G266" s="50"/>
      <c r="H266" s="50"/>
      <c r="I266" s="5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50"/>
      <c r="DA266" s="50"/>
      <c r="DB266" s="50"/>
      <c r="DC266" s="50"/>
      <c r="DD266" s="50"/>
      <c r="DE266" s="50"/>
      <c r="DF266" s="50"/>
      <c r="DG266" s="50"/>
      <c r="DH266" s="50"/>
      <c r="DI266" s="50"/>
      <c r="DJ266" s="50"/>
      <c r="DK266" s="50"/>
      <c r="DL266" s="50"/>
      <c r="DM266" s="50"/>
      <c r="DN266" s="50"/>
      <c r="DO266" s="50"/>
      <c r="DP266" s="50"/>
      <c r="DQ266" s="50"/>
      <c r="DR266" s="50"/>
      <c r="DS266" s="50"/>
      <c r="DT266" s="50"/>
      <c r="DU266" s="50"/>
      <c r="DV266" s="50"/>
      <c r="DW266" s="50"/>
      <c r="DX266" s="50"/>
      <c r="DY266" s="50"/>
      <c r="DZ266" s="50"/>
      <c r="EA266" s="50"/>
      <c r="EB266" s="50"/>
      <c r="EC266" s="50"/>
      <c r="ED266" s="50"/>
      <c r="EE266" s="50"/>
      <c r="EF266" s="50"/>
      <c r="EG266" s="50"/>
      <c r="EH266" s="50"/>
      <c r="EI266" s="50"/>
      <c r="EJ266" s="50"/>
      <c r="EK266" s="50"/>
      <c r="EL266" s="50"/>
      <c r="EM266" s="50"/>
      <c r="EN266" s="50"/>
      <c r="EO266" s="50"/>
      <c r="EP266" s="50"/>
      <c r="EQ266" s="50"/>
      <c r="ER266" s="50"/>
      <c r="ES266" s="50"/>
      <c r="ET266" s="50"/>
      <c r="EU266" s="50"/>
      <c r="EV266" s="50"/>
      <c r="EW266" s="50"/>
      <c r="EX266" s="50"/>
      <c r="EY266" s="50"/>
      <c r="EZ266" s="50"/>
      <c r="FA266" s="50"/>
      <c r="FB266" s="51"/>
    </row>
    <row r="267" spans="1:158" ht="9" customHeight="1" thickBot="1">
      <c r="A267" s="52"/>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4"/>
    </row>
  </sheetData>
  <mergeCells count="192">
    <mergeCell ref="FY82:GM86"/>
    <mergeCell ref="FJ82:FX86"/>
    <mergeCell ref="FH82:FI86"/>
    <mergeCell ref="FJ87:FX89"/>
    <mergeCell ref="FY87:GM89"/>
    <mergeCell ref="DD2:EX5"/>
    <mergeCell ref="AO7:AV8"/>
    <mergeCell ref="AW7:CQ10"/>
    <mergeCell ref="BZ12:CN15"/>
    <mergeCell ref="CV7:DK8"/>
    <mergeCell ref="DL7:EX10"/>
    <mergeCell ref="EP39:EU44"/>
    <mergeCell ref="EV39:EY44"/>
    <mergeCell ref="EP46:EU51"/>
    <mergeCell ref="EV46:EY51"/>
    <mergeCell ref="EP53:EU58"/>
    <mergeCell ref="EV53:EY58"/>
    <mergeCell ref="EP25:EU30"/>
    <mergeCell ref="EV25:EY30"/>
    <mergeCell ref="EP32:EU37"/>
    <mergeCell ref="EV32:EY37"/>
    <mergeCell ref="DP26:EO29"/>
    <mergeCell ref="DP33:EO36"/>
    <mergeCell ref="DP40:EO43"/>
    <mergeCell ref="B2:AI10"/>
    <mergeCell ref="C12:J13"/>
    <mergeCell ref="K12:T15"/>
    <mergeCell ref="Y12:AC13"/>
    <mergeCell ref="AD12:AP15"/>
    <mergeCell ref="AU12:BB13"/>
    <mergeCell ref="AO2:AS3"/>
    <mergeCell ref="CV2:DC3"/>
    <mergeCell ref="AT2:CQ5"/>
    <mergeCell ref="C17:R18"/>
    <mergeCell ref="S17:BE20"/>
    <mergeCell ref="BJ17:CA18"/>
    <mergeCell ref="CB17:DL20"/>
    <mergeCell ref="DX12:EC13"/>
    <mergeCell ref="ED12:EX15"/>
    <mergeCell ref="CS12:CX13"/>
    <mergeCell ref="CY12:DS15"/>
    <mergeCell ref="BC12:BM15"/>
    <mergeCell ref="BR12:BY13"/>
    <mergeCell ref="EV18:EY23"/>
    <mergeCell ref="EP18:EU23"/>
    <mergeCell ref="DP19:EO22"/>
    <mergeCell ref="DP47:EO50"/>
    <mergeCell ref="DP54:EO57"/>
    <mergeCell ref="G27:Y29"/>
    <mergeCell ref="AA27:AE29"/>
    <mergeCell ref="G34:Y36"/>
    <mergeCell ref="AA34:AE36"/>
    <mergeCell ref="G41:Y43"/>
    <mergeCell ref="AA41:AE43"/>
    <mergeCell ref="G48:Y50"/>
    <mergeCell ref="CZ25:DL28"/>
    <mergeCell ref="CZ29:DL32"/>
    <mergeCell ref="AP41:BH43"/>
    <mergeCell ref="BJ41:BN43"/>
    <mergeCell ref="BU41:BY43"/>
    <mergeCell ref="CA41:CC43"/>
    <mergeCell ref="CE41:CI43"/>
    <mergeCell ref="CK41:CM43"/>
    <mergeCell ref="AP27:BH29"/>
    <mergeCell ref="BJ27:BN29"/>
    <mergeCell ref="CO41:CS43"/>
    <mergeCell ref="BU27:CM29"/>
    <mergeCell ref="CO27:CS29"/>
    <mergeCell ref="AP34:BH36"/>
    <mergeCell ref="BJ34:BN36"/>
    <mergeCell ref="G76:Y78"/>
    <mergeCell ref="AA76:AE78"/>
    <mergeCell ref="G55:Y57"/>
    <mergeCell ref="G62:Y64"/>
    <mergeCell ref="G69:Y71"/>
    <mergeCell ref="AA69:AE71"/>
    <mergeCell ref="BT59:CA62"/>
    <mergeCell ref="BS55:CB57"/>
    <mergeCell ref="AA48:AE50"/>
    <mergeCell ref="AA55:AE57"/>
    <mergeCell ref="AA62:AE64"/>
    <mergeCell ref="AP64:BQ67"/>
    <mergeCell ref="BT64:CA67"/>
    <mergeCell ref="CD64:CK67"/>
    <mergeCell ref="CM64:DH67"/>
    <mergeCell ref="CN55:CW57"/>
    <mergeCell ref="AN55:BF57"/>
    <mergeCell ref="AP59:BQ62"/>
    <mergeCell ref="BT45:BZ48"/>
    <mergeCell ref="CD45:CJ48"/>
    <mergeCell ref="CN45:CT48"/>
    <mergeCell ref="CC55:CL57"/>
    <mergeCell ref="CD59:CK62"/>
    <mergeCell ref="CM59:DH62"/>
    <mergeCell ref="BU34:CM36"/>
    <mergeCell ref="CO34:CS36"/>
    <mergeCell ref="DP187:EY190"/>
    <mergeCell ref="DR141:EW144"/>
    <mergeCell ref="DP147:EY150"/>
    <mergeCell ref="DP151:EY154"/>
    <mergeCell ref="DP155:EY158"/>
    <mergeCell ref="DP159:EY162"/>
    <mergeCell ref="DP163:EY166"/>
    <mergeCell ref="DR64:EW67"/>
    <mergeCell ref="E95:DI162"/>
    <mergeCell ref="F170:X172"/>
    <mergeCell ref="E176:DI233"/>
    <mergeCell ref="DP70:EY133"/>
    <mergeCell ref="F89:X91"/>
    <mergeCell ref="DP191:EY194"/>
    <mergeCell ref="DP195:EY198"/>
    <mergeCell ref="DP199:EY202"/>
    <mergeCell ref="DP215:EY218"/>
    <mergeCell ref="DP219:EY222"/>
    <mergeCell ref="DP223:EY226"/>
    <mergeCell ref="DP227:EY230"/>
    <mergeCell ref="DP231:EY234"/>
    <mergeCell ref="DP203:EY206"/>
    <mergeCell ref="AP79:BQ82"/>
    <mergeCell ref="BT79:CA82"/>
    <mergeCell ref="CD79:CK82"/>
    <mergeCell ref="CM79:DH82"/>
    <mergeCell ref="AP84:BQ87"/>
    <mergeCell ref="BT84:CA87"/>
    <mergeCell ref="CD84:CK87"/>
    <mergeCell ref="CM84:DH87"/>
    <mergeCell ref="AP69:BQ72"/>
    <mergeCell ref="BT69:CA72"/>
    <mergeCell ref="CD69:CK72"/>
    <mergeCell ref="CM69:DH72"/>
    <mergeCell ref="AP74:BQ77"/>
    <mergeCell ref="BT74:CA77"/>
    <mergeCell ref="CD74:CK77"/>
    <mergeCell ref="CM74:DH77"/>
    <mergeCell ref="C262:DK265"/>
    <mergeCell ref="C258:DK261"/>
    <mergeCell ref="C254:DK257"/>
    <mergeCell ref="C250:DK253"/>
    <mergeCell ref="C246:DK249"/>
    <mergeCell ref="DP239:EY242"/>
    <mergeCell ref="DP243:EY246"/>
    <mergeCell ref="DQ253:ED257"/>
    <mergeCell ref="DQ258:ED264"/>
    <mergeCell ref="EK253:EX257"/>
    <mergeCell ref="EK258:EX264"/>
    <mergeCell ref="C242:DK245"/>
    <mergeCell ref="D238:AO241"/>
    <mergeCell ref="DP235:EY238"/>
    <mergeCell ref="DP207:EY210"/>
    <mergeCell ref="DP211:EY214"/>
    <mergeCell ref="DP167:EY170"/>
    <mergeCell ref="DP171:EY174"/>
    <mergeCell ref="DP175:EY178"/>
    <mergeCell ref="DP179:EY182"/>
    <mergeCell ref="DP183:EY186"/>
    <mergeCell ref="FY46:HE49"/>
    <mergeCell ref="FY14:HE17"/>
    <mergeCell ref="FH18:FX21"/>
    <mergeCell ref="FY18:HE21"/>
    <mergeCell ref="FH22:FX25"/>
    <mergeCell ref="FY22:HE25"/>
    <mergeCell ref="FH26:FX29"/>
    <mergeCell ref="FY26:HE29"/>
    <mergeCell ref="FH30:FX33"/>
    <mergeCell ref="FY30:HE33"/>
    <mergeCell ref="FH34:FX37"/>
    <mergeCell ref="FY34:HE37"/>
    <mergeCell ref="FH38:FX41"/>
    <mergeCell ref="FY38:HE41"/>
    <mergeCell ref="FH72:FI76"/>
    <mergeCell ref="FJ72:FX76"/>
    <mergeCell ref="FY72:GM76"/>
    <mergeCell ref="FH77:FI81"/>
    <mergeCell ref="FJ77:FX81"/>
    <mergeCell ref="FY77:GM81"/>
    <mergeCell ref="FH6:HE9"/>
    <mergeCell ref="FH10:FX13"/>
    <mergeCell ref="FY10:HE13"/>
    <mergeCell ref="FH14:FX17"/>
    <mergeCell ref="FH59:GM62"/>
    <mergeCell ref="GN59:HE62"/>
    <mergeCell ref="FH63:FI66"/>
    <mergeCell ref="FJ63:FX66"/>
    <mergeCell ref="FY63:GM66"/>
    <mergeCell ref="GN63:HE66"/>
    <mergeCell ref="FH67:FI71"/>
    <mergeCell ref="FJ67:FX71"/>
    <mergeCell ref="FY67:GM71"/>
    <mergeCell ref="FH42:FX45"/>
    <mergeCell ref="FY42:HE45"/>
    <mergeCell ref="FH46:FX49"/>
    <mergeCell ref="GN72:HZ76"/>
  </mergeCells>
  <printOptions horizontalCentered="1" verticalCentered="1"/>
  <pageMargins left="0.5" right="0.5" top="0.5" bottom="0.5" header="0.3" footer="0.3"/>
  <pageSetup scale="3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6" r:id="rId4" name="Button 6">
              <controlPr defaultSize="0" print="0" autoFill="0" autoPict="0" macro="[0]!Sheet12.FailBy2">
                <anchor moveWithCells="1" sizeWithCells="1">
                  <from>
                    <xdr:col>165</xdr:col>
                    <xdr:colOff>45720</xdr:colOff>
                    <xdr:row>97</xdr:row>
                    <xdr:rowOff>76200</xdr:rowOff>
                  </from>
                  <to>
                    <xdr:col>178</xdr:col>
                    <xdr:colOff>106680</xdr:colOff>
                    <xdr:row>104</xdr:row>
                    <xdr:rowOff>38100</xdr:rowOff>
                  </to>
                </anchor>
              </controlPr>
            </control>
          </mc:Choice>
        </mc:AlternateContent>
        <mc:AlternateContent xmlns:mc="http://schemas.openxmlformats.org/markup-compatibility/2006">
          <mc:Choice Requires="x14">
            <control shapeId="20487" r:id="rId5" name="Button 7">
              <controlPr defaultSize="0" print="0" autoFill="0" autoPict="0" macro="[0]!Sheet12.FailBy3">
                <anchor moveWithCells="1" sizeWithCells="1">
                  <from>
                    <xdr:col>165</xdr:col>
                    <xdr:colOff>22860</xdr:colOff>
                    <xdr:row>104</xdr:row>
                    <xdr:rowOff>114300</xdr:rowOff>
                  </from>
                  <to>
                    <xdr:col>178</xdr:col>
                    <xdr:colOff>76200</xdr:colOff>
                    <xdr:row>111</xdr:row>
                    <xdr:rowOff>83820</xdr:rowOff>
                  </to>
                </anchor>
              </controlPr>
            </control>
          </mc:Choice>
        </mc:AlternateContent>
        <mc:AlternateContent xmlns:mc="http://schemas.openxmlformats.org/markup-compatibility/2006">
          <mc:Choice Requires="x14">
            <control shapeId="20488" r:id="rId6" name="Button 8">
              <controlPr defaultSize="0" print="0" autoFill="0" autoPict="0" macro="[0]!Sheet12.FailBy4">
                <anchor moveWithCells="1" sizeWithCells="1">
                  <from>
                    <xdr:col>165</xdr:col>
                    <xdr:colOff>0</xdr:colOff>
                    <xdr:row>112</xdr:row>
                    <xdr:rowOff>83820</xdr:rowOff>
                  </from>
                  <to>
                    <xdr:col>178</xdr:col>
                    <xdr:colOff>38100</xdr:colOff>
                    <xdr:row>119</xdr:row>
                    <xdr:rowOff>45720</xdr:rowOff>
                  </to>
                </anchor>
              </controlPr>
            </control>
          </mc:Choice>
        </mc:AlternateContent>
        <mc:AlternateContent xmlns:mc="http://schemas.openxmlformats.org/markup-compatibility/2006">
          <mc:Choice Requires="x14">
            <control shapeId="20489" r:id="rId7" name="Button 9">
              <controlPr defaultSize="0" print="0" autoFill="0" autoPict="0" macro="[0]!Sheet12.ClearDamage">
                <anchor moveWithCells="1" sizeWithCells="1">
                  <from>
                    <xdr:col>163</xdr:col>
                    <xdr:colOff>38100</xdr:colOff>
                    <xdr:row>88</xdr:row>
                    <xdr:rowOff>99060</xdr:rowOff>
                  </from>
                  <to>
                    <xdr:col>164</xdr:col>
                    <xdr:colOff>1722120</xdr:colOff>
                    <xdr:row>100</xdr:row>
                    <xdr:rowOff>99060</xdr:rowOff>
                  </to>
                </anchor>
              </controlPr>
            </control>
          </mc:Choice>
        </mc:AlternateContent>
        <mc:AlternateContent xmlns:mc="http://schemas.openxmlformats.org/markup-compatibility/2006">
          <mc:Choice Requires="x14">
            <control shapeId="20490" r:id="rId8" name="Button 10">
              <controlPr defaultSize="0" print="0" autoFill="0" autoPict="0" macro="[0]!Sheet12.FailBy1L">
                <anchor moveWithCells="1" sizeWithCells="1">
                  <from>
                    <xdr:col>180</xdr:col>
                    <xdr:colOff>106680</xdr:colOff>
                    <xdr:row>90</xdr:row>
                    <xdr:rowOff>38100</xdr:rowOff>
                  </from>
                  <to>
                    <xdr:col>194</xdr:col>
                    <xdr:colOff>106680</xdr:colOff>
                    <xdr:row>96</xdr:row>
                    <xdr:rowOff>106680</xdr:rowOff>
                  </to>
                </anchor>
              </controlPr>
            </control>
          </mc:Choice>
        </mc:AlternateContent>
        <mc:AlternateContent xmlns:mc="http://schemas.openxmlformats.org/markup-compatibility/2006">
          <mc:Choice Requires="x14">
            <control shapeId="20491" r:id="rId9" name="Button 11">
              <controlPr defaultSize="0" print="0" autoFill="0" autoPict="0" macro="[0]!Sheet12.FailBy2L">
                <anchor moveWithCells="1" sizeWithCells="1">
                  <from>
                    <xdr:col>180</xdr:col>
                    <xdr:colOff>76200</xdr:colOff>
                    <xdr:row>97</xdr:row>
                    <xdr:rowOff>99060</xdr:rowOff>
                  </from>
                  <to>
                    <xdr:col>194</xdr:col>
                    <xdr:colOff>76200</xdr:colOff>
                    <xdr:row>104</xdr:row>
                    <xdr:rowOff>60960</xdr:rowOff>
                  </to>
                </anchor>
              </controlPr>
            </control>
          </mc:Choice>
        </mc:AlternateContent>
        <mc:AlternateContent xmlns:mc="http://schemas.openxmlformats.org/markup-compatibility/2006">
          <mc:Choice Requires="x14">
            <control shapeId="20492" r:id="rId10" name="Button 12">
              <controlPr defaultSize="0" print="0" autoFill="0" autoPict="0" macro="[0]!Sheet12.FailBy3L">
                <anchor moveWithCells="1" sizeWithCells="1">
                  <from>
                    <xdr:col>180</xdr:col>
                    <xdr:colOff>22860</xdr:colOff>
                    <xdr:row>105</xdr:row>
                    <xdr:rowOff>7620</xdr:rowOff>
                  </from>
                  <to>
                    <xdr:col>194</xdr:col>
                    <xdr:colOff>22860</xdr:colOff>
                    <xdr:row>111</xdr:row>
                    <xdr:rowOff>99060</xdr:rowOff>
                  </to>
                </anchor>
              </controlPr>
            </control>
          </mc:Choice>
        </mc:AlternateContent>
        <mc:AlternateContent xmlns:mc="http://schemas.openxmlformats.org/markup-compatibility/2006">
          <mc:Choice Requires="x14">
            <control shapeId="20493" r:id="rId11" name="Button 13">
              <controlPr defaultSize="0" print="0" autoFill="0" autoPict="0" macro="[0]!Sheet12.FailBy4L">
                <anchor moveWithCells="1" sizeWithCells="1">
                  <from>
                    <xdr:col>180</xdr:col>
                    <xdr:colOff>45720</xdr:colOff>
                    <xdr:row>112</xdr:row>
                    <xdr:rowOff>76200</xdr:rowOff>
                  </from>
                  <to>
                    <xdr:col>194</xdr:col>
                    <xdr:colOff>45720</xdr:colOff>
                    <xdr:row>119</xdr:row>
                    <xdr:rowOff>38100</xdr:rowOff>
                  </to>
                </anchor>
              </controlPr>
            </control>
          </mc:Choice>
        </mc:AlternateContent>
        <mc:AlternateContent xmlns:mc="http://schemas.openxmlformats.org/markup-compatibility/2006">
          <mc:Choice Requires="x14">
            <control shapeId="20494" r:id="rId12" name="Button 14">
              <controlPr defaultSize="0" print="0" autoFill="0" autoPict="0" macro="[0]!Sheet12.FailBy1">
                <anchor moveWithCells="1" sizeWithCells="1">
                  <from>
                    <xdr:col>165</xdr:col>
                    <xdr:colOff>0</xdr:colOff>
                    <xdr:row>90</xdr:row>
                    <xdr:rowOff>45720</xdr:rowOff>
                  </from>
                  <to>
                    <xdr:col>178</xdr:col>
                    <xdr:colOff>99060</xdr:colOff>
                    <xdr:row>96</xdr:row>
                    <xdr:rowOff>114300</xdr:rowOff>
                  </to>
                </anchor>
              </controlPr>
            </control>
          </mc:Choice>
        </mc:AlternateContent>
        <mc:AlternateContent xmlns:mc="http://schemas.openxmlformats.org/markup-compatibility/2006">
          <mc:Choice Requires="x14">
            <control shapeId="20503" r:id="rId13" name="Button 23">
              <controlPr defaultSize="0" print="0" autoFill="0" autoPict="0" macro="[0]!Sheet12.FailBy5L">
                <anchor moveWithCells="1" sizeWithCells="1">
                  <from>
                    <xdr:col>180</xdr:col>
                    <xdr:colOff>7620</xdr:colOff>
                    <xdr:row>119</xdr:row>
                    <xdr:rowOff>99060</xdr:rowOff>
                  </from>
                  <to>
                    <xdr:col>194</xdr:col>
                    <xdr:colOff>7620</xdr:colOff>
                    <xdr:row>126</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AF78"/>
  <sheetViews>
    <sheetView showGridLines="0" zoomScaleNormal="100" workbookViewId="0"/>
  </sheetViews>
  <sheetFormatPr defaultColWidth="2.6640625" defaultRowHeight="13.5" customHeight="1"/>
  <cols>
    <col min="1" max="1" width="255.6640625" style="27" bestFit="1" customWidth="1"/>
    <col min="2" max="16384" width="2.6640625" style="27"/>
  </cols>
  <sheetData>
    <row r="1" spans="1:32" ht="13.5" customHeight="1">
      <c r="A1" s="27" t="s">
        <v>807</v>
      </c>
    </row>
    <row r="2" spans="1:32" ht="13.5" customHeight="1">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32" ht="13.5" customHeight="1">
      <c r="A3" s="218" t="s">
        <v>1259</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1:32" ht="13.5" customHeight="1">
      <c r="A4" s="156" t="s">
        <v>806</v>
      </c>
    </row>
    <row r="5" spans="1:32" ht="13.5" customHeight="1">
      <c r="A5" s="157" t="str">
        <f>"[size=150][b]"&amp;IF(Basics!L19="","",Basics!L19)&amp;"[/b]"</f>
        <v>[size=150][b]Beauty[/b]</v>
      </c>
    </row>
    <row r="6" spans="1:32" ht="13.5" customHeight="1">
      <c r="A6" s="157" t="str">
        <f>"[b]"&amp;"PL"&amp;Basics!U6&amp;"[/b][/size]"</f>
        <v>[b]PL9[/b][/size]</v>
      </c>
    </row>
    <row r="7" spans="1:32" ht="13.5" customHeight="1">
      <c r="A7" s="157"/>
    </row>
    <row r="8" spans="1:32" ht="13.5" customHeight="1">
      <c r="A8" s="157" t="s">
        <v>788</v>
      </c>
    </row>
    <row r="9" spans="1:32" ht="13.5" customHeight="1">
      <c r="A9" s="157" t="str">
        <f>"Strength "&amp;Strength&amp;", Stamina "&amp;Stamina&amp;", Agility "&amp;Agility&amp;", Dexterity "&amp;Dexterity&amp;", Fighting "&amp;Fighting&amp;", Intellect "&amp;Intellect&amp;", Awareness "&amp;Awareness&amp;", Presence "&amp;Presence</f>
        <v>Strength 0, Stamina 2, Agility 1, Dexterity 1, Fighting 2, Intellect 2, Awareness 2, Presence 8</v>
      </c>
    </row>
    <row r="10" spans="1:32" ht="13.5" customHeight="1">
      <c r="A10" s="157"/>
    </row>
    <row r="11" spans="1:32" ht="13.5" customHeight="1">
      <c r="A11" s="157" t="s">
        <v>789</v>
      </c>
    </row>
    <row r="12" spans="1:32" ht="12.75" customHeight="1">
      <c r="A12" s="158" t="str">
        <f>Powers!CP176</f>
        <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row>
    <row r="13" spans="1:32" ht="13.5" customHeight="1">
      <c r="A13" s="157"/>
    </row>
    <row r="14" spans="1:32" ht="13.5" customHeight="1">
      <c r="A14" s="157" t="s">
        <v>794</v>
      </c>
    </row>
    <row r="15" spans="1:32" ht="13.5" customHeight="1">
      <c r="A15" s="157" t="str">
        <f>Equip!DO167</f>
        <v/>
      </c>
    </row>
    <row r="16" spans="1:32" ht="13.5" customHeight="1">
      <c r="A16" s="157"/>
    </row>
    <row r="17" spans="1:1" ht="13.5" customHeight="1">
      <c r="A17" s="157" t="s">
        <v>911</v>
      </c>
    </row>
    <row r="18" spans="1:1" ht="13.5" customHeight="1">
      <c r="A18" s="157" t="str">
        <f>Adv!DA41</f>
        <v>Defensive Roll 6, Benefit 3 [Yakuza Leader], Attractive 2, Fascinate 2 [Persuasion/Deception], Languages 3 [Japanese, English, Various], Connected, Well-Informed</v>
      </c>
    </row>
    <row r="19" spans="1:1" ht="13.5" customHeight="1">
      <c r="A19" s="157"/>
    </row>
    <row r="20" spans="1:1" ht="13.5" customHeight="1">
      <c r="A20" s="157" t="s">
        <v>795</v>
      </c>
    </row>
    <row r="21" spans="1:1" ht="13.5" customHeight="1">
      <c r="A21" s="157" t="str">
        <f>Skills!BN34</f>
        <v>Athletics  (+0), Deception 8 (+16), Expertise: Underworld 10 (+12), Insight 14 (+16), Intimidation 4 (+12), Perception 8 (+10), Persuasion 8 (+16), Ranged Combat: firearms 8 (+9), Sleight of Hand 6 (+7), Stealth  (+1)</v>
      </c>
    </row>
    <row r="22" spans="1:1" ht="13.5" customHeight="1">
      <c r="A22" s="157"/>
    </row>
    <row r="23" spans="1:1" ht="13.5" customHeight="1">
      <c r="A23" s="157" t="s">
        <v>797</v>
      </c>
    </row>
    <row r="24" spans="1:1" ht="13.5" customHeight="1">
      <c r="A24" s="157" t="str">
        <f>"Initiative "&amp;IF(Abilities!AR14&lt;0,"-","+")&amp;Abilities!AR14</f>
        <v>Initiative +1</v>
      </c>
    </row>
    <row r="25" spans="1:1" ht="13.5" customHeight="1">
      <c r="A25" s="159" t="str">
        <f>Calc!BS15</f>
        <v>Pistol +9, Damage 3</v>
      </c>
    </row>
    <row r="26" spans="1:1" ht="13.5" customHeight="1">
      <c r="A26" s="157"/>
    </row>
    <row r="27" spans="1:1" ht="13.5" customHeight="1">
      <c r="A27" s="157" t="s">
        <v>799</v>
      </c>
    </row>
    <row r="28" spans="1:1" ht="13.5" customHeight="1">
      <c r="A28" s="157" t="str">
        <f>"Dodge "&amp;Abilities!AR7&amp;", Parry "&amp;Abilities!AR9</f>
        <v>Dodge 10, Parry 10</v>
      </c>
    </row>
    <row r="29" spans="1:1" ht="13.5" customHeight="1">
      <c r="A29" s="157" t="str">
        <f>"Toughness "&amp;Custom!BJ41&amp;IF(Custom!CE41="",""," (Def Roll "&amp;Custom!CE41&amp;")")&amp;", Fortitude "&amp;Abilities!AR8&amp;", Will "&amp;Abilities!AR11</f>
        <v>Toughness 8 (Def Roll 6), Fortitude 8, Will 10</v>
      </c>
    </row>
    <row r="30" spans="1:1" ht="13.5" customHeight="1">
      <c r="A30" s="157"/>
    </row>
    <row r="31" spans="1:1" ht="13.5" customHeight="1">
      <c r="A31" s="157" t="s">
        <v>800</v>
      </c>
    </row>
    <row r="32" spans="1:1" ht="13.5" customHeight="1">
      <c r="A32" s="157" t="str">
        <f>"[b]Abilities "&amp;Abilities!BF6&amp;" + Powers "&amp;Abilities!BF10&amp;" + Advantages "&amp;Abilities!BF9&amp;" + Skills "&amp;Abilities!BF8&amp;" + Defenses "&amp;Abilities!BF7&amp;" = Total "&amp;Abilities!BF14&amp;"[/b]"</f>
        <v>[b]Abilities 36 + Powers 0 + Advantages 18 + Skills 33 + Defenses 31 = Total 118[/b]</v>
      </c>
    </row>
    <row r="33" spans="1:1" ht="13.5" customHeight="1">
      <c r="A33" s="157"/>
    </row>
    <row r="34" spans="1:1" ht="13.5" customHeight="1">
      <c r="A34" s="157" t="s">
        <v>801</v>
      </c>
    </row>
    <row r="35" spans="1:1" ht="13.5" customHeight="1">
      <c r="A35" s="159" t="str">
        <f>Details!BD6</f>
        <v/>
      </c>
    </row>
    <row r="36" spans="1:1" ht="13.5" customHeight="1">
      <c r="A36" s="157"/>
    </row>
    <row r="37" spans="1:1" ht="13.5" customHeight="1">
      <c r="A37" s="157" t="s">
        <v>804</v>
      </c>
    </row>
    <row r="38" spans="1:1" ht="13.5" customHeight="1">
      <c r="A38" s="159" t="str">
        <f>IF(Details!C17="","",Details!C17)</f>
        <v/>
      </c>
    </row>
    <row r="39" spans="1:1" ht="13.5" customHeight="1">
      <c r="A39" s="157"/>
    </row>
    <row r="40" spans="1:1" ht="13.5" customHeight="1">
      <c r="A40" s="160" t="s">
        <v>805</v>
      </c>
    </row>
    <row r="42" spans="1:1" ht="13.5" customHeight="1">
      <c r="A42" s="218" t="s">
        <v>1260</v>
      </c>
    </row>
    <row r="43" spans="1:1" ht="13.5" customHeight="1">
      <c r="A43" s="156" t="s">
        <v>806</v>
      </c>
    </row>
    <row r="44" spans="1:1" ht="13.5" customHeight="1">
      <c r="A44" s="27" t="str">
        <f>"="&amp;IF(Basics!L19="","",Basics!L19)&amp;"="</f>
        <v>=Beauty=</v>
      </c>
    </row>
    <row r="45" spans="1:1" ht="13.5" customHeight="1">
      <c r="A45" s="27" t="str">
        <f>"==="&amp;"PL"&amp;Basics!U6&amp;"==="</f>
        <v>===PL9===</v>
      </c>
    </row>
    <row r="46" spans="1:1" ht="13.5" customHeight="1">
      <c r="A46" s="41" t="s">
        <v>1261</v>
      </c>
    </row>
    <row r="47" spans="1:1" ht="13.5" customHeight="1">
      <c r="A47" s="27" t="str">
        <f>"Strength "&amp;Strength&amp;", Stamina "&amp;Stamina&amp;", Agility "&amp;Agility&amp;", Dexterity "&amp;Dexterity&amp;", Fighting "&amp;Fighting&amp;", Intellect "&amp;Intellect&amp;", Awareness "&amp;Awareness&amp;", Presence "&amp;Presence</f>
        <v>Strength 0, Stamina 2, Agility 1, Dexterity 1, Fighting 2, Intellect 2, Awareness 2, Presence 8</v>
      </c>
    </row>
    <row r="49" spans="1:1" ht="13.5" customHeight="1">
      <c r="A49" s="41" t="s">
        <v>1262</v>
      </c>
    </row>
    <row r="50" spans="1:1" ht="13.5" customHeight="1">
      <c r="A50" s="219" t="str">
        <f>Powers!DH176</f>
        <v/>
      </c>
    </row>
    <row r="52" spans="1:1" ht="13.5" customHeight="1">
      <c r="A52" s="41" t="s">
        <v>1263</v>
      </c>
    </row>
    <row r="53" spans="1:1" ht="13.5" customHeight="1">
      <c r="A53" s="219" t="str">
        <f>Equip!FT167</f>
        <v/>
      </c>
    </row>
    <row r="55" spans="1:1" ht="13.5" customHeight="1">
      <c r="A55" s="41" t="s">
        <v>1267</v>
      </c>
    </row>
    <row r="56" spans="1:1" ht="13.5" customHeight="1">
      <c r="A56" s="27" t="str">
        <f>Adv!DM41</f>
        <v>Defensive Roll 6, Benefit 3 [Yakuza Leader], Attractive 2, Fascinate 2 [Persuasion/Deception], Languages 3 [Japanese, English, Various], Connected, Well-Informed</v>
      </c>
    </row>
    <row r="58" spans="1:1" ht="13.5" customHeight="1">
      <c r="A58" s="41" t="s">
        <v>1269</v>
      </c>
    </row>
    <row r="59" spans="1:1" ht="13.5" customHeight="1">
      <c r="A59" s="27" t="str">
        <f>Skills!BN34</f>
        <v>Athletics  (+0), Deception 8 (+16), Expertise: Underworld 10 (+12), Insight 14 (+16), Intimidation 4 (+12), Perception 8 (+10), Persuasion 8 (+16), Ranged Combat: firearms 8 (+9), Sleight of Hand 6 (+7), Stealth  (+1)</v>
      </c>
    </row>
    <row r="61" spans="1:1" ht="13.5" customHeight="1">
      <c r="A61" s="41" t="s">
        <v>1270</v>
      </c>
    </row>
    <row r="62" spans="1:1" ht="13.5" customHeight="1">
      <c r="A62" s="27" t="str">
        <f>"Initiative "&amp;IF(Abilities!AR14&lt;0,"-","+")&amp;Abilities!AR14</f>
        <v>Initiative +1</v>
      </c>
    </row>
    <row r="63" spans="1:1" ht="13.5" customHeight="1">
      <c r="A63" s="219" t="str">
        <f>Calc!BS15</f>
        <v>Pistol +9, Damage 3</v>
      </c>
    </row>
    <row r="65" spans="1:1" ht="13.5" customHeight="1">
      <c r="A65" s="41" t="s">
        <v>1271</v>
      </c>
    </row>
    <row r="66" spans="1:1" ht="13.5" customHeight="1">
      <c r="A66" s="27" t="str">
        <f>"Dodge "&amp;Abilities!AR7&amp;", Parry "&amp;Abilities!AR9</f>
        <v>Dodge 10, Parry 10</v>
      </c>
    </row>
    <row r="67" spans="1:1" ht="13.5" customHeight="1">
      <c r="A67" s="27" t="str">
        <f>"Toughness "&amp;Custom!BJ41&amp;IF(Custom!CE41="",""," (Def Roll "&amp;Custom!CE41&amp;")")&amp;", Fortitude "&amp;Abilities!AR8&amp;", Will "&amp;Abilities!AR11</f>
        <v>Toughness 8 (Def Roll 6), Fortitude 8, Will 10</v>
      </c>
    </row>
    <row r="69" spans="1:1" ht="13.5" customHeight="1">
      <c r="A69" s="41" t="s">
        <v>1272</v>
      </c>
    </row>
    <row r="70" spans="1:1" ht="13.5" customHeight="1">
      <c r="A70" s="27" t="str">
        <f>"===Abilities "&amp;Abilities!BF6&amp;" + Powers "&amp;Abilities!BF10&amp;" + Advantages "&amp;Abilities!BF9&amp;" + Skills "&amp;Abilities!BF8&amp;" + Defenses "&amp;Abilities!BF7&amp;" = Total "&amp;Abilities!BF14&amp;"==="</f>
        <v>===Abilities 36 + Powers 0 + Advantages 18 + Skills 33 + Defenses 31 = Total 118===</v>
      </c>
    </row>
    <row r="72" spans="1:1" ht="13.5" customHeight="1">
      <c r="A72" s="41" t="s">
        <v>1273</v>
      </c>
    </row>
    <row r="73" spans="1:1" ht="13.5" customHeight="1">
      <c r="A73" s="27" t="str">
        <f>Details!BD6</f>
        <v/>
      </c>
    </row>
    <row r="75" spans="1:1" ht="13.5" customHeight="1">
      <c r="A75" s="41" t="s">
        <v>1274</v>
      </c>
    </row>
    <row r="76" spans="1:1" ht="13.5" customHeight="1">
      <c r="A76" s="27" t="str">
        <f>IF(Details!C17="","",Details!C17)</f>
        <v/>
      </c>
    </row>
    <row r="77" spans="1:1" ht="13.5" customHeight="1">
      <c r="A77" s="157"/>
    </row>
    <row r="78" spans="1:1" ht="13.5" customHeight="1">
      <c r="A78" s="160" t="s">
        <v>805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Y58"/>
  <sheetViews>
    <sheetView showGridLines="0" zoomScaleNormal="100" workbookViewId="0">
      <selection activeCell="AQ28" sqref="AQ28:AW28"/>
    </sheetView>
  </sheetViews>
  <sheetFormatPr defaultColWidth="2.6640625" defaultRowHeight="13.5" customHeight="1"/>
  <cols>
    <col min="1" max="16384" width="2.6640625" style="27"/>
  </cols>
  <sheetData>
    <row r="1" spans="1:77" ht="13.5" customHeight="1" thickBot="1">
      <c r="A1" s="165" t="s">
        <v>935</v>
      </c>
      <c r="B1" s="168"/>
      <c r="C1" s="168"/>
      <c r="D1" s="168"/>
      <c r="E1" s="168"/>
      <c r="F1" s="168"/>
      <c r="G1" s="168"/>
      <c r="H1" s="168"/>
      <c r="I1" s="168"/>
      <c r="J1" s="168"/>
      <c r="K1" s="168"/>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7"/>
      <c r="AM1" s="197" t="s">
        <v>1030</v>
      </c>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7"/>
      <c r="BS1" s="197" t="s">
        <v>1208</v>
      </c>
      <c r="BT1" s="214"/>
      <c r="BU1" s="214"/>
      <c r="BV1" s="214"/>
      <c r="BW1" s="214"/>
      <c r="BX1" s="214"/>
      <c r="BY1" s="215"/>
    </row>
    <row r="2" spans="1:77" ht="13.5" customHeight="1" thickBot="1">
      <c r="A2" s="181" t="s">
        <v>936</v>
      </c>
      <c r="B2" s="169"/>
      <c r="C2" s="169"/>
      <c r="D2" s="169"/>
      <c r="E2" s="169"/>
      <c r="F2" s="170" t="s">
        <v>965</v>
      </c>
      <c r="G2" s="169"/>
      <c r="H2" s="169"/>
      <c r="I2" s="169"/>
      <c r="J2" s="169"/>
      <c r="K2" s="169"/>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82"/>
      <c r="AM2" s="633" t="s">
        <v>635</v>
      </c>
      <c r="AN2" s="628"/>
      <c r="AO2" s="628"/>
      <c r="AP2" s="628"/>
      <c r="AQ2" s="628" t="s">
        <v>1031</v>
      </c>
      <c r="AR2" s="628"/>
      <c r="AS2" s="628"/>
      <c r="AT2" s="628"/>
      <c r="AU2" s="628"/>
      <c r="AV2" s="628"/>
      <c r="AW2" s="628"/>
      <c r="AX2" s="628" t="s">
        <v>1069</v>
      </c>
      <c r="AY2" s="628"/>
      <c r="AZ2" s="628"/>
      <c r="BA2" s="628"/>
      <c r="BB2" s="628"/>
      <c r="BC2" s="628"/>
      <c r="BD2" s="628"/>
      <c r="BE2" s="628" t="s">
        <v>1070</v>
      </c>
      <c r="BF2" s="628"/>
      <c r="BG2" s="628"/>
      <c r="BH2" s="628"/>
      <c r="BI2" s="628"/>
      <c r="BJ2" s="628"/>
      <c r="BK2" s="628"/>
      <c r="BL2" s="628" t="s">
        <v>1071</v>
      </c>
      <c r="BM2" s="628"/>
      <c r="BN2" s="628"/>
      <c r="BO2" s="628"/>
      <c r="BP2" s="628"/>
      <c r="BQ2" s="628"/>
      <c r="BR2" s="629"/>
      <c r="BS2" s="216" t="s">
        <v>1209</v>
      </c>
      <c r="BT2" s="171"/>
      <c r="BU2" s="171"/>
      <c r="BV2" s="171"/>
      <c r="BW2" s="171"/>
      <c r="BX2" s="171"/>
      <c r="BY2" s="182"/>
    </row>
    <row r="3" spans="1:77" ht="13.5" customHeight="1">
      <c r="A3" s="183" t="s">
        <v>937</v>
      </c>
      <c r="B3" s="172"/>
      <c r="C3" s="172"/>
      <c r="D3" s="172"/>
      <c r="E3" s="172"/>
      <c r="F3" s="173" t="s">
        <v>966</v>
      </c>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84"/>
      <c r="AM3" s="634">
        <v>-5</v>
      </c>
      <c r="AN3" s="635"/>
      <c r="AO3" s="635"/>
      <c r="AP3" s="635"/>
      <c r="AQ3" s="630" t="s">
        <v>1145</v>
      </c>
      <c r="AR3" s="630"/>
      <c r="AS3" s="630"/>
      <c r="AT3" s="630"/>
      <c r="AU3" s="630"/>
      <c r="AV3" s="630"/>
      <c r="AW3" s="630"/>
      <c r="AX3" s="630" t="s">
        <v>1072</v>
      </c>
      <c r="AY3" s="630"/>
      <c r="AZ3" s="630"/>
      <c r="BA3" s="630"/>
      <c r="BB3" s="630"/>
      <c r="BC3" s="630"/>
      <c r="BD3" s="630"/>
      <c r="BE3" s="630" t="s">
        <v>1108</v>
      </c>
      <c r="BF3" s="630"/>
      <c r="BG3" s="630"/>
      <c r="BH3" s="630"/>
      <c r="BI3" s="630"/>
      <c r="BJ3" s="630"/>
      <c r="BK3" s="630"/>
      <c r="BL3" s="630" t="s">
        <v>1144</v>
      </c>
      <c r="BM3" s="630"/>
      <c r="BN3" s="630"/>
      <c r="BO3" s="630"/>
      <c r="BP3" s="630"/>
      <c r="BQ3" s="630"/>
      <c r="BR3" s="631"/>
      <c r="BS3" s="212" t="s">
        <v>1210</v>
      </c>
      <c r="BT3" s="172"/>
      <c r="BU3" s="172"/>
      <c r="BV3" s="172"/>
      <c r="BW3" s="172"/>
      <c r="BX3" s="172"/>
      <c r="BY3" s="184"/>
    </row>
    <row r="4" spans="1:77" ht="13.5" customHeight="1">
      <c r="A4" s="183" t="s">
        <v>938</v>
      </c>
      <c r="B4" s="172"/>
      <c r="C4" s="172"/>
      <c r="D4" s="172"/>
      <c r="E4" s="172"/>
      <c r="F4" s="173" t="s">
        <v>967</v>
      </c>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84"/>
      <c r="AM4" s="626">
        <v>-4</v>
      </c>
      <c r="AN4" s="627"/>
      <c r="AO4" s="627"/>
      <c r="AP4" s="627"/>
      <c r="AQ4" s="624" t="s">
        <v>1032</v>
      </c>
      <c r="AR4" s="624"/>
      <c r="AS4" s="624"/>
      <c r="AT4" s="624"/>
      <c r="AU4" s="624"/>
      <c r="AV4" s="624"/>
      <c r="AW4" s="624"/>
      <c r="AX4" s="624" t="s">
        <v>1073</v>
      </c>
      <c r="AY4" s="624"/>
      <c r="AZ4" s="624"/>
      <c r="BA4" s="624"/>
      <c r="BB4" s="624"/>
      <c r="BC4" s="624"/>
      <c r="BD4" s="624"/>
      <c r="BE4" s="624" t="s">
        <v>1109</v>
      </c>
      <c r="BF4" s="624"/>
      <c r="BG4" s="624"/>
      <c r="BH4" s="624"/>
      <c r="BI4" s="624"/>
      <c r="BJ4" s="624"/>
      <c r="BK4" s="624"/>
      <c r="BL4" s="624" t="s">
        <v>1146</v>
      </c>
      <c r="BM4" s="624"/>
      <c r="BN4" s="624"/>
      <c r="BO4" s="624"/>
      <c r="BP4" s="624"/>
      <c r="BQ4" s="624"/>
      <c r="BR4" s="625"/>
      <c r="BS4" s="212" t="s">
        <v>1211</v>
      </c>
      <c r="BT4" s="172"/>
      <c r="BU4" s="172"/>
      <c r="BV4" s="172"/>
      <c r="BW4" s="172"/>
      <c r="BX4" s="172"/>
      <c r="BY4" s="184"/>
    </row>
    <row r="5" spans="1:77" ht="13.5" customHeight="1">
      <c r="A5" s="183" t="s">
        <v>939</v>
      </c>
      <c r="B5" s="172"/>
      <c r="C5" s="172"/>
      <c r="D5" s="172"/>
      <c r="E5" s="172"/>
      <c r="F5" s="173" t="s">
        <v>968</v>
      </c>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84"/>
      <c r="AM5" s="626">
        <v>-3</v>
      </c>
      <c r="AN5" s="627"/>
      <c r="AO5" s="627"/>
      <c r="AP5" s="627"/>
      <c r="AQ5" s="624" t="s">
        <v>1033</v>
      </c>
      <c r="AR5" s="624"/>
      <c r="AS5" s="624"/>
      <c r="AT5" s="624"/>
      <c r="AU5" s="624"/>
      <c r="AV5" s="624"/>
      <c r="AW5" s="624"/>
      <c r="AX5" s="624" t="s">
        <v>1074</v>
      </c>
      <c r="AY5" s="624"/>
      <c r="AZ5" s="624"/>
      <c r="BA5" s="624"/>
      <c r="BB5" s="624"/>
      <c r="BC5" s="624"/>
      <c r="BD5" s="624"/>
      <c r="BE5" s="624" t="s">
        <v>1110</v>
      </c>
      <c r="BF5" s="624"/>
      <c r="BG5" s="624"/>
      <c r="BH5" s="624"/>
      <c r="BI5" s="624"/>
      <c r="BJ5" s="624"/>
      <c r="BK5" s="624"/>
      <c r="BL5" s="624" t="s">
        <v>1147</v>
      </c>
      <c r="BM5" s="624"/>
      <c r="BN5" s="624"/>
      <c r="BO5" s="624"/>
      <c r="BP5" s="624"/>
      <c r="BQ5" s="624"/>
      <c r="BR5" s="625"/>
      <c r="BS5" s="212" t="s">
        <v>1212</v>
      </c>
      <c r="BT5" s="172"/>
      <c r="BU5" s="172"/>
      <c r="BV5" s="172"/>
      <c r="BW5" s="172"/>
      <c r="BX5" s="172"/>
      <c r="BY5" s="184"/>
    </row>
    <row r="6" spans="1:77" ht="13.5" customHeight="1">
      <c r="A6" s="185" t="s">
        <v>940</v>
      </c>
      <c r="B6" s="179"/>
      <c r="C6" s="179"/>
      <c r="D6" s="179"/>
      <c r="E6" s="179"/>
      <c r="F6" s="180" t="s">
        <v>969</v>
      </c>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86"/>
      <c r="AM6" s="626">
        <v>-2</v>
      </c>
      <c r="AN6" s="627"/>
      <c r="AO6" s="627"/>
      <c r="AP6" s="627"/>
      <c r="AQ6" s="624" t="s">
        <v>1034</v>
      </c>
      <c r="AR6" s="624"/>
      <c r="AS6" s="624"/>
      <c r="AT6" s="624"/>
      <c r="AU6" s="624"/>
      <c r="AV6" s="624"/>
      <c r="AW6" s="624"/>
      <c r="AX6" s="624" t="s">
        <v>1075</v>
      </c>
      <c r="AY6" s="624"/>
      <c r="AZ6" s="624"/>
      <c r="BA6" s="624"/>
      <c r="BB6" s="624"/>
      <c r="BC6" s="624"/>
      <c r="BD6" s="624"/>
      <c r="BE6" s="624" t="s">
        <v>1111</v>
      </c>
      <c r="BF6" s="624"/>
      <c r="BG6" s="624"/>
      <c r="BH6" s="624"/>
      <c r="BI6" s="624"/>
      <c r="BJ6" s="624"/>
      <c r="BK6" s="624"/>
      <c r="BL6" s="624" t="s">
        <v>1148</v>
      </c>
      <c r="BM6" s="624"/>
      <c r="BN6" s="624"/>
      <c r="BO6" s="624"/>
      <c r="BP6" s="624"/>
      <c r="BQ6" s="624"/>
      <c r="BR6" s="625"/>
      <c r="BS6" s="212" t="s">
        <v>1213</v>
      </c>
      <c r="BT6" s="172"/>
      <c r="BU6" s="172"/>
      <c r="BV6" s="172"/>
      <c r="BW6" s="172"/>
      <c r="BX6" s="172"/>
      <c r="BY6" s="184"/>
    </row>
    <row r="7" spans="1:77" ht="13.5" customHeight="1">
      <c r="A7" s="187"/>
      <c r="B7" s="177"/>
      <c r="C7" s="177"/>
      <c r="D7" s="177"/>
      <c r="E7" s="177"/>
      <c r="F7" s="178" t="s">
        <v>970</v>
      </c>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c r="AH7" s="177"/>
      <c r="AI7" s="177"/>
      <c r="AJ7" s="177"/>
      <c r="AK7" s="177"/>
      <c r="AL7" s="188"/>
      <c r="AM7" s="626">
        <v>-1</v>
      </c>
      <c r="AN7" s="627"/>
      <c r="AO7" s="627"/>
      <c r="AP7" s="627"/>
      <c r="AQ7" s="624" t="s">
        <v>1035</v>
      </c>
      <c r="AR7" s="624"/>
      <c r="AS7" s="624"/>
      <c r="AT7" s="624"/>
      <c r="AU7" s="624"/>
      <c r="AV7" s="624"/>
      <c r="AW7" s="624"/>
      <c r="AX7" s="624" t="s">
        <v>1076</v>
      </c>
      <c r="AY7" s="624"/>
      <c r="AZ7" s="624"/>
      <c r="BA7" s="624"/>
      <c r="BB7" s="624"/>
      <c r="BC7" s="624"/>
      <c r="BD7" s="624"/>
      <c r="BE7" s="624" t="s">
        <v>1112</v>
      </c>
      <c r="BF7" s="624"/>
      <c r="BG7" s="624"/>
      <c r="BH7" s="624"/>
      <c r="BI7" s="624"/>
      <c r="BJ7" s="624"/>
      <c r="BK7" s="624"/>
      <c r="BL7" s="624" t="s">
        <v>1149</v>
      </c>
      <c r="BM7" s="624"/>
      <c r="BN7" s="624"/>
      <c r="BO7" s="624"/>
      <c r="BP7" s="624"/>
      <c r="BQ7" s="624"/>
      <c r="BR7" s="625"/>
      <c r="BS7" s="212" t="s">
        <v>1214</v>
      </c>
      <c r="BT7" s="172"/>
      <c r="BU7" s="172"/>
      <c r="BV7" s="172"/>
      <c r="BW7" s="172"/>
      <c r="BX7" s="172"/>
      <c r="BY7" s="184"/>
    </row>
    <row r="8" spans="1:77" ht="13.5" customHeight="1">
      <c r="A8" s="183" t="s">
        <v>941</v>
      </c>
      <c r="B8" s="172"/>
      <c r="C8" s="172"/>
      <c r="D8" s="172"/>
      <c r="E8" s="172"/>
      <c r="F8" s="174" t="s">
        <v>971</v>
      </c>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172"/>
      <c r="AK8" s="172"/>
      <c r="AL8" s="184"/>
      <c r="AM8" s="626">
        <v>0</v>
      </c>
      <c r="AN8" s="627"/>
      <c r="AO8" s="627"/>
      <c r="AP8" s="627"/>
      <c r="AQ8" s="624" t="s">
        <v>1037</v>
      </c>
      <c r="AR8" s="624"/>
      <c r="AS8" s="624"/>
      <c r="AT8" s="624"/>
      <c r="AU8" s="624"/>
      <c r="AV8" s="624"/>
      <c r="AW8" s="624"/>
      <c r="AX8" s="624" t="s">
        <v>1077</v>
      </c>
      <c r="AY8" s="624"/>
      <c r="AZ8" s="624"/>
      <c r="BA8" s="624"/>
      <c r="BB8" s="624"/>
      <c r="BC8" s="624"/>
      <c r="BD8" s="624"/>
      <c r="BE8" s="624" t="s">
        <v>1113</v>
      </c>
      <c r="BF8" s="624"/>
      <c r="BG8" s="624"/>
      <c r="BH8" s="624"/>
      <c r="BI8" s="624"/>
      <c r="BJ8" s="624"/>
      <c r="BK8" s="624"/>
      <c r="BL8" s="624" t="s">
        <v>1150</v>
      </c>
      <c r="BM8" s="624"/>
      <c r="BN8" s="624"/>
      <c r="BO8" s="624"/>
      <c r="BP8" s="624"/>
      <c r="BQ8" s="624"/>
      <c r="BR8" s="625"/>
      <c r="BS8" s="212" t="s">
        <v>1215</v>
      </c>
      <c r="BT8" s="172"/>
      <c r="BU8" s="172"/>
      <c r="BV8" s="172"/>
      <c r="BW8" s="172"/>
      <c r="BX8" s="172"/>
      <c r="BY8" s="184"/>
    </row>
    <row r="9" spans="1:77" ht="13.5" customHeight="1">
      <c r="A9" s="183" t="s">
        <v>942</v>
      </c>
      <c r="B9" s="172"/>
      <c r="C9" s="172"/>
      <c r="D9" s="172"/>
      <c r="E9" s="172"/>
      <c r="F9" s="173" t="s">
        <v>972</v>
      </c>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2"/>
      <c r="AH9" s="172"/>
      <c r="AI9" s="172"/>
      <c r="AJ9" s="172"/>
      <c r="AK9" s="172"/>
      <c r="AL9" s="184"/>
      <c r="AM9" s="626">
        <v>1</v>
      </c>
      <c r="AN9" s="627"/>
      <c r="AO9" s="627"/>
      <c r="AP9" s="627"/>
      <c r="AQ9" s="624" t="s">
        <v>1038</v>
      </c>
      <c r="AR9" s="624"/>
      <c r="AS9" s="624"/>
      <c r="AT9" s="624"/>
      <c r="AU9" s="624"/>
      <c r="AV9" s="624"/>
      <c r="AW9" s="624"/>
      <c r="AX9" s="624" t="s">
        <v>1078</v>
      </c>
      <c r="AY9" s="624"/>
      <c r="AZ9" s="624"/>
      <c r="BA9" s="624"/>
      <c r="BB9" s="624"/>
      <c r="BC9" s="624"/>
      <c r="BD9" s="624"/>
      <c r="BE9" s="624" t="s">
        <v>1114</v>
      </c>
      <c r="BF9" s="624"/>
      <c r="BG9" s="624"/>
      <c r="BH9" s="624"/>
      <c r="BI9" s="624"/>
      <c r="BJ9" s="624"/>
      <c r="BK9" s="624"/>
      <c r="BL9" s="624" t="s">
        <v>1151</v>
      </c>
      <c r="BM9" s="624"/>
      <c r="BN9" s="624"/>
      <c r="BO9" s="624"/>
      <c r="BP9" s="624"/>
      <c r="BQ9" s="624"/>
      <c r="BR9" s="625"/>
      <c r="BS9" s="212" t="s">
        <v>1216</v>
      </c>
      <c r="BT9" s="172"/>
      <c r="BU9" s="172"/>
      <c r="BV9" s="172"/>
      <c r="BW9" s="172"/>
      <c r="BX9" s="172"/>
      <c r="BY9" s="184"/>
    </row>
    <row r="10" spans="1:77" ht="13.5" customHeight="1">
      <c r="A10" s="183" t="s">
        <v>943</v>
      </c>
      <c r="B10" s="172"/>
      <c r="C10" s="172"/>
      <c r="D10" s="172"/>
      <c r="E10" s="172"/>
      <c r="F10" s="173" t="s">
        <v>973</v>
      </c>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84"/>
      <c r="AM10" s="626">
        <v>2</v>
      </c>
      <c r="AN10" s="627"/>
      <c r="AO10" s="627"/>
      <c r="AP10" s="627"/>
      <c r="AQ10" s="624" t="s">
        <v>1039</v>
      </c>
      <c r="AR10" s="624"/>
      <c r="AS10" s="624"/>
      <c r="AT10" s="624"/>
      <c r="AU10" s="624"/>
      <c r="AV10" s="624"/>
      <c r="AW10" s="624"/>
      <c r="AX10" s="624" t="s">
        <v>1079</v>
      </c>
      <c r="AY10" s="624"/>
      <c r="AZ10" s="624"/>
      <c r="BA10" s="624"/>
      <c r="BB10" s="624"/>
      <c r="BC10" s="624"/>
      <c r="BD10" s="624"/>
      <c r="BE10" s="624" t="s">
        <v>1115</v>
      </c>
      <c r="BF10" s="624"/>
      <c r="BG10" s="624"/>
      <c r="BH10" s="624"/>
      <c r="BI10" s="624"/>
      <c r="BJ10" s="624"/>
      <c r="BK10" s="624"/>
      <c r="BL10" s="624" t="s">
        <v>1152</v>
      </c>
      <c r="BM10" s="624"/>
      <c r="BN10" s="624"/>
      <c r="BO10" s="624"/>
      <c r="BP10" s="624"/>
      <c r="BQ10" s="624"/>
      <c r="BR10" s="625"/>
      <c r="BS10" s="212" t="s">
        <v>1217</v>
      </c>
      <c r="BT10" s="172"/>
      <c r="BU10" s="172"/>
      <c r="BV10" s="172"/>
      <c r="BW10" s="172"/>
      <c r="BX10" s="172"/>
      <c r="BY10" s="184"/>
    </row>
    <row r="11" spans="1:77" ht="13.5" customHeight="1">
      <c r="A11" s="183" t="s">
        <v>944</v>
      </c>
      <c r="B11" s="172"/>
      <c r="C11" s="172"/>
      <c r="D11" s="172"/>
      <c r="E11" s="172"/>
      <c r="F11" s="173" t="s">
        <v>974</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84"/>
      <c r="AM11" s="626">
        <v>3</v>
      </c>
      <c r="AN11" s="627"/>
      <c r="AO11" s="627"/>
      <c r="AP11" s="627"/>
      <c r="AQ11" s="624" t="s">
        <v>1040</v>
      </c>
      <c r="AR11" s="624"/>
      <c r="AS11" s="624"/>
      <c r="AT11" s="624"/>
      <c r="AU11" s="624"/>
      <c r="AV11" s="624"/>
      <c r="AW11" s="624"/>
      <c r="AX11" s="624" t="s">
        <v>1080</v>
      </c>
      <c r="AY11" s="624"/>
      <c r="AZ11" s="624"/>
      <c r="BA11" s="624"/>
      <c r="BB11" s="624"/>
      <c r="BC11" s="624"/>
      <c r="BD11" s="624"/>
      <c r="BE11" s="624" t="s">
        <v>1116</v>
      </c>
      <c r="BF11" s="624"/>
      <c r="BG11" s="624"/>
      <c r="BH11" s="624"/>
      <c r="BI11" s="624"/>
      <c r="BJ11" s="624"/>
      <c r="BK11" s="624"/>
      <c r="BL11" s="624" t="s">
        <v>1153</v>
      </c>
      <c r="BM11" s="624"/>
      <c r="BN11" s="624"/>
      <c r="BO11" s="624"/>
      <c r="BP11" s="624"/>
      <c r="BQ11" s="624"/>
      <c r="BR11" s="625"/>
      <c r="BS11" s="212" t="s">
        <v>1218</v>
      </c>
      <c r="BT11" s="172"/>
      <c r="BU11" s="172"/>
      <c r="BV11" s="172"/>
      <c r="BW11" s="172"/>
      <c r="BX11" s="172"/>
      <c r="BY11" s="184"/>
    </row>
    <row r="12" spans="1:77" ht="13.5" customHeight="1">
      <c r="A12" s="183" t="s">
        <v>945</v>
      </c>
      <c r="B12" s="172"/>
      <c r="C12" s="172"/>
      <c r="D12" s="172"/>
      <c r="E12" s="172"/>
      <c r="F12" s="174" t="s">
        <v>975</v>
      </c>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84"/>
      <c r="AM12" s="626">
        <v>4</v>
      </c>
      <c r="AN12" s="627"/>
      <c r="AO12" s="627"/>
      <c r="AP12" s="627"/>
      <c r="AQ12" s="624" t="s">
        <v>1041</v>
      </c>
      <c r="AR12" s="624"/>
      <c r="AS12" s="624"/>
      <c r="AT12" s="624"/>
      <c r="AU12" s="624"/>
      <c r="AV12" s="624"/>
      <c r="AW12" s="624"/>
      <c r="AX12" s="624" t="s">
        <v>1081</v>
      </c>
      <c r="AY12" s="624"/>
      <c r="AZ12" s="624"/>
      <c r="BA12" s="624"/>
      <c r="BB12" s="624"/>
      <c r="BC12" s="624"/>
      <c r="BD12" s="624"/>
      <c r="BE12" s="624" t="s">
        <v>1117</v>
      </c>
      <c r="BF12" s="624"/>
      <c r="BG12" s="624"/>
      <c r="BH12" s="624"/>
      <c r="BI12" s="624"/>
      <c r="BJ12" s="624"/>
      <c r="BK12" s="624"/>
      <c r="BL12" s="624" t="s">
        <v>1154</v>
      </c>
      <c r="BM12" s="624"/>
      <c r="BN12" s="624"/>
      <c r="BO12" s="624"/>
      <c r="BP12" s="624"/>
      <c r="BQ12" s="624"/>
      <c r="BR12" s="625"/>
      <c r="BS12" s="212" t="s">
        <v>1219</v>
      </c>
      <c r="BT12" s="172"/>
      <c r="BU12" s="172"/>
      <c r="BV12" s="172"/>
      <c r="BW12" s="172"/>
      <c r="BX12" s="172"/>
      <c r="BY12" s="184"/>
    </row>
    <row r="13" spans="1:77" ht="13.5" customHeight="1">
      <c r="A13" s="183" t="s">
        <v>920</v>
      </c>
      <c r="B13" s="172"/>
      <c r="C13" s="172"/>
      <c r="D13" s="172"/>
      <c r="E13" s="172"/>
      <c r="F13" s="173" t="s">
        <v>976</v>
      </c>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84"/>
      <c r="AM13" s="626">
        <v>5</v>
      </c>
      <c r="AN13" s="627"/>
      <c r="AO13" s="627"/>
      <c r="AP13" s="627"/>
      <c r="AQ13" s="624" t="s">
        <v>1042</v>
      </c>
      <c r="AR13" s="624"/>
      <c r="AS13" s="624"/>
      <c r="AT13" s="624"/>
      <c r="AU13" s="624"/>
      <c r="AV13" s="624"/>
      <c r="AW13" s="624"/>
      <c r="AX13" s="624" t="s">
        <v>1082</v>
      </c>
      <c r="AY13" s="624"/>
      <c r="AZ13" s="624"/>
      <c r="BA13" s="624"/>
      <c r="BB13" s="624"/>
      <c r="BC13" s="624"/>
      <c r="BD13" s="624"/>
      <c r="BE13" s="624" t="s">
        <v>1118</v>
      </c>
      <c r="BF13" s="624"/>
      <c r="BG13" s="624"/>
      <c r="BH13" s="624"/>
      <c r="BI13" s="624"/>
      <c r="BJ13" s="624"/>
      <c r="BK13" s="624"/>
      <c r="BL13" s="624" t="s">
        <v>1155</v>
      </c>
      <c r="BM13" s="624"/>
      <c r="BN13" s="624"/>
      <c r="BO13" s="624"/>
      <c r="BP13" s="624"/>
      <c r="BQ13" s="624"/>
      <c r="BR13" s="625"/>
      <c r="BS13" s="212" t="s">
        <v>1220</v>
      </c>
      <c r="BT13" s="172"/>
      <c r="BU13" s="172"/>
      <c r="BV13" s="172"/>
      <c r="BW13" s="172"/>
      <c r="BX13" s="172"/>
      <c r="BY13" s="184"/>
    </row>
    <row r="14" spans="1:77" ht="13.5" customHeight="1">
      <c r="A14" s="183" t="s">
        <v>946</v>
      </c>
      <c r="B14" s="172"/>
      <c r="C14" s="172"/>
      <c r="D14" s="172"/>
      <c r="E14" s="172"/>
      <c r="F14" s="173" t="s">
        <v>977</v>
      </c>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84"/>
      <c r="AM14" s="626">
        <v>6</v>
      </c>
      <c r="AN14" s="627"/>
      <c r="AO14" s="627"/>
      <c r="AP14" s="627"/>
      <c r="AQ14" s="624" t="s">
        <v>1043</v>
      </c>
      <c r="AR14" s="624"/>
      <c r="AS14" s="624"/>
      <c r="AT14" s="624"/>
      <c r="AU14" s="624"/>
      <c r="AV14" s="624"/>
      <c r="AW14" s="624"/>
      <c r="AX14" s="624" t="s">
        <v>1083</v>
      </c>
      <c r="AY14" s="624"/>
      <c r="AZ14" s="624"/>
      <c r="BA14" s="624"/>
      <c r="BB14" s="624"/>
      <c r="BC14" s="624"/>
      <c r="BD14" s="624"/>
      <c r="BE14" s="624" t="s">
        <v>1119</v>
      </c>
      <c r="BF14" s="624"/>
      <c r="BG14" s="624"/>
      <c r="BH14" s="624"/>
      <c r="BI14" s="624"/>
      <c r="BJ14" s="624"/>
      <c r="BK14" s="624"/>
      <c r="BL14" s="624" t="s">
        <v>1156</v>
      </c>
      <c r="BM14" s="624"/>
      <c r="BN14" s="624"/>
      <c r="BO14" s="624"/>
      <c r="BP14" s="624"/>
      <c r="BQ14" s="624"/>
      <c r="BR14" s="625"/>
      <c r="BS14" s="212" t="s">
        <v>1221</v>
      </c>
      <c r="BT14" s="172"/>
      <c r="BU14" s="172"/>
      <c r="BV14" s="172"/>
      <c r="BW14" s="172"/>
      <c r="BX14" s="172"/>
      <c r="BY14" s="184"/>
    </row>
    <row r="15" spans="1:77" ht="13.5" customHeight="1">
      <c r="A15" s="183" t="s">
        <v>947</v>
      </c>
      <c r="B15" s="172"/>
      <c r="C15" s="172"/>
      <c r="D15" s="172"/>
      <c r="E15" s="172"/>
      <c r="F15" s="173" t="s">
        <v>978</v>
      </c>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84"/>
      <c r="AM15" s="626">
        <v>7</v>
      </c>
      <c r="AN15" s="627"/>
      <c r="AO15" s="627"/>
      <c r="AP15" s="627"/>
      <c r="AQ15" s="624" t="s">
        <v>1044</v>
      </c>
      <c r="AR15" s="624"/>
      <c r="AS15" s="624"/>
      <c r="AT15" s="624"/>
      <c r="AU15" s="624"/>
      <c r="AV15" s="624"/>
      <c r="AW15" s="624"/>
      <c r="AX15" s="624" t="s">
        <v>1084</v>
      </c>
      <c r="AY15" s="624"/>
      <c r="AZ15" s="624"/>
      <c r="BA15" s="624"/>
      <c r="BB15" s="624"/>
      <c r="BC15" s="624"/>
      <c r="BD15" s="624"/>
      <c r="BE15" s="624" t="s">
        <v>1120</v>
      </c>
      <c r="BF15" s="624"/>
      <c r="BG15" s="624"/>
      <c r="BH15" s="624"/>
      <c r="BI15" s="624"/>
      <c r="BJ15" s="624"/>
      <c r="BK15" s="624"/>
      <c r="BL15" s="624" t="s">
        <v>1157</v>
      </c>
      <c r="BM15" s="624"/>
      <c r="BN15" s="624"/>
      <c r="BO15" s="624"/>
      <c r="BP15" s="624"/>
      <c r="BQ15" s="624"/>
      <c r="BR15" s="625"/>
      <c r="BS15" s="212" t="s">
        <v>1222</v>
      </c>
      <c r="BT15" s="172"/>
      <c r="BU15" s="172"/>
      <c r="BV15" s="172"/>
      <c r="BW15" s="172"/>
      <c r="BX15" s="172"/>
      <c r="BY15" s="184"/>
    </row>
    <row r="16" spans="1:77" ht="13.5" customHeight="1">
      <c r="A16" s="185" t="s">
        <v>948</v>
      </c>
      <c r="B16" s="179"/>
      <c r="C16" s="179"/>
      <c r="D16" s="179"/>
      <c r="E16" s="179"/>
      <c r="F16" s="180" t="s">
        <v>979</v>
      </c>
      <c r="G16" s="179"/>
      <c r="H16" s="179"/>
      <c r="I16" s="179"/>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86"/>
      <c r="AM16" s="626">
        <v>8</v>
      </c>
      <c r="AN16" s="627"/>
      <c r="AO16" s="627"/>
      <c r="AP16" s="627"/>
      <c r="AQ16" s="624" t="s">
        <v>1045</v>
      </c>
      <c r="AR16" s="624"/>
      <c r="AS16" s="624"/>
      <c r="AT16" s="624"/>
      <c r="AU16" s="624"/>
      <c r="AV16" s="624"/>
      <c r="AW16" s="624"/>
      <c r="AX16" s="624" t="s">
        <v>1085</v>
      </c>
      <c r="AY16" s="624"/>
      <c r="AZ16" s="624"/>
      <c r="BA16" s="624"/>
      <c r="BB16" s="624"/>
      <c r="BC16" s="624"/>
      <c r="BD16" s="624"/>
      <c r="BE16" s="624" t="s">
        <v>1121</v>
      </c>
      <c r="BF16" s="624"/>
      <c r="BG16" s="624"/>
      <c r="BH16" s="624"/>
      <c r="BI16" s="624"/>
      <c r="BJ16" s="624"/>
      <c r="BK16" s="624"/>
      <c r="BL16" s="624" t="s">
        <v>1158</v>
      </c>
      <c r="BM16" s="624"/>
      <c r="BN16" s="624"/>
      <c r="BO16" s="624"/>
      <c r="BP16" s="624"/>
      <c r="BQ16" s="624"/>
      <c r="BR16" s="625"/>
      <c r="BS16" s="212" t="s">
        <v>1223</v>
      </c>
      <c r="BT16" s="172"/>
      <c r="BU16" s="172"/>
      <c r="BV16" s="172"/>
      <c r="BW16" s="172"/>
      <c r="BX16" s="172"/>
      <c r="BY16" s="184"/>
    </row>
    <row r="17" spans="1:77" ht="13.5" customHeight="1">
      <c r="A17" s="187"/>
      <c r="B17" s="177"/>
      <c r="C17" s="177"/>
      <c r="D17" s="177"/>
      <c r="E17" s="177"/>
      <c r="F17" s="178" t="s">
        <v>980</v>
      </c>
      <c r="G17" s="177"/>
      <c r="H17" s="177"/>
      <c r="I17" s="177"/>
      <c r="J17" s="177"/>
      <c r="K17" s="177"/>
      <c r="L17" s="177"/>
      <c r="M17" s="177"/>
      <c r="N17" s="177"/>
      <c r="O17" s="177"/>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88"/>
      <c r="AM17" s="626">
        <v>9</v>
      </c>
      <c r="AN17" s="627"/>
      <c r="AO17" s="627"/>
      <c r="AP17" s="627"/>
      <c r="AQ17" s="624" t="s">
        <v>1046</v>
      </c>
      <c r="AR17" s="624"/>
      <c r="AS17" s="624"/>
      <c r="AT17" s="624"/>
      <c r="AU17" s="624"/>
      <c r="AV17" s="624"/>
      <c r="AW17" s="624"/>
      <c r="AX17" s="624" t="s">
        <v>1086</v>
      </c>
      <c r="AY17" s="624"/>
      <c r="AZ17" s="624"/>
      <c r="BA17" s="624"/>
      <c r="BB17" s="624"/>
      <c r="BC17" s="624"/>
      <c r="BD17" s="624"/>
      <c r="BE17" s="624" t="s">
        <v>1122</v>
      </c>
      <c r="BF17" s="624"/>
      <c r="BG17" s="624"/>
      <c r="BH17" s="624"/>
      <c r="BI17" s="624"/>
      <c r="BJ17" s="624"/>
      <c r="BK17" s="624"/>
      <c r="BL17" s="624" t="s">
        <v>1159</v>
      </c>
      <c r="BM17" s="624"/>
      <c r="BN17" s="624"/>
      <c r="BO17" s="624"/>
      <c r="BP17" s="624"/>
      <c r="BQ17" s="624"/>
      <c r="BR17" s="625"/>
      <c r="BS17" s="212" t="s">
        <v>1224</v>
      </c>
      <c r="BT17" s="172"/>
      <c r="BU17" s="172"/>
      <c r="BV17" s="172"/>
      <c r="BW17" s="172"/>
      <c r="BX17" s="172"/>
      <c r="BY17" s="184"/>
    </row>
    <row r="18" spans="1:77" ht="13.5" customHeight="1">
      <c r="A18" s="183" t="s">
        <v>949</v>
      </c>
      <c r="B18" s="172"/>
      <c r="C18" s="172"/>
      <c r="D18" s="172"/>
      <c r="E18" s="172"/>
      <c r="F18" s="173" t="s">
        <v>981</v>
      </c>
      <c r="G18" s="172"/>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84"/>
      <c r="AM18" s="626">
        <v>10</v>
      </c>
      <c r="AN18" s="627"/>
      <c r="AO18" s="627"/>
      <c r="AP18" s="627"/>
      <c r="AQ18" s="624" t="s">
        <v>1047</v>
      </c>
      <c r="AR18" s="624"/>
      <c r="AS18" s="624"/>
      <c r="AT18" s="624"/>
      <c r="AU18" s="624"/>
      <c r="AV18" s="624"/>
      <c r="AW18" s="624"/>
      <c r="AX18" s="624" t="s">
        <v>1087</v>
      </c>
      <c r="AY18" s="624"/>
      <c r="AZ18" s="624"/>
      <c r="BA18" s="624"/>
      <c r="BB18" s="624"/>
      <c r="BC18" s="624"/>
      <c r="BD18" s="624"/>
      <c r="BE18" s="624" t="s">
        <v>1123</v>
      </c>
      <c r="BF18" s="624"/>
      <c r="BG18" s="624"/>
      <c r="BH18" s="624"/>
      <c r="BI18" s="624"/>
      <c r="BJ18" s="624"/>
      <c r="BK18" s="624"/>
      <c r="BL18" s="624" t="s">
        <v>1160</v>
      </c>
      <c r="BM18" s="624"/>
      <c r="BN18" s="624"/>
      <c r="BO18" s="624"/>
      <c r="BP18" s="624"/>
      <c r="BQ18" s="624"/>
      <c r="BR18" s="625"/>
      <c r="BS18" s="212" t="s">
        <v>1225</v>
      </c>
      <c r="BT18" s="172"/>
      <c r="BU18" s="172"/>
      <c r="BV18" s="172"/>
      <c r="BW18" s="172"/>
      <c r="BX18" s="172"/>
      <c r="BY18" s="184"/>
    </row>
    <row r="19" spans="1:77" ht="13.5" customHeight="1" thickBot="1">
      <c r="A19" s="189" t="s">
        <v>950</v>
      </c>
      <c r="B19" s="175"/>
      <c r="C19" s="175"/>
      <c r="D19" s="175"/>
      <c r="E19" s="175"/>
      <c r="F19" s="176" t="s">
        <v>982</v>
      </c>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90"/>
      <c r="AM19" s="626">
        <v>11</v>
      </c>
      <c r="AN19" s="627"/>
      <c r="AO19" s="627"/>
      <c r="AP19" s="627"/>
      <c r="AQ19" s="624" t="s">
        <v>1048</v>
      </c>
      <c r="AR19" s="624"/>
      <c r="AS19" s="624"/>
      <c r="AT19" s="624"/>
      <c r="AU19" s="624"/>
      <c r="AV19" s="624"/>
      <c r="AW19" s="624"/>
      <c r="AX19" s="624" t="s">
        <v>1088</v>
      </c>
      <c r="AY19" s="624"/>
      <c r="AZ19" s="624"/>
      <c r="BA19" s="624"/>
      <c r="BB19" s="624"/>
      <c r="BC19" s="624"/>
      <c r="BD19" s="624"/>
      <c r="BE19" s="624" t="s">
        <v>1124</v>
      </c>
      <c r="BF19" s="624"/>
      <c r="BG19" s="624"/>
      <c r="BH19" s="624"/>
      <c r="BI19" s="624"/>
      <c r="BJ19" s="624"/>
      <c r="BK19" s="624"/>
      <c r="BL19" s="624" t="s">
        <v>1161</v>
      </c>
      <c r="BM19" s="624"/>
      <c r="BN19" s="624"/>
      <c r="BO19" s="624"/>
      <c r="BP19" s="624"/>
      <c r="BQ19" s="624"/>
      <c r="BR19" s="625"/>
      <c r="BS19" s="212" t="s">
        <v>1226</v>
      </c>
      <c r="BT19" s="172"/>
      <c r="BU19" s="172"/>
      <c r="BV19" s="172"/>
      <c r="BW19" s="172"/>
      <c r="BX19" s="172"/>
      <c r="BY19" s="184"/>
    </row>
    <row r="20" spans="1:77" ht="13.5" customHeight="1" thickBot="1">
      <c r="A20" s="165" t="s">
        <v>951</v>
      </c>
      <c r="B20" s="166"/>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7"/>
      <c r="AM20" s="626">
        <v>12</v>
      </c>
      <c r="AN20" s="627"/>
      <c r="AO20" s="627"/>
      <c r="AP20" s="627"/>
      <c r="AQ20" s="624" t="s">
        <v>1049</v>
      </c>
      <c r="AR20" s="624"/>
      <c r="AS20" s="624"/>
      <c r="AT20" s="624"/>
      <c r="AU20" s="624"/>
      <c r="AV20" s="624"/>
      <c r="AW20" s="624"/>
      <c r="AX20" s="624" t="s">
        <v>1089</v>
      </c>
      <c r="AY20" s="624"/>
      <c r="AZ20" s="624"/>
      <c r="BA20" s="624"/>
      <c r="BB20" s="624"/>
      <c r="BC20" s="624"/>
      <c r="BD20" s="624"/>
      <c r="BE20" s="624" t="s">
        <v>1125</v>
      </c>
      <c r="BF20" s="624"/>
      <c r="BG20" s="624"/>
      <c r="BH20" s="624"/>
      <c r="BI20" s="624"/>
      <c r="BJ20" s="624"/>
      <c r="BK20" s="624"/>
      <c r="BL20" s="624" t="s">
        <v>1162</v>
      </c>
      <c r="BM20" s="624"/>
      <c r="BN20" s="624"/>
      <c r="BO20" s="624"/>
      <c r="BP20" s="624"/>
      <c r="BQ20" s="624"/>
      <c r="BR20" s="625"/>
      <c r="BS20" s="212" t="s">
        <v>1227</v>
      </c>
      <c r="BT20" s="172"/>
      <c r="BU20" s="172"/>
      <c r="BV20" s="172"/>
      <c r="BW20" s="172"/>
      <c r="BX20" s="172"/>
      <c r="BY20" s="184"/>
    </row>
    <row r="21" spans="1:77" ht="13.5" customHeight="1" thickBot="1">
      <c r="A21" s="181" t="s">
        <v>952</v>
      </c>
      <c r="B21" s="171"/>
      <c r="C21" s="171"/>
      <c r="D21" s="171"/>
      <c r="E21" s="171"/>
      <c r="F21" s="170" t="s">
        <v>983</v>
      </c>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82"/>
      <c r="AM21" s="626">
        <v>13</v>
      </c>
      <c r="AN21" s="627"/>
      <c r="AO21" s="627"/>
      <c r="AP21" s="627"/>
      <c r="AQ21" s="624" t="s">
        <v>1050</v>
      </c>
      <c r="AR21" s="624"/>
      <c r="AS21" s="624"/>
      <c r="AT21" s="624"/>
      <c r="AU21" s="624"/>
      <c r="AV21" s="624"/>
      <c r="AW21" s="624"/>
      <c r="AX21" s="624" t="s">
        <v>1090</v>
      </c>
      <c r="AY21" s="624"/>
      <c r="AZ21" s="624"/>
      <c r="BA21" s="624"/>
      <c r="BB21" s="624"/>
      <c r="BC21" s="624"/>
      <c r="BD21" s="624"/>
      <c r="BE21" s="624" t="s">
        <v>1126</v>
      </c>
      <c r="BF21" s="624"/>
      <c r="BG21" s="624"/>
      <c r="BH21" s="624"/>
      <c r="BI21" s="624"/>
      <c r="BJ21" s="624"/>
      <c r="BK21" s="624"/>
      <c r="BL21" s="624" t="s">
        <v>1163</v>
      </c>
      <c r="BM21" s="624"/>
      <c r="BN21" s="624"/>
      <c r="BO21" s="624"/>
      <c r="BP21" s="624"/>
      <c r="BQ21" s="624"/>
      <c r="BR21" s="625"/>
      <c r="BS21" s="213" t="s">
        <v>1228</v>
      </c>
      <c r="BT21" s="175"/>
      <c r="BU21" s="175"/>
      <c r="BV21" s="175"/>
      <c r="BW21" s="175"/>
      <c r="BX21" s="175"/>
      <c r="BY21" s="190"/>
    </row>
    <row r="22" spans="1:77" ht="13.5" customHeight="1" thickBot="1">
      <c r="A22" s="183" t="s">
        <v>953</v>
      </c>
      <c r="B22" s="172"/>
      <c r="C22" s="172"/>
      <c r="D22" s="172"/>
      <c r="E22" s="172"/>
      <c r="F22" s="173" t="s">
        <v>984</v>
      </c>
      <c r="G22" s="172"/>
      <c r="H22" s="172"/>
      <c r="I22" s="172"/>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84"/>
      <c r="AM22" s="626">
        <v>14</v>
      </c>
      <c r="AN22" s="627"/>
      <c r="AO22" s="627"/>
      <c r="AP22" s="627"/>
      <c r="AQ22" s="624" t="s">
        <v>1051</v>
      </c>
      <c r="AR22" s="624"/>
      <c r="AS22" s="624"/>
      <c r="AT22" s="624"/>
      <c r="AU22" s="624"/>
      <c r="AV22" s="624"/>
      <c r="AW22" s="624"/>
      <c r="AX22" s="624" t="s">
        <v>1091</v>
      </c>
      <c r="AY22" s="624"/>
      <c r="AZ22" s="624"/>
      <c r="BA22" s="624"/>
      <c r="BB22" s="624"/>
      <c r="BC22" s="624"/>
      <c r="BD22" s="624"/>
      <c r="BE22" s="624" t="s">
        <v>1127</v>
      </c>
      <c r="BF22" s="624"/>
      <c r="BG22" s="624"/>
      <c r="BH22" s="624"/>
      <c r="BI22" s="624"/>
      <c r="BJ22" s="624"/>
      <c r="BK22" s="624"/>
      <c r="BL22" s="624" t="s">
        <v>1164</v>
      </c>
      <c r="BM22" s="624"/>
      <c r="BN22" s="624"/>
      <c r="BO22" s="624"/>
      <c r="BP22" s="624"/>
      <c r="BQ22" s="624"/>
      <c r="BR22" s="625"/>
      <c r="BS22" s="197" t="s">
        <v>1229</v>
      </c>
      <c r="BT22" s="214"/>
      <c r="BU22" s="214"/>
      <c r="BV22" s="214"/>
      <c r="BW22" s="214"/>
      <c r="BX22" s="214"/>
      <c r="BY22" s="215"/>
    </row>
    <row r="23" spans="1:77" ht="13.5" customHeight="1">
      <c r="A23" s="183" t="s">
        <v>954</v>
      </c>
      <c r="B23" s="172"/>
      <c r="C23" s="172"/>
      <c r="D23" s="172"/>
      <c r="E23" s="172"/>
      <c r="F23" s="173" t="s">
        <v>985</v>
      </c>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84"/>
      <c r="AM23" s="626">
        <v>15</v>
      </c>
      <c r="AN23" s="627"/>
      <c r="AO23" s="627"/>
      <c r="AP23" s="627"/>
      <c r="AQ23" s="624" t="s">
        <v>1052</v>
      </c>
      <c r="AR23" s="624"/>
      <c r="AS23" s="624"/>
      <c r="AT23" s="624"/>
      <c r="AU23" s="624"/>
      <c r="AV23" s="624"/>
      <c r="AW23" s="624"/>
      <c r="AX23" s="624" t="s">
        <v>1092</v>
      </c>
      <c r="AY23" s="624"/>
      <c r="AZ23" s="624"/>
      <c r="BA23" s="624"/>
      <c r="BB23" s="624"/>
      <c r="BC23" s="624"/>
      <c r="BD23" s="624"/>
      <c r="BE23" s="624" t="s">
        <v>1128</v>
      </c>
      <c r="BF23" s="624"/>
      <c r="BG23" s="624"/>
      <c r="BH23" s="624"/>
      <c r="BI23" s="624"/>
      <c r="BJ23" s="624"/>
      <c r="BK23" s="624"/>
      <c r="BL23" s="624" t="s">
        <v>1165</v>
      </c>
      <c r="BM23" s="624"/>
      <c r="BN23" s="624"/>
      <c r="BO23" s="624"/>
      <c r="BP23" s="624"/>
      <c r="BQ23" s="624"/>
      <c r="BR23" s="625"/>
      <c r="BS23" s="216" t="s">
        <v>233</v>
      </c>
      <c r="BT23" s="171"/>
      <c r="BU23" s="171"/>
      <c r="BV23" s="171"/>
      <c r="BW23" s="171"/>
      <c r="BX23" s="171"/>
      <c r="BY23" s="182"/>
    </row>
    <row r="24" spans="1:77" ht="13.5" customHeight="1">
      <c r="A24" s="183" t="s">
        <v>955</v>
      </c>
      <c r="B24" s="172"/>
      <c r="C24" s="172"/>
      <c r="D24" s="172"/>
      <c r="E24" s="172"/>
      <c r="F24" s="173" t="s">
        <v>986</v>
      </c>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84"/>
      <c r="AM24" s="626">
        <v>16</v>
      </c>
      <c r="AN24" s="627"/>
      <c r="AO24" s="627"/>
      <c r="AP24" s="627"/>
      <c r="AQ24" s="624" t="s">
        <v>1053</v>
      </c>
      <c r="AR24" s="624"/>
      <c r="AS24" s="624"/>
      <c r="AT24" s="624"/>
      <c r="AU24" s="624"/>
      <c r="AV24" s="624"/>
      <c r="AW24" s="624"/>
      <c r="AX24" s="624" t="s">
        <v>1093</v>
      </c>
      <c r="AY24" s="624"/>
      <c r="AZ24" s="624"/>
      <c r="BA24" s="624"/>
      <c r="BB24" s="624"/>
      <c r="BC24" s="624"/>
      <c r="BD24" s="624"/>
      <c r="BE24" s="624" t="s">
        <v>1129</v>
      </c>
      <c r="BF24" s="624"/>
      <c r="BG24" s="624"/>
      <c r="BH24" s="624"/>
      <c r="BI24" s="624"/>
      <c r="BJ24" s="624"/>
      <c r="BK24" s="624"/>
      <c r="BL24" s="624" t="s">
        <v>1166</v>
      </c>
      <c r="BM24" s="624"/>
      <c r="BN24" s="624"/>
      <c r="BO24" s="624"/>
      <c r="BP24" s="624"/>
      <c r="BQ24" s="624"/>
      <c r="BR24" s="625"/>
      <c r="BS24" s="212" t="s">
        <v>1230</v>
      </c>
      <c r="BT24" s="172"/>
      <c r="BU24" s="172"/>
      <c r="BV24" s="172"/>
      <c r="BW24" s="172"/>
      <c r="BX24" s="172"/>
      <c r="BY24" s="184"/>
    </row>
    <row r="25" spans="1:77" ht="13.5" customHeight="1">
      <c r="A25" s="185" t="s">
        <v>956</v>
      </c>
      <c r="B25" s="179"/>
      <c r="C25" s="179"/>
      <c r="D25" s="179"/>
      <c r="E25" s="179"/>
      <c r="F25" s="180" t="s">
        <v>987</v>
      </c>
      <c r="G25" s="179"/>
      <c r="H25" s="179"/>
      <c r="I25" s="179"/>
      <c r="J25" s="179"/>
      <c r="K25" s="179"/>
      <c r="L25" s="179"/>
      <c r="M25" s="179"/>
      <c r="N25" s="179"/>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86"/>
      <c r="AM25" s="626">
        <v>17</v>
      </c>
      <c r="AN25" s="627"/>
      <c r="AO25" s="627"/>
      <c r="AP25" s="627"/>
      <c r="AQ25" s="624" t="s">
        <v>1054</v>
      </c>
      <c r="AR25" s="624"/>
      <c r="AS25" s="624"/>
      <c r="AT25" s="624"/>
      <c r="AU25" s="624"/>
      <c r="AV25" s="624"/>
      <c r="AW25" s="624"/>
      <c r="AX25" s="624" t="s">
        <v>1094</v>
      </c>
      <c r="AY25" s="624"/>
      <c r="AZ25" s="624"/>
      <c r="BA25" s="624"/>
      <c r="BB25" s="624"/>
      <c r="BC25" s="624"/>
      <c r="BD25" s="624"/>
      <c r="BE25" s="624" t="s">
        <v>1130</v>
      </c>
      <c r="BF25" s="624"/>
      <c r="BG25" s="624"/>
      <c r="BH25" s="624"/>
      <c r="BI25" s="624"/>
      <c r="BJ25" s="624"/>
      <c r="BK25" s="624"/>
      <c r="BL25" s="624" t="s">
        <v>1167</v>
      </c>
      <c r="BM25" s="624"/>
      <c r="BN25" s="624"/>
      <c r="BO25" s="624"/>
      <c r="BP25" s="624"/>
      <c r="BQ25" s="624"/>
      <c r="BR25" s="625"/>
      <c r="BS25" s="212" t="s">
        <v>237</v>
      </c>
      <c r="BT25" s="172"/>
      <c r="BU25" s="172"/>
      <c r="BV25" s="172"/>
      <c r="BW25" s="172"/>
      <c r="BX25" s="172"/>
      <c r="BY25" s="184"/>
    </row>
    <row r="26" spans="1:77" ht="13.5" customHeight="1">
      <c r="A26" s="196"/>
      <c r="B26" s="19"/>
      <c r="C26" s="19"/>
      <c r="D26" s="19"/>
      <c r="E26" s="19"/>
      <c r="F26" s="2" t="s">
        <v>988</v>
      </c>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20"/>
      <c r="AM26" s="626">
        <v>18</v>
      </c>
      <c r="AN26" s="627"/>
      <c r="AO26" s="627"/>
      <c r="AP26" s="627"/>
      <c r="AQ26" s="624" t="s">
        <v>1055</v>
      </c>
      <c r="AR26" s="624"/>
      <c r="AS26" s="624"/>
      <c r="AT26" s="624"/>
      <c r="AU26" s="624"/>
      <c r="AV26" s="624"/>
      <c r="AW26" s="624"/>
      <c r="AX26" s="624" t="s">
        <v>1095</v>
      </c>
      <c r="AY26" s="624"/>
      <c r="AZ26" s="624"/>
      <c r="BA26" s="624"/>
      <c r="BB26" s="624"/>
      <c r="BC26" s="624"/>
      <c r="BD26" s="624"/>
      <c r="BE26" s="624" t="s">
        <v>1131</v>
      </c>
      <c r="BF26" s="624"/>
      <c r="BG26" s="624"/>
      <c r="BH26" s="624"/>
      <c r="BI26" s="624"/>
      <c r="BJ26" s="624"/>
      <c r="BK26" s="624"/>
      <c r="BL26" s="624" t="s">
        <v>1168</v>
      </c>
      <c r="BM26" s="624"/>
      <c r="BN26" s="624"/>
      <c r="BO26" s="624"/>
      <c r="BP26" s="624"/>
      <c r="BQ26" s="624"/>
      <c r="BR26" s="625"/>
      <c r="BS26" s="212" t="s">
        <v>1231</v>
      </c>
      <c r="BT26" s="172"/>
      <c r="BU26" s="172"/>
      <c r="BV26" s="172"/>
      <c r="BW26" s="172"/>
      <c r="BX26" s="172"/>
      <c r="BY26" s="184"/>
    </row>
    <row r="27" spans="1:77" ht="13.5" customHeight="1">
      <c r="A27" s="187"/>
      <c r="B27" s="177"/>
      <c r="C27" s="177"/>
      <c r="D27" s="177"/>
      <c r="E27" s="177"/>
      <c r="F27" s="178" t="s">
        <v>989</v>
      </c>
      <c r="G27" s="177"/>
      <c r="H27" s="177"/>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88"/>
      <c r="AM27" s="626">
        <v>19</v>
      </c>
      <c r="AN27" s="627"/>
      <c r="AO27" s="627"/>
      <c r="AP27" s="627"/>
      <c r="AQ27" s="624" t="s">
        <v>1056</v>
      </c>
      <c r="AR27" s="624"/>
      <c r="AS27" s="624"/>
      <c r="AT27" s="624"/>
      <c r="AU27" s="624"/>
      <c r="AV27" s="624"/>
      <c r="AW27" s="624"/>
      <c r="AX27" s="624" t="s">
        <v>1096</v>
      </c>
      <c r="AY27" s="624"/>
      <c r="AZ27" s="624"/>
      <c r="BA27" s="624"/>
      <c r="BB27" s="624"/>
      <c r="BC27" s="624"/>
      <c r="BD27" s="624"/>
      <c r="BE27" s="624" t="s">
        <v>1132</v>
      </c>
      <c r="BF27" s="624"/>
      <c r="BG27" s="624"/>
      <c r="BH27" s="624"/>
      <c r="BI27" s="624"/>
      <c r="BJ27" s="624"/>
      <c r="BK27" s="624"/>
      <c r="BL27" s="624" t="s">
        <v>1169</v>
      </c>
      <c r="BM27" s="624"/>
      <c r="BN27" s="624"/>
      <c r="BO27" s="624"/>
      <c r="BP27" s="624"/>
      <c r="BQ27" s="624"/>
      <c r="BR27" s="625"/>
      <c r="BS27" s="212" t="s">
        <v>254</v>
      </c>
      <c r="BT27" s="172"/>
      <c r="BU27" s="172"/>
      <c r="BV27" s="172"/>
      <c r="BW27" s="172"/>
      <c r="BX27" s="172"/>
      <c r="BY27" s="184"/>
    </row>
    <row r="28" spans="1:77" ht="13.5" customHeight="1">
      <c r="A28" s="183" t="s">
        <v>957</v>
      </c>
      <c r="B28" s="172"/>
      <c r="C28" s="172"/>
      <c r="D28" s="172"/>
      <c r="E28" s="172"/>
      <c r="F28" s="173" t="s">
        <v>990</v>
      </c>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84"/>
      <c r="AM28" s="626">
        <v>20</v>
      </c>
      <c r="AN28" s="627"/>
      <c r="AO28" s="627"/>
      <c r="AP28" s="627"/>
      <c r="AQ28" s="624" t="s">
        <v>1057</v>
      </c>
      <c r="AR28" s="624"/>
      <c r="AS28" s="624"/>
      <c r="AT28" s="624"/>
      <c r="AU28" s="624"/>
      <c r="AV28" s="624"/>
      <c r="AW28" s="624"/>
      <c r="AX28" s="624" t="s">
        <v>1097</v>
      </c>
      <c r="AY28" s="624"/>
      <c r="AZ28" s="624"/>
      <c r="BA28" s="624"/>
      <c r="BB28" s="624"/>
      <c r="BC28" s="624"/>
      <c r="BD28" s="624"/>
      <c r="BE28" s="624" t="s">
        <v>1133</v>
      </c>
      <c r="BF28" s="624"/>
      <c r="BG28" s="624"/>
      <c r="BH28" s="624"/>
      <c r="BI28" s="624"/>
      <c r="BJ28" s="624"/>
      <c r="BK28" s="624"/>
      <c r="BL28" s="624" t="s">
        <v>1170</v>
      </c>
      <c r="BM28" s="624"/>
      <c r="BN28" s="624"/>
      <c r="BO28" s="624"/>
      <c r="BP28" s="624"/>
      <c r="BQ28" s="624"/>
      <c r="BR28" s="625"/>
      <c r="BS28" s="212" t="s">
        <v>1232</v>
      </c>
      <c r="BT28" s="172"/>
      <c r="BU28" s="172"/>
      <c r="BV28" s="172"/>
      <c r="BW28" s="172"/>
      <c r="BX28" s="172"/>
      <c r="BY28" s="184"/>
    </row>
    <row r="29" spans="1:77" ht="13.5" customHeight="1">
      <c r="A29" s="183" t="s">
        <v>958</v>
      </c>
      <c r="B29" s="172"/>
      <c r="C29" s="172"/>
      <c r="D29" s="172"/>
      <c r="E29" s="172"/>
      <c r="F29" s="173" t="s">
        <v>991</v>
      </c>
      <c r="G29" s="172"/>
      <c r="H29" s="172"/>
      <c r="I29" s="172"/>
      <c r="J29" s="172"/>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84"/>
      <c r="AM29" s="626">
        <v>21</v>
      </c>
      <c r="AN29" s="627"/>
      <c r="AO29" s="627"/>
      <c r="AP29" s="627"/>
      <c r="AQ29" s="624" t="s">
        <v>1058</v>
      </c>
      <c r="AR29" s="624"/>
      <c r="AS29" s="624"/>
      <c r="AT29" s="624"/>
      <c r="AU29" s="624"/>
      <c r="AV29" s="624"/>
      <c r="AW29" s="624"/>
      <c r="AX29" s="624" t="s">
        <v>1098</v>
      </c>
      <c r="AY29" s="624"/>
      <c r="AZ29" s="624"/>
      <c r="BA29" s="624"/>
      <c r="BB29" s="624"/>
      <c r="BC29" s="624"/>
      <c r="BD29" s="624"/>
      <c r="BE29" s="624" t="s">
        <v>1134</v>
      </c>
      <c r="BF29" s="624"/>
      <c r="BG29" s="624"/>
      <c r="BH29" s="624"/>
      <c r="BI29" s="624"/>
      <c r="BJ29" s="624"/>
      <c r="BK29" s="624"/>
      <c r="BL29" s="624" t="s">
        <v>1171</v>
      </c>
      <c r="BM29" s="624"/>
      <c r="BN29" s="624"/>
      <c r="BO29" s="624"/>
      <c r="BP29" s="624"/>
      <c r="BQ29" s="624"/>
      <c r="BR29" s="625"/>
      <c r="BS29" s="212" t="s">
        <v>1233</v>
      </c>
      <c r="BT29" s="172"/>
      <c r="BU29" s="172"/>
      <c r="BV29" s="172"/>
      <c r="BW29" s="172"/>
      <c r="BX29" s="172"/>
      <c r="BY29" s="184"/>
    </row>
    <row r="30" spans="1:77" ht="13.5" customHeight="1" thickBot="1">
      <c r="A30" s="183" t="s">
        <v>959</v>
      </c>
      <c r="B30" s="172"/>
      <c r="C30" s="172"/>
      <c r="D30" s="172"/>
      <c r="E30" s="172"/>
      <c r="F30" s="173" t="s">
        <v>992</v>
      </c>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84"/>
      <c r="AM30" s="626">
        <v>22</v>
      </c>
      <c r="AN30" s="627"/>
      <c r="AO30" s="627"/>
      <c r="AP30" s="627"/>
      <c r="AQ30" s="624" t="s">
        <v>1059</v>
      </c>
      <c r="AR30" s="624"/>
      <c r="AS30" s="624"/>
      <c r="AT30" s="624"/>
      <c r="AU30" s="624"/>
      <c r="AV30" s="624"/>
      <c r="AW30" s="624"/>
      <c r="AX30" s="624" t="s">
        <v>1099</v>
      </c>
      <c r="AY30" s="624"/>
      <c r="AZ30" s="624"/>
      <c r="BA30" s="624"/>
      <c r="BB30" s="624"/>
      <c r="BC30" s="624"/>
      <c r="BD30" s="624"/>
      <c r="BE30" s="624" t="s">
        <v>1135</v>
      </c>
      <c r="BF30" s="624"/>
      <c r="BG30" s="624"/>
      <c r="BH30" s="624"/>
      <c r="BI30" s="624"/>
      <c r="BJ30" s="624"/>
      <c r="BK30" s="624"/>
      <c r="BL30" s="624" t="s">
        <v>1172</v>
      </c>
      <c r="BM30" s="624"/>
      <c r="BN30" s="624"/>
      <c r="BO30" s="624"/>
      <c r="BP30" s="624"/>
      <c r="BQ30" s="624"/>
      <c r="BR30" s="625"/>
      <c r="BS30" s="213" t="s">
        <v>1234</v>
      </c>
      <c r="BT30" s="175"/>
      <c r="BU30" s="175"/>
      <c r="BV30" s="175"/>
      <c r="BW30" s="175"/>
      <c r="BX30" s="175"/>
      <c r="BY30" s="190"/>
    </row>
    <row r="31" spans="1:77" ht="13.5" customHeight="1">
      <c r="A31" s="183" t="s">
        <v>960</v>
      </c>
      <c r="B31" s="172"/>
      <c r="C31" s="172"/>
      <c r="D31" s="172"/>
      <c r="E31" s="172"/>
      <c r="F31" s="173" t="s">
        <v>993</v>
      </c>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84"/>
      <c r="AM31" s="626">
        <v>23</v>
      </c>
      <c r="AN31" s="627"/>
      <c r="AO31" s="627"/>
      <c r="AP31" s="627"/>
      <c r="AQ31" s="624" t="s">
        <v>1060</v>
      </c>
      <c r="AR31" s="624"/>
      <c r="AS31" s="624"/>
      <c r="AT31" s="624"/>
      <c r="AU31" s="624"/>
      <c r="AV31" s="624"/>
      <c r="AW31" s="624"/>
      <c r="AX31" s="624" t="s">
        <v>1100</v>
      </c>
      <c r="AY31" s="624"/>
      <c r="AZ31" s="624"/>
      <c r="BA31" s="624"/>
      <c r="BB31" s="624"/>
      <c r="BC31" s="624"/>
      <c r="BD31" s="624"/>
      <c r="BE31" s="624" t="s">
        <v>1136</v>
      </c>
      <c r="BF31" s="624"/>
      <c r="BG31" s="624"/>
      <c r="BH31" s="624"/>
      <c r="BI31" s="624"/>
      <c r="BJ31" s="624"/>
      <c r="BK31" s="624"/>
      <c r="BL31" s="624" t="s">
        <v>1173</v>
      </c>
      <c r="BM31" s="624"/>
      <c r="BN31" s="624"/>
      <c r="BO31" s="624"/>
      <c r="BP31" s="624"/>
      <c r="BQ31" s="624"/>
      <c r="BR31" s="625"/>
    </row>
    <row r="32" spans="1:77" ht="13.5" customHeight="1">
      <c r="A32" s="185" t="s">
        <v>961</v>
      </c>
      <c r="B32" s="179"/>
      <c r="C32" s="179"/>
      <c r="D32" s="179"/>
      <c r="E32" s="179"/>
      <c r="F32" s="180" t="s">
        <v>994</v>
      </c>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86"/>
      <c r="AM32" s="626">
        <v>24</v>
      </c>
      <c r="AN32" s="627"/>
      <c r="AO32" s="627"/>
      <c r="AP32" s="627"/>
      <c r="AQ32" s="624" t="s">
        <v>1061</v>
      </c>
      <c r="AR32" s="624"/>
      <c r="AS32" s="624"/>
      <c r="AT32" s="624"/>
      <c r="AU32" s="624"/>
      <c r="AV32" s="624"/>
      <c r="AW32" s="624"/>
      <c r="AX32" s="624" t="s">
        <v>1101</v>
      </c>
      <c r="AY32" s="624"/>
      <c r="AZ32" s="624"/>
      <c r="BA32" s="624"/>
      <c r="BB32" s="624"/>
      <c r="BC32" s="624"/>
      <c r="BD32" s="624"/>
      <c r="BE32" s="624" t="s">
        <v>1137</v>
      </c>
      <c r="BF32" s="624"/>
      <c r="BG32" s="624"/>
      <c r="BH32" s="624"/>
      <c r="BI32" s="624"/>
      <c r="BJ32" s="624"/>
      <c r="BK32" s="624"/>
      <c r="BL32" s="624" t="s">
        <v>1174</v>
      </c>
      <c r="BM32" s="624"/>
      <c r="BN32" s="624"/>
      <c r="BO32" s="624"/>
      <c r="BP32" s="624"/>
      <c r="BQ32" s="624"/>
      <c r="BR32" s="625"/>
    </row>
    <row r="33" spans="1:70" ht="13.5" customHeight="1">
      <c r="A33" s="187"/>
      <c r="B33" s="177"/>
      <c r="C33" s="177"/>
      <c r="D33" s="177"/>
      <c r="E33" s="177"/>
      <c r="F33" s="178" t="s">
        <v>995</v>
      </c>
      <c r="G33" s="177"/>
      <c r="H33" s="177"/>
      <c r="I33" s="177"/>
      <c r="J33" s="177"/>
      <c r="K33" s="177"/>
      <c r="L33" s="177"/>
      <c r="M33" s="177"/>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88"/>
      <c r="AM33" s="626">
        <v>25</v>
      </c>
      <c r="AN33" s="627"/>
      <c r="AO33" s="627"/>
      <c r="AP33" s="627"/>
      <c r="AQ33" s="624" t="s">
        <v>1062</v>
      </c>
      <c r="AR33" s="624"/>
      <c r="AS33" s="624"/>
      <c r="AT33" s="624"/>
      <c r="AU33" s="624"/>
      <c r="AV33" s="624"/>
      <c r="AW33" s="624"/>
      <c r="AX33" s="624" t="s">
        <v>1102</v>
      </c>
      <c r="AY33" s="624"/>
      <c r="AZ33" s="624"/>
      <c r="BA33" s="624"/>
      <c r="BB33" s="624"/>
      <c r="BC33" s="624"/>
      <c r="BD33" s="624"/>
      <c r="BE33" s="624" t="s">
        <v>1138</v>
      </c>
      <c r="BF33" s="624"/>
      <c r="BG33" s="624"/>
      <c r="BH33" s="624"/>
      <c r="BI33" s="624"/>
      <c r="BJ33" s="624"/>
      <c r="BK33" s="624"/>
      <c r="BL33" s="624" t="s">
        <v>1175</v>
      </c>
      <c r="BM33" s="624"/>
      <c r="BN33" s="624"/>
      <c r="BO33" s="624"/>
      <c r="BP33" s="624"/>
      <c r="BQ33" s="624"/>
      <c r="BR33" s="625"/>
    </row>
    <row r="34" spans="1:70" ht="13.5" customHeight="1">
      <c r="A34" s="183" t="s">
        <v>962</v>
      </c>
      <c r="B34" s="172"/>
      <c r="C34" s="172"/>
      <c r="D34" s="172"/>
      <c r="E34" s="172"/>
      <c r="F34" s="173" t="s">
        <v>996</v>
      </c>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84"/>
      <c r="AM34" s="626">
        <v>26</v>
      </c>
      <c r="AN34" s="627"/>
      <c r="AO34" s="627"/>
      <c r="AP34" s="627"/>
      <c r="AQ34" s="624" t="s">
        <v>1063</v>
      </c>
      <c r="AR34" s="624"/>
      <c r="AS34" s="624"/>
      <c r="AT34" s="624"/>
      <c r="AU34" s="624"/>
      <c r="AV34" s="624"/>
      <c r="AW34" s="624"/>
      <c r="AX34" s="624" t="s">
        <v>1103</v>
      </c>
      <c r="AY34" s="624"/>
      <c r="AZ34" s="624"/>
      <c r="BA34" s="624"/>
      <c r="BB34" s="624"/>
      <c r="BC34" s="624"/>
      <c r="BD34" s="624"/>
      <c r="BE34" s="624" t="s">
        <v>1139</v>
      </c>
      <c r="BF34" s="624"/>
      <c r="BG34" s="624"/>
      <c r="BH34" s="624"/>
      <c r="BI34" s="624"/>
      <c r="BJ34" s="624"/>
      <c r="BK34" s="624"/>
      <c r="BL34" s="624" t="s">
        <v>1176</v>
      </c>
      <c r="BM34" s="624"/>
      <c r="BN34" s="624"/>
      <c r="BO34" s="624"/>
      <c r="BP34" s="624"/>
      <c r="BQ34" s="624"/>
      <c r="BR34" s="625"/>
    </row>
    <row r="35" spans="1:70" ht="13.5" customHeight="1">
      <c r="A35" s="183" t="s">
        <v>963</v>
      </c>
      <c r="B35" s="172"/>
      <c r="C35" s="172"/>
      <c r="D35" s="172"/>
      <c r="E35" s="172"/>
      <c r="F35" s="173" t="s">
        <v>997</v>
      </c>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84"/>
      <c r="AM35" s="626">
        <v>27</v>
      </c>
      <c r="AN35" s="627"/>
      <c r="AO35" s="627"/>
      <c r="AP35" s="627"/>
      <c r="AQ35" s="624" t="s">
        <v>1064</v>
      </c>
      <c r="AR35" s="624"/>
      <c r="AS35" s="624"/>
      <c r="AT35" s="624"/>
      <c r="AU35" s="624"/>
      <c r="AV35" s="624"/>
      <c r="AW35" s="624"/>
      <c r="AX35" s="624" t="s">
        <v>1104</v>
      </c>
      <c r="AY35" s="624"/>
      <c r="AZ35" s="624"/>
      <c r="BA35" s="624"/>
      <c r="BB35" s="624"/>
      <c r="BC35" s="624"/>
      <c r="BD35" s="624"/>
      <c r="BE35" s="624" t="s">
        <v>1140</v>
      </c>
      <c r="BF35" s="624"/>
      <c r="BG35" s="624"/>
      <c r="BH35" s="624"/>
      <c r="BI35" s="624"/>
      <c r="BJ35" s="624"/>
      <c r="BK35" s="624"/>
      <c r="BL35" s="624" t="s">
        <v>1177</v>
      </c>
      <c r="BM35" s="624"/>
      <c r="BN35" s="624"/>
      <c r="BO35" s="624"/>
      <c r="BP35" s="624"/>
      <c r="BQ35" s="624"/>
      <c r="BR35" s="625"/>
    </row>
    <row r="36" spans="1:70" ht="13.5" customHeight="1" thickBot="1">
      <c r="A36" s="189" t="s">
        <v>964</v>
      </c>
      <c r="B36" s="175"/>
      <c r="C36" s="175"/>
      <c r="D36" s="175"/>
      <c r="E36" s="175"/>
      <c r="F36" s="176" t="s">
        <v>998</v>
      </c>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90"/>
      <c r="AM36" s="626">
        <v>28</v>
      </c>
      <c r="AN36" s="627"/>
      <c r="AO36" s="627"/>
      <c r="AP36" s="627"/>
      <c r="AQ36" s="624" t="s">
        <v>1065</v>
      </c>
      <c r="AR36" s="624"/>
      <c r="AS36" s="624"/>
      <c r="AT36" s="624"/>
      <c r="AU36" s="624"/>
      <c r="AV36" s="624"/>
      <c r="AW36" s="624"/>
      <c r="AX36" s="624" t="s">
        <v>1105</v>
      </c>
      <c r="AY36" s="624"/>
      <c r="AZ36" s="624"/>
      <c r="BA36" s="624"/>
      <c r="BB36" s="624"/>
      <c r="BC36" s="624"/>
      <c r="BD36" s="624"/>
      <c r="BE36" s="624" t="s">
        <v>1141</v>
      </c>
      <c r="BF36" s="624"/>
      <c r="BG36" s="624"/>
      <c r="BH36" s="624"/>
      <c r="BI36" s="624"/>
      <c r="BJ36" s="624"/>
      <c r="BK36" s="624"/>
      <c r="BL36" s="624" t="s">
        <v>1178</v>
      </c>
      <c r="BM36" s="624"/>
      <c r="BN36" s="624"/>
      <c r="BO36" s="624"/>
      <c r="BP36" s="624"/>
      <c r="BQ36" s="624"/>
      <c r="BR36" s="625"/>
    </row>
    <row r="37" spans="1:70" ht="13.5" customHeight="1" thickBot="1">
      <c r="A37" s="197" t="s">
        <v>999</v>
      </c>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7"/>
      <c r="AM37" s="626">
        <v>29</v>
      </c>
      <c r="AN37" s="627"/>
      <c r="AO37" s="627"/>
      <c r="AP37" s="627"/>
      <c r="AQ37" s="624" t="s">
        <v>1066</v>
      </c>
      <c r="AR37" s="624"/>
      <c r="AS37" s="624"/>
      <c r="AT37" s="624"/>
      <c r="AU37" s="624"/>
      <c r="AV37" s="624"/>
      <c r="AW37" s="624"/>
      <c r="AX37" s="624" t="s">
        <v>1106</v>
      </c>
      <c r="AY37" s="624"/>
      <c r="AZ37" s="624"/>
      <c r="BA37" s="624"/>
      <c r="BB37" s="624"/>
      <c r="BC37" s="624"/>
      <c r="BD37" s="624"/>
      <c r="BE37" s="624" t="s">
        <v>1142</v>
      </c>
      <c r="BF37" s="624"/>
      <c r="BG37" s="624"/>
      <c r="BH37" s="624"/>
      <c r="BI37" s="624"/>
      <c r="BJ37" s="624"/>
      <c r="BK37" s="624"/>
      <c r="BL37" s="624" t="s">
        <v>1179</v>
      </c>
      <c r="BM37" s="624"/>
      <c r="BN37" s="624"/>
      <c r="BO37" s="624"/>
      <c r="BP37" s="624"/>
      <c r="BQ37" s="624"/>
      <c r="BR37" s="625"/>
    </row>
    <row r="38" spans="1:70" ht="13.5" customHeight="1">
      <c r="A38" s="198" t="s">
        <v>415</v>
      </c>
      <c r="B38" s="199"/>
      <c r="C38" s="199"/>
      <c r="D38" s="199"/>
      <c r="E38" s="199"/>
      <c r="F38" s="200" t="s">
        <v>1003</v>
      </c>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201"/>
      <c r="AM38" s="626">
        <v>30</v>
      </c>
      <c r="AN38" s="627"/>
      <c r="AO38" s="627"/>
      <c r="AP38" s="627"/>
      <c r="AQ38" s="624" t="s">
        <v>1067</v>
      </c>
      <c r="AR38" s="624"/>
      <c r="AS38" s="624"/>
      <c r="AT38" s="624"/>
      <c r="AU38" s="624"/>
      <c r="AV38" s="624"/>
      <c r="AW38" s="624"/>
      <c r="AX38" s="624" t="s">
        <v>1107</v>
      </c>
      <c r="AY38" s="624"/>
      <c r="AZ38" s="624"/>
      <c r="BA38" s="624"/>
      <c r="BB38" s="624"/>
      <c r="BC38" s="624"/>
      <c r="BD38" s="624"/>
      <c r="BE38" s="624" t="s">
        <v>1143</v>
      </c>
      <c r="BF38" s="624"/>
      <c r="BG38" s="624"/>
      <c r="BH38" s="624"/>
      <c r="BI38" s="624"/>
      <c r="BJ38" s="624"/>
      <c r="BK38" s="624"/>
      <c r="BL38" s="624" t="s">
        <v>1180</v>
      </c>
      <c r="BM38" s="624"/>
      <c r="BN38" s="624"/>
      <c r="BO38" s="624"/>
      <c r="BP38" s="624"/>
      <c r="BQ38" s="624"/>
      <c r="BR38" s="625"/>
    </row>
    <row r="39" spans="1:70" ht="13.5" customHeight="1">
      <c r="A39" s="202" t="s">
        <v>1000</v>
      </c>
      <c r="B39" s="29"/>
      <c r="C39" s="29"/>
      <c r="D39" s="29"/>
      <c r="E39" s="29"/>
      <c r="F39" s="203" t="s">
        <v>1004</v>
      </c>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04"/>
      <c r="AM39" s="632" t="s">
        <v>1036</v>
      </c>
      <c r="AN39" s="627"/>
      <c r="AO39" s="627"/>
      <c r="AP39" s="627"/>
      <c r="AQ39" s="624" t="s">
        <v>1068</v>
      </c>
      <c r="AR39" s="624"/>
      <c r="AS39" s="624"/>
      <c r="AT39" s="624"/>
      <c r="AU39" s="624"/>
      <c r="AV39" s="624"/>
      <c r="AW39" s="624"/>
      <c r="AX39" s="624" t="s">
        <v>1068</v>
      </c>
      <c r="AY39" s="624"/>
      <c r="AZ39" s="624"/>
      <c r="BA39" s="624"/>
      <c r="BB39" s="624"/>
      <c r="BC39" s="624"/>
      <c r="BD39" s="624"/>
      <c r="BE39" s="624" t="s">
        <v>1068</v>
      </c>
      <c r="BF39" s="624"/>
      <c r="BG39" s="624"/>
      <c r="BH39" s="624"/>
      <c r="BI39" s="624"/>
      <c r="BJ39" s="624"/>
      <c r="BK39" s="624"/>
      <c r="BL39" s="624" t="s">
        <v>1068</v>
      </c>
      <c r="BM39" s="624"/>
      <c r="BN39" s="624"/>
      <c r="BO39" s="624"/>
      <c r="BP39" s="624"/>
      <c r="BQ39" s="624"/>
      <c r="BR39" s="625"/>
    </row>
    <row r="40" spans="1:70" ht="13.5" customHeight="1">
      <c r="A40" s="202" t="s">
        <v>867</v>
      </c>
      <c r="B40" s="29"/>
      <c r="C40" s="29"/>
      <c r="D40" s="29"/>
      <c r="E40" s="29"/>
      <c r="F40" s="203" t="s">
        <v>1005</v>
      </c>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04"/>
      <c r="AM40" s="268" t="s">
        <v>1181</v>
      </c>
      <c r="AN40" s="269"/>
      <c r="AO40" s="269"/>
      <c r="AP40" s="269"/>
      <c r="AQ40" s="269"/>
      <c r="AR40" s="269"/>
      <c r="AS40" s="269"/>
      <c r="AT40" s="269"/>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70"/>
    </row>
    <row r="41" spans="1:70" ht="13.5" customHeight="1">
      <c r="A41" s="208" t="s">
        <v>1001</v>
      </c>
      <c r="B41" s="209"/>
      <c r="C41" s="209"/>
      <c r="D41" s="209"/>
      <c r="E41" s="209"/>
      <c r="F41" s="210" t="s">
        <v>1006</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11"/>
      <c r="AM41" s="268" t="s">
        <v>1182</v>
      </c>
      <c r="AN41" s="269"/>
      <c r="AO41" s="269"/>
      <c r="AP41" s="269"/>
      <c r="AQ41" s="269"/>
      <c r="AR41" s="269"/>
      <c r="AS41" s="269"/>
      <c r="AT41" s="269"/>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70"/>
    </row>
    <row r="42" spans="1:70" ht="13.5" customHeight="1" thickBot="1">
      <c r="A42" s="205"/>
      <c r="B42" s="28"/>
      <c r="C42" s="28"/>
      <c r="D42" s="28"/>
      <c r="E42" s="28"/>
      <c r="F42" s="206" t="s">
        <v>1007</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07"/>
      <c r="AM42" s="401" t="s">
        <v>1183</v>
      </c>
      <c r="AN42" s="262"/>
      <c r="AO42" s="262"/>
      <c r="AP42" s="262"/>
      <c r="AQ42" s="262"/>
      <c r="AR42" s="262"/>
      <c r="AS42" s="262"/>
      <c r="AT42" s="262"/>
      <c r="AU42" s="262"/>
      <c r="AV42" s="262"/>
      <c r="AW42" s="262"/>
      <c r="AX42" s="262"/>
      <c r="AY42" s="262"/>
      <c r="AZ42" s="262"/>
      <c r="BA42" s="262"/>
      <c r="BB42" s="262"/>
      <c r="BC42" s="262"/>
      <c r="BD42" s="262"/>
      <c r="BE42" s="262"/>
      <c r="BF42" s="262"/>
      <c r="BG42" s="262"/>
      <c r="BH42" s="262"/>
      <c r="BI42" s="262"/>
      <c r="BJ42" s="262"/>
      <c r="BK42" s="262"/>
      <c r="BL42" s="262"/>
      <c r="BM42" s="262"/>
      <c r="BN42" s="262"/>
      <c r="BO42" s="262"/>
      <c r="BP42" s="262"/>
      <c r="BQ42" s="262"/>
      <c r="BR42" s="623"/>
    </row>
    <row r="43" spans="1:70" ht="13.5" customHeight="1" thickBot="1">
      <c r="A43" s="208" t="s">
        <v>418</v>
      </c>
      <c r="B43" s="209"/>
      <c r="C43" s="209"/>
      <c r="D43" s="209"/>
      <c r="E43" s="209"/>
      <c r="F43" s="210" t="s">
        <v>1008</v>
      </c>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11"/>
      <c r="AM43" s="197" t="s">
        <v>1184</v>
      </c>
      <c r="AN43" s="166"/>
      <c r="AO43" s="166"/>
      <c r="AP43" s="166"/>
      <c r="AQ43" s="166"/>
      <c r="AR43" s="166"/>
      <c r="AS43" s="166"/>
      <c r="AT43" s="197" t="s">
        <v>1195</v>
      </c>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7"/>
    </row>
    <row r="44" spans="1:70" ht="13.5" customHeight="1">
      <c r="A44" s="205"/>
      <c r="B44" s="28"/>
      <c r="C44" s="28"/>
      <c r="D44" s="28"/>
      <c r="E44" s="28"/>
      <c r="F44" s="206" t="s">
        <v>1009</v>
      </c>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07"/>
      <c r="AM44" s="191" t="s">
        <v>1185</v>
      </c>
      <c r="AN44" s="171"/>
      <c r="AO44" s="171"/>
      <c r="AP44" s="171"/>
      <c r="AQ44" s="171"/>
      <c r="AR44" s="171"/>
      <c r="AS44" s="171"/>
      <c r="AT44" s="217" t="s">
        <v>203</v>
      </c>
      <c r="AU44" s="19"/>
      <c r="AV44" s="19"/>
      <c r="AW44" s="19"/>
      <c r="AX44" s="2" t="s">
        <v>1196</v>
      </c>
      <c r="AY44" s="19"/>
      <c r="AZ44" s="19"/>
      <c r="BA44" s="19"/>
      <c r="BB44" s="19"/>
      <c r="BC44" s="19"/>
      <c r="BD44" s="19"/>
      <c r="BE44" s="19"/>
      <c r="BF44" s="19"/>
      <c r="BG44" s="19"/>
      <c r="BH44" s="19"/>
      <c r="BI44" s="19"/>
      <c r="BJ44" s="19"/>
      <c r="BK44" s="19"/>
      <c r="BL44" s="19"/>
      <c r="BM44" s="19"/>
      <c r="BN44" s="19"/>
      <c r="BO44" s="19"/>
      <c r="BP44" s="19"/>
      <c r="BQ44" s="19"/>
      <c r="BR44" s="20"/>
    </row>
    <row r="45" spans="1:70" ht="13.5" customHeight="1">
      <c r="A45" s="202" t="s">
        <v>1002</v>
      </c>
      <c r="B45" s="29"/>
      <c r="C45" s="29"/>
      <c r="D45" s="29"/>
      <c r="E45" s="29"/>
      <c r="F45" s="203" t="s">
        <v>1010</v>
      </c>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04"/>
      <c r="AM45" s="212" t="s">
        <v>1186</v>
      </c>
      <c r="AN45" s="172"/>
      <c r="AO45" s="172"/>
      <c r="AP45" s="172"/>
      <c r="AQ45" s="172"/>
      <c r="AR45" s="172"/>
      <c r="AS45" s="172"/>
      <c r="AT45" s="217" t="s">
        <v>204</v>
      </c>
      <c r="AU45" s="19"/>
      <c r="AV45" s="19"/>
      <c r="AW45" s="19"/>
      <c r="AX45" s="2" t="s">
        <v>1197</v>
      </c>
      <c r="AY45" s="19"/>
      <c r="AZ45" s="19"/>
      <c r="BA45" s="19"/>
      <c r="BB45" s="19"/>
      <c r="BC45" s="19"/>
      <c r="BD45" s="19"/>
      <c r="BE45" s="19"/>
      <c r="BF45" s="19"/>
      <c r="BG45" s="19"/>
      <c r="BH45" s="19"/>
      <c r="BI45" s="19"/>
      <c r="BJ45" s="19"/>
      <c r="BK45" s="19"/>
      <c r="BL45" s="19"/>
      <c r="BM45" s="19"/>
      <c r="BN45" s="19"/>
      <c r="BO45" s="19"/>
      <c r="BP45" s="19"/>
      <c r="BQ45" s="19"/>
      <c r="BR45" s="20"/>
    </row>
    <row r="46" spans="1:70" ht="13.5" customHeight="1">
      <c r="A46" s="202" t="s">
        <v>473</v>
      </c>
      <c r="B46" s="29"/>
      <c r="C46" s="29"/>
      <c r="D46" s="29"/>
      <c r="E46" s="29"/>
      <c r="F46" s="203" t="s">
        <v>1011</v>
      </c>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04"/>
      <c r="AM46" s="212" t="s">
        <v>1187</v>
      </c>
      <c r="AN46" s="172"/>
      <c r="AO46" s="172"/>
      <c r="AP46" s="172"/>
      <c r="AQ46" s="172"/>
      <c r="AR46" s="172"/>
      <c r="AS46" s="172"/>
      <c r="AT46" s="217" t="s">
        <v>207</v>
      </c>
      <c r="AU46" s="19"/>
      <c r="AV46" s="19"/>
      <c r="AW46" s="19"/>
      <c r="AX46" s="2" t="s">
        <v>1198</v>
      </c>
      <c r="AY46" s="19"/>
      <c r="AZ46" s="19"/>
      <c r="BA46" s="19"/>
      <c r="BB46" s="19"/>
      <c r="BC46" s="19"/>
      <c r="BD46" s="19"/>
      <c r="BE46" s="19"/>
      <c r="BF46" s="19"/>
      <c r="BG46" s="19"/>
      <c r="BH46" s="19"/>
      <c r="BI46" s="19"/>
      <c r="BJ46" s="19"/>
      <c r="BK46" s="19"/>
      <c r="BL46" s="19"/>
      <c r="BM46" s="19"/>
      <c r="BN46" s="19"/>
      <c r="BO46" s="19"/>
      <c r="BP46" s="19"/>
      <c r="BQ46" s="19"/>
      <c r="BR46" s="20"/>
    </row>
    <row r="47" spans="1:70" ht="13.5" customHeight="1">
      <c r="A47" s="202" t="s">
        <v>28</v>
      </c>
      <c r="B47" s="29"/>
      <c r="C47" s="29"/>
      <c r="D47" s="29"/>
      <c r="E47" s="29"/>
      <c r="F47" s="203" t="s">
        <v>1012</v>
      </c>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04"/>
      <c r="AM47" s="212" t="s">
        <v>1188</v>
      </c>
      <c r="AN47" s="172"/>
      <c r="AO47" s="172"/>
      <c r="AP47" s="172"/>
      <c r="AQ47" s="172"/>
      <c r="AR47" s="172"/>
      <c r="AS47" s="172"/>
      <c r="AT47" s="217" t="s">
        <v>209</v>
      </c>
      <c r="AU47" s="19"/>
      <c r="AV47" s="19"/>
      <c r="AW47" s="19"/>
      <c r="AX47" s="2" t="s">
        <v>1199</v>
      </c>
      <c r="AY47" s="19"/>
      <c r="AZ47" s="19"/>
      <c r="BA47" s="19"/>
      <c r="BB47" s="19"/>
      <c r="BC47" s="19"/>
      <c r="BD47" s="19"/>
      <c r="BE47" s="19"/>
      <c r="BF47" s="19"/>
      <c r="BG47" s="19"/>
      <c r="BH47" s="19"/>
      <c r="BI47" s="19"/>
      <c r="BJ47" s="19"/>
      <c r="BK47" s="19"/>
      <c r="BL47" s="19"/>
      <c r="BM47" s="19"/>
      <c r="BN47" s="19"/>
      <c r="BO47" s="19"/>
      <c r="BP47" s="19"/>
      <c r="BQ47" s="19"/>
      <c r="BR47" s="20"/>
    </row>
    <row r="48" spans="1:70" ht="13.5" customHeight="1">
      <c r="A48" s="18" t="s">
        <v>1013</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20"/>
      <c r="AM48" s="212" t="s">
        <v>1189</v>
      </c>
      <c r="AN48" s="172"/>
      <c r="AO48" s="172"/>
      <c r="AP48" s="172"/>
      <c r="AQ48" s="172"/>
      <c r="AR48" s="172"/>
      <c r="AS48" s="172"/>
      <c r="AT48" s="217" t="s">
        <v>210</v>
      </c>
      <c r="AU48" s="19"/>
      <c r="AV48" s="19"/>
      <c r="AW48" s="19"/>
      <c r="AX48" s="2" t="s">
        <v>1200</v>
      </c>
      <c r="AY48" s="19"/>
      <c r="AZ48" s="19"/>
      <c r="BA48" s="19"/>
      <c r="BB48" s="19"/>
      <c r="BC48" s="19"/>
      <c r="BD48" s="19"/>
      <c r="BE48" s="19"/>
      <c r="BF48" s="19"/>
      <c r="BG48" s="19"/>
      <c r="BH48" s="19"/>
      <c r="BI48" s="19"/>
      <c r="BJ48" s="19"/>
      <c r="BK48" s="19"/>
      <c r="BL48" s="19"/>
      <c r="BM48" s="19"/>
      <c r="BN48" s="19"/>
      <c r="BO48" s="19"/>
      <c r="BP48" s="19"/>
      <c r="BQ48" s="19"/>
      <c r="BR48" s="20"/>
    </row>
    <row r="49" spans="1:70" ht="13.5" customHeight="1">
      <c r="A49" s="18" t="s">
        <v>1014</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20"/>
      <c r="AM49" s="212" t="s">
        <v>1190</v>
      </c>
      <c r="AN49" s="172"/>
      <c r="AO49" s="172"/>
      <c r="AP49" s="172"/>
      <c r="AQ49" s="172"/>
      <c r="AR49" s="172"/>
      <c r="AS49" s="172"/>
      <c r="AT49" s="217" t="s">
        <v>211</v>
      </c>
      <c r="AU49" s="19"/>
      <c r="AV49" s="19"/>
      <c r="AW49" s="19"/>
      <c r="AX49" s="2" t="s">
        <v>1201</v>
      </c>
      <c r="AY49" s="19"/>
      <c r="AZ49" s="19"/>
      <c r="BA49" s="19"/>
      <c r="BB49" s="19"/>
      <c r="BC49" s="19"/>
      <c r="BD49" s="19"/>
      <c r="BE49" s="19"/>
      <c r="BF49" s="19"/>
      <c r="BG49" s="19"/>
      <c r="BH49" s="19"/>
      <c r="BI49" s="19"/>
      <c r="BJ49" s="19"/>
      <c r="BK49" s="19"/>
      <c r="BL49" s="19"/>
      <c r="BM49" s="19"/>
      <c r="BN49" s="19"/>
      <c r="BO49" s="19"/>
      <c r="BP49" s="19"/>
      <c r="BQ49" s="19"/>
      <c r="BR49" s="20"/>
    </row>
    <row r="50" spans="1:70" ht="13.5" customHeight="1" thickBot="1">
      <c r="A50" s="21" t="s">
        <v>1015</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3"/>
      <c r="AM50" s="212" t="s">
        <v>1191</v>
      </c>
      <c r="AN50" s="172"/>
      <c r="AO50" s="172"/>
      <c r="AP50" s="172"/>
      <c r="AQ50" s="172"/>
      <c r="AR50" s="172"/>
      <c r="AS50" s="172"/>
      <c r="AT50" s="217" t="s">
        <v>212</v>
      </c>
      <c r="AU50" s="19"/>
      <c r="AV50" s="19"/>
      <c r="AW50" s="19"/>
      <c r="AX50" s="2" t="s">
        <v>1202</v>
      </c>
      <c r="AY50" s="19"/>
      <c r="AZ50" s="19"/>
      <c r="BA50" s="19"/>
      <c r="BB50" s="19"/>
      <c r="BC50" s="19"/>
      <c r="BD50" s="19"/>
      <c r="BE50" s="19"/>
      <c r="BF50" s="19"/>
      <c r="BG50" s="19"/>
      <c r="BH50" s="19"/>
      <c r="BI50" s="19"/>
      <c r="BJ50" s="19"/>
      <c r="BK50" s="19"/>
      <c r="BL50" s="19"/>
      <c r="BM50" s="19"/>
      <c r="BN50" s="19"/>
      <c r="BO50" s="19"/>
      <c r="BP50" s="19"/>
      <c r="BQ50" s="19"/>
      <c r="BR50" s="20"/>
    </row>
    <row r="51" spans="1:70" ht="13.5" customHeight="1" thickBot="1">
      <c r="A51" s="197" t="s">
        <v>1016</v>
      </c>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7"/>
      <c r="AM51" s="212" t="s">
        <v>1192</v>
      </c>
      <c r="AN51" s="172"/>
      <c r="AO51" s="172"/>
      <c r="AP51" s="172"/>
      <c r="AQ51" s="172"/>
      <c r="AR51" s="172"/>
      <c r="AS51" s="172"/>
      <c r="AT51" s="217" t="s">
        <v>1203</v>
      </c>
      <c r="AU51" s="19"/>
      <c r="AV51" s="19"/>
      <c r="AW51" s="19"/>
      <c r="AX51" s="2" t="s">
        <v>1204</v>
      </c>
      <c r="AY51" s="19"/>
      <c r="AZ51" s="19"/>
      <c r="BA51" s="19"/>
      <c r="BB51" s="19"/>
      <c r="BC51" s="19"/>
      <c r="BD51" s="19"/>
      <c r="BE51" s="19"/>
      <c r="BF51" s="19"/>
      <c r="BG51" s="19"/>
      <c r="BH51" s="19"/>
      <c r="BI51" s="19"/>
      <c r="BJ51" s="19"/>
      <c r="BK51" s="19"/>
      <c r="BL51" s="19"/>
      <c r="BM51" s="19"/>
      <c r="BN51" s="19"/>
      <c r="BO51" s="19"/>
      <c r="BP51" s="19"/>
      <c r="BQ51" s="19"/>
      <c r="BR51" s="20"/>
    </row>
    <row r="52" spans="1:70" ht="13.5" customHeight="1">
      <c r="A52" s="191" t="s">
        <v>1017</v>
      </c>
      <c r="B52" s="171"/>
      <c r="C52" s="171"/>
      <c r="D52" s="171"/>
      <c r="E52" s="171"/>
      <c r="F52" s="170" t="s">
        <v>1023</v>
      </c>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82"/>
      <c r="AM52" s="212" t="s">
        <v>1193</v>
      </c>
      <c r="AN52" s="172"/>
      <c r="AO52" s="172"/>
      <c r="AP52" s="172"/>
      <c r="AQ52" s="172"/>
      <c r="AR52" s="172"/>
      <c r="AS52" s="172"/>
      <c r="AT52" s="217" t="s">
        <v>214</v>
      </c>
      <c r="AU52" s="19"/>
      <c r="AV52" s="19"/>
      <c r="AW52" s="19"/>
      <c r="AX52" s="2" t="s">
        <v>1205</v>
      </c>
      <c r="AY52" s="19"/>
      <c r="AZ52" s="19"/>
      <c r="BA52" s="19"/>
      <c r="BB52" s="19"/>
      <c r="BC52" s="19"/>
      <c r="BD52" s="19"/>
      <c r="BE52" s="19"/>
      <c r="BF52" s="19"/>
      <c r="BG52" s="19"/>
      <c r="BH52" s="19"/>
      <c r="BI52" s="19"/>
      <c r="BJ52" s="19"/>
      <c r="BK52" s="19"/>
      <c r="BL52" s="19"/>
      <c r="BM52" s="19"/>
      <c r="BN52" s="19"/>
      <c r="BO52" s="19"/>
      <c r="BP52" s="19"/>
      <c r="BQ52" s="19"/>
      <c r="BR52" s="20"/>
    </row>
    <row r="53" spans="1:70" ht="13.5" customHeight="1" thickBot="1">
      <c r="A53" s="193" t="s">
        <v>1018</v>
      </c>
      <c r="B53" s="179"/>
      <c r="C53" s="179"/>
      <c r="D53" s="179"/>
      <c r="E53" s="179"/>
      <c r="F53" s="180" t="s">
        <v>1024</v>
      </c>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86"/>
      <c r="AM53" s="213" t="s">
        <v>1194</v>
      </c>
      <c r="AN53" s="175"/>
      <c r="AO53" s="175"/>
      <c r="AP53" s="175"/>
      <c r="AQ53" s="175"/>
      <c r="AR53" s="175"/>
      <c r="AS53" s="175"/>
      <c r="AT53" s="217" t="s">
        <v>215</v>
      </c>
      <c r="AU53" s="19"/>
      <c r="AV53" s="19"/>
      <c r="AW53" s="19"/>
      <c r="AX53" s="2" t="s">
        <v>1206</v>
      </c>
      <c r="AY53" s="19"/>
      <c r="AZ53" s="19"/>
      <c r="BA53" s="19"/>
      <c r="BB53" s="19"/>
      <c r="BC53" s="19"/>
      <c r="BD53" s="19"/>
      <c r="BE53" s="19"/>
      <c r="BF53" s="19"/>
      <c r="BG53" s="19"/>
      <c r="BH53" s="19"/>
      <c r="BI53" s="19"/>
      <c r="BJ53" s="19"/>
      <c r="BK53" s="19"/>
      <c r="BL53" s="19"/>
      <c r="BM53" s="19"/>
      <c r="BN53" s="19"/>
      <c r="BO53" s="19"/>
      <c r="BP53" s="19"/>
      <c r="BQ53" s="19"/>
      <c r="BR53" s="20"/>
    </row>
    <row r="54" spans="1:70" ht="13.5" customHeight="1" thickBot="1">
      <c r="A54" s="194"/>
      <c r="B54" s="177"/>
      <c r="C54" s="177"/>
      <c r="D54" s="177"/>
      <c r="E54" s="177"/>
      <c r="F54" s="178" t="s">
        <v>1025</v>
      </c>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88"/>
      <c r="AT54" s="21" t="s">
        <v>216</v>
      </c>
      <c r="AU54" s="22"/>
      <c r="AV54" s="22"/>
      <c r="AW54" s="22"/>
      <c r="AX54" s="9" t="s">
        <v>1207</v>
      </c>
      <c r="AY54" s="22"/>
      <c r="AZ54" s="22"/>
      <c r="BA54" s="22"/>
      <c r="BB54" s="22"/>
      <c r="BC54" s="22"/>
      <c r="BD54" s="22"/>
      <c r="BE54" s="22"/>
      <c r="BF54" s="22"/>
      <c r="BG54" s="22"/>
      <c r="BH54" s="22"/>
      <c r="BI54" s="22"/>
      <c r="BJ54" s="22"/>
      <c r="BK54" s="22"/>
      <c r="BL54" s="22"/>
      <c r="BM54" s="22"/>
      <c r="BN54" s="22"/>
      <c r="BO54" s="22"/>
      <c r="BP54" s="22"/>
      <c r="BQ54" s="22"/>
      <c r="BR54" s="23"/>
    </row>
    <row r="55" spans="1:70" ht="13.5" customHeight="1">
      <c r="A55" s="192" t="s">
        <v>1019</v>
      </c>
      <c r="B55" s="172"/>
      <c r="C55" s="172"/>
      <c r="D55" s="172"/>
      <c r="E55" s="172"/>
      <c r="F55" s="173" t="s">
        <v>1026</v>
      </c>
      <c r="G55" s="172"/>
      <c r="H55" s="172"/>
      <c r="I55" s="172"/>
      <c r="J55" s="172"/>
      <c r="K55" s="172"/>
      <c r="L55" s="172"/>
      <c r="M55" s="172"/>
      <c r="N55" s="172"/>
      <c r="O55" s="172"/>
      <c r="P55" s="172"/>
      <c r="Q55" s="172"/>
      <c r="R55" s="172"/>
      <c r="S55" s="172"/>
      <c r="T55" s="172"/>
      <c r="U55" s="172"/>
      <c r="V55" s="172"/>
      <c r="W55" s="172"/>
      <c r="X55" s="172"/>
      <c r="Y55" s="172"/>
      <c r="Z55" s="172"/>
      <c r="AA55" s="172"/>
      <c r="AB55" s="172"/>
      <c r="AC55" s="172"/>
      <c r="AD55" s="172"/>
      <c r="AE55" s="172"/>
      <c r="AF55" s="172"/>
      <c r="AG55" s="172"/>
      <c r="AH55" s="172"/>
      <c r="AI55" s="172"/>
      <c r="AJ55" s="172"/>
      <c r="AK55" s="172"/>
      <c r="AL55" s="184"/>
    </row>
    <row r="56" spans="1:70" ht="13.5" customHeight="1">
      <c r="A56" s="192" t="s">
        <v>1020</v>
      </c>
      <c r="B56" s="172"/>
      <c r="C56" s="172"/>
      <c r="D56" s="172"/>
      <c r="E56" s="172"/>
      <c r="F56" s="173" t="s">
        <v>1027</v>
      </c>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84"/>
    </row>
    <row r="57" spans="1:70" ht="13.5" customHeight="1">
      <c r="A57" s="192" t="s">
        <v>1021</v>
      </c>
      <c r="B57" s="172"/>
      <c r="C57" s="172"/>
      <c r="D57" s="172"/>
      <c r="E57" s="172"/>
      <c r="F57" s="173" t="s">
        <v>1028</v>
      </c>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c r="AD57" s="172"/>
      <c r="AE57" s="172"/>
      <c r="AF57" s="172"/>
      <c r="AG57" s="172"/>
      <c r="AH57" s="172"/>
      <c r="AI57" s="172"/>
      <c r="AJ57" s="172"/>
      <c r="AK57" s="172"/>
      <c r="AL57" s="184"/>
    </row>
    <row r="58" spans="1:70" ht="13.5" customHeight="1" thickBot="1">
      <c r="A58" s="195" t="s">
        <v>1022</v>
      </c>
      <c r="B58" s="175"/>
      <c r="C58" s="175"/>
      <c r="D58" s="175"/>
      <c r="E58" s="175"/>
      <c r="F58" s="176" t="s">
        <v>1029</v>
      </c>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75"/>
      <c r="AF58" s="175"/>
      <c r="AG58" s="175"/>
      <c r="AH58" s="175"/>
      <c r="AI58" s="175"/>
      <c r="AJ58" s="175"/>
      <c r="AK58" s="175"/>
      <c r="AL58" s="190"/>
    </row>
  </sheetData>
  <mergeCells count="193">
    <mergeCell ref="AM2:AP2"/>
    <mergeCell ref="AM3:AP3"/>
    <mergeCell ref="AM4:AP4"/>
    <mergeCell ref="AM5:AP5"/>
    <mergeCell ref="AM6:AP6"/>
    <mergeCell ref="AM7:AP7"/>
    <mergeCell ref="AM14:AP14"/>
    <mergeCell ref="AM15:AP15"/>
    <mergeCell ref="AM16:AP16"/>
    <mergeCell ref="AM17:AP17"/>
    <mergeCell ref="AM18:AP18"/>
    <mergeCell ref="AM19:AP19"/>
    <mergeCell ref="AM8:AP8"/>
    <mergeCell ref="AM9:AP9"/>
    <mergeCell ref="AM10:AP10"/>
    <mergeCell ref="AM11:AP11"/>
    <mergeCell ref="AM12:AP12"/>
    <mergeCell ref="AM13:AP13"/>
    <mergeCell ref="AM29:AP29"/>
    <mergeCell ref="AM30:AP30"/>
    <mergeCell ref="AM31:AP31"/>
    <mergeCell ref="AM20:AP20"/>
    <mergeCell ref="AM21:AP21"/>
    <mergeCell ref="AM22:AP22"/>
    <mergeCell ref="AM23:AP23"/>
    <mergeCell ref="AM24:AP24"/>
    <mergeCell ref="AM25:AP25"/>
    <mergeCell ref="AQ10:AW10"/>
    <mergeCell ref="AQ11:AW11"/>
    <mergeCell ref="AQ12:AW12"/>
    <mergeCell ref="AQ13:AW13"/>
    <mergeCell ref="AQ14:AW14"/>
    <mergeCell ref="AQ15:AW15"/>
    <mergeCell ref="AM39:AP39"/>
    <mergeCell ref="AQ2:AW2"/>
    <mergeCell ref="AQ3:AW3"/>
    <mergeCell ref="AQ4:AW4"/>
    <mergeCell ref="AQ5:AW5"/>
    <mergeCell ref="AQ6:AW6"/>
    <mergeCell ref="AQ7:AW7"/>
    <mergeCell ref="AQ8:AW8"/>
    <mergeCell ref="AQ9:AW9"/>
    <mergeCell ref="AM32:AP32"/>
    <mergeCell ref="AM33:AP33"/>
    <mergeCell ref="AM34:AP34"/>
    <mergeCell ref="AM35:AP35"/>
    <mergeCell ref="AM36:AP36"/>
    <mergeCell ref="AM37:AP37"/>
    <mergeCell ref="AM26:AP26"/>
    <mergeCell ref="AM27:AP27"/>
    <mergeCell ref="AM28:AP28"/>
    <mergeCell ref="AQ22:AW22"/>
    <mergeCell ref="AQ23:AW23"/>
    <mergeCell ref="AQ24:AW24"/>
    <mergeCell ref="AQ25:AW25"/>
    <mergeCell ref="AQ26:AW26"/>
    <mergeCell ref="AQ27:AW27"/>
    <mergeCell ref="AQ16:AW16"/>
    <mergeCell ref="AQ17:AW17"/>
    <mergeCell ref="AQ18:AW18"/>
    <mergeCell ref="AQ19:AW19"/>
    <mergeCell ref="AQ20:AW20"/>
    <mergeCell ref="AQ21:AW21"/>
    <mergeCell ref="AQ34:AW34"/>
    <mergeCell ref="AQ35:AW35"/>
    <mergeCell ref="AQ36:AW36"/>
    <mergeCell ref="AQ37:AW37"/>
    <mergeCell ref="AQ38:AW38"/>
    <mergeCell ref="AQ39:AW39"/>
    <mergeCell ref="AQ28:AW28"/>
    <mergeCell ref="AQ29:AW29"/>
    <mergeCell ref="AQ30:AW30"/>
    <mergeCell ref="AQ31:AW31"/>
    <mergeCell ref="AQ32:AW32"/>
    <mergeCell ref="AQ33:AW33"/>
    <mergeCell ref="AX4:BD4"/>
    <mergeCell ref="BE4:BK4"/>
    <mergeCell ref="BL4:BR4"/>
    <mergeCell ref="AX5:BD5"/>
    <mergeCell ref="BE5:BK5"/>
    <mergeCell ref="BL5:BR5"/>
    <mergeCell ref="AX2:BD2"/>
    <mergeCell ref="BE2:BK2"/>
    <mergeCell ref="BL2:BR2"/>
    <mergeCell ref="AX3:BD3"/>
    <mergeCell ref="BE3:BK3"/>
    <mergeCell ref="BL3:BR3"/>
    <mergeCell ref="AX8:BD8"/>
    <mergeCell ref="BE8:BK8"/>
    <mergeCell ref="BL8:BR8"/>
    <mergeCell ref="AX9:BD9"/>
    <mergeCell ref="BE9:BK9"/>
    <mergeCell ref="BL9:BR9"/>
    <mergeCell ref="AX6:BD6"/>
    <mergeCell ref="BE6:BK6"/>
    <mergeCell ref="BL6:BR6"/>
    <mergeCell ref="AX7:BD7"/>
    <mergeCell ref="BE7:BK7"/>
    <mergeCell ref="BL7:BR7"/>
    <mergeCell ref="AX12:BD12"/>
    <mergeCell ref="BE12:BK12"/>
    <mergeCell ref="BL12:BR12"/>
    <mergeCell ref="AX13:BD13"/>
    <mergeCell ref="BE13:BK13"/>
    <mergeCell ref="BL13:BR13"/>
    <mergeCell ref="AX10:BD10"/>
    <mergeCell ref="BE10:BK10"/>
    <mergeCell ref="BL10:BR10"/>
    <mergeCell ref="AX11:BD11"/>
    <mergeCell ref="BE11:BK11"/>
    <mergeCell ref="BL11:BR11"/>
    <mergeCell ref="AX16:BD16"/>
    <mergeCell ref="BE16:BK16"/>
    <mergeCell ref="BL16:BR16"/>
    <mergeCell ref="AX17:BD17"/>
    <mergeCell ref="BE17:BK17"/>
    <mergeCell ref="BL17:BR17"/>
    <mergeCell ref="AX14:BD14"/>
    <mergeCell ref="BE14:BK14"/>
    <mergeCell ref="BL14:BR14"/>
    <mergeCell ref="AX15:BD15"/>
    <mergeCell ref="BE15:BK15"/>
    <mergeCell ref="BL15:BR15"/>
    <mergeCell ref="AX20:BD20"/>
    <mergeCell ref="BE20:BK20"/>
    <mergeCell ref="BL20:BR20"/>
    <mergeCell ref="AX21:BD21"/>
    <mergeCell ref="BE21:BK21"/>
    <mergeCell ref="BL21:BR21"/>
    <mergeCell ref="AX18:BD18"/>
    <mergeCell ref="BE18:BK18"/>
    <mergeCell ref="BL18:BR18"/>
    <mergeCell ref="AX19:BD19"/>
    <mergeCell ref="BE19:BK19"/>
    <mergeCell ref="BL19:BR19"/>
    <mergeCell ref="AX24:BD24"/>
    <mergeCell ref="BE24:BK24"/>
    <mergeCell ref="BL24:BR24"/>
    <mergeCell ref="AX25:BD25"/>
    <mergeCell ref="BE25:BK25"/>
    <mergeCell ref="BL25:BR25"/>
    <mergeCell ref="AX22:BD22"/>
    <mergeCell ref="BE22:BK22"/>
    <mergeCell ref="BL22:BR22"/>
    <mergeCell ref="AX23:BD23"/>
    <mergeCell ref="BE23:BK23"/>
    <mergeCell ref="BL23:BR23"/>
    <mergeCell ref="AX28:BD28"/>
    <mergeCell ref="BE28:BK28"/>
    <mergeCell ref="BL28:BR28"/>
    <mergeCell ref="AX29:BD29"/>
    <mergeCell ref="BE29:BK29"/>
    <mergeCell ref="BL29:BR29"/>
    <mergeCell ref="AX26:BD26"/>
    <mergeCell ref="BE26:BK26"/>
    <mergeCell ref="BL26:BR26"/>
    <mergeCell ref="AX27:BD27"/>
    <mergeCell ref="BE27:BK27"/>
    <mergeCell ref="BL27:BR27"/>
    <mergeCell ref="AX32:BD32"/>
    <mergeCell ref="BE32:BK32"/>
    <mergeCell ref="BL32:BR32"/>
    <mergeCell ref="AX33:BD33"/>
    <mergeCell ref="BE33:BK33"/>
    <mergeCell ref="BL33:BR33"/>
    <mergeCell ref="AX30:BD30"/>
    <mergeCell ref="BE30:BK30"/>
    <mergeCell ref="BL30:BR30"/>
    <mergeCell ref="AX31:BD31"/>
    <mergeCell ref="BE31:BK31"/>
    <mergeCell ref="BL31:BR31"/>
    <mergeCell ref="AX36:BD36"/>
    <mergeCell ref="BE36:BK36"/>
    <mergeCell ref="BL36:BR36"/>
    <mergeCell ref="AX37:BD37"/>
    <mergeCell ref="BE37:BK37"/>
    <mergeCell ref="BL37:BR37"/>
    <mergeCell ref="AX34:BD34"/>
    <mergeCell ref="BE34:BK34"/>
    <mergeCell ref="BL34:BR34"/>
    <mergeCell ref="AX35:BD35"/>
    <mergeCell ref="BE35:BK35"/>
    <mergeCell ref="BL35:BR35"/>
    <mergeCell ref="AM40:BR40"/>
    <mergeCell ref="AM41:BR41"/>
    <mergeCell ref="AM42:BR42"/>
    <mergeCell ref="AX38:BD38"/>
    <mergeCell ref="BE38:BK38"/>
    <mergeCell ref="BL38:BR38"/>
    <mergeCell ref="AX39:BD39"/>
    <mergeCell ref="BE39:BK39"/>
    <mergeCell ref="BL39:BR39"/>
    <mergeCell ref="AM38:AP38"/>
  </mergeCells>
  <pageMargins left="0.7" right="0.7" top="0.75" bottom="0.75" header="0.3" footer="0.3"/>
  <pageSetup scale="58"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B1:ED219"/>
  <sheetViews>
    <sheetView showGridLines="0" zoomScaleNormal="100" workbookViewId="0"/>
  </sheetViews>
  <sheetFormatPr defaultColWidth="2.6640625" defaultRowHeight="13.5" customHeight="1"/>
  <cols>
    <col min="1" max="16384" width="2.6640625" style="27"/>
  </cols>
  <sheetData>
    <row r="1" spans="2:134" ht="13.5" customHeight="1" thickBot="1"/>
    <row r="2" spans="2:134" ht="13.5" customHeight="1">
      <c r="B2" s="3"/>
      <c r="C2" s="4"/>
      <c r="D2" s="4"/>
      <c r="E2" s="4"/>
      <c r="F2" s="4"/>
      <c r="G2" s="4"/>
      <c r="H2" s="4"/>
      <c r="I2" s="4"/>
      <c r="J2" s="4"/>
      <c r="K2" s="4"/>
      <c r="L2" s="4"/>
      <c r="M2" s="4"/>
      <c r="N2" s="4"/>
      <c r="O2" s="4"/>
      <c r="P2" s="4"/>
      <c r="Q2" s="4"/>
      <c r="R2" s="4"/>
      <c r="S2" s="5"/>
    </row>
    <row r="3" spans="2:134" ht="13.5" customHeight="1">
      <c r="B3" s="6"/>
      <c r="C3" s="224" t="s">
        <v>42</v>
      </c>
      <c r="D3" s="224"/>
      <c r="E3" s="224"/>
      <c r="F3" s="224"/>
      <c r="G3" s="224"/>
      <c r="H3" s="224"/>
      <c r="I3" s="224"/>
      <c r="J3" s="224"/>
      <c r="K3" s="224"/>
      <c r="L3" s="224"/>
      <c r="M3" s="224"/>
      <c r="N3" s="224"/>
      <c r="O3" s="224"/>
      <c r="P3" s="224"/>
      <c r="Q3" s="224"/>
      <c r="R3" s="224"/>
      <c r="S3" s="7"/>
    </row>
    <row r="4" spans="2:134" ht="13.5" customHeight="1">
      <c r="B4" s="6"/>
      <c r="C4" s="225"/>
      <c r="D4" s="225"/>
      <c r="E4" s="225"/>
      <c r="F4" s="225"/>
      <c r="G4" s="225"/>
      <c r="H4" s="225"/>
      <c r="I4" s="225"/>
      <c r="J4" s="225"/>
      <c r="K4" s="225"/>
      <c r="L4" s="225"/>
      <c r="M4" s="225"/>
      <c r="N4" s="225"/>
      <c r="O4" s="225"/>
      <c r="P4" s="225"/>
      <c r="Q4" s="225"/>
      <c r="R4" s="225"/>
      <c r="S4" s="7"/>
    </row>
    <row r="5" spans="2:134" ht="13.5" customHeight="1">
      <c r="B5" s="6"/>
      <c r="C5" s="228" t="s">
        <v>43</v>
      </c>
      <c r="D5" s="228"/>
      <c r="E5" s="228"/>
      <c r="F5" s="228"/>
      <c r="G5" s="228"/>
      <c r="H5" s="228"/>
      <c r="I5" s="228"/>
      <c r="J5" s="228"/>
      <c r="K5" s="228"/>
      <c r="L5" s="228"/>
      <c r="M5" s="228"/>
      <c r="N5" s="228"/>
      <c r="O5" s="228"/>
      <c r="P5" s="228"/>
      <c r="Q5" s="228"/>
      <c r="R5" s="228"/>
      <c r="S5" s="7"/>
    </row>
    <row r="6" spans="2:134" ht="13.5" customHeight="1">
      <c r="B6" s="6"/>
      <c r="C6" s="228" t="s">
        <v>44</v>
      </c>
      <c r="D6" s="228"/>
      <c r="E6" s="228"/>
      <c r="F6" s="228"/>
      <c r="G6" s="228"/>
      <c r="H6" s="228"/>
      <c r="I6" s="228"/>
      <c r="J6" s="228"/>
      <c r="K6" s="228"/>
      <c r="L6" s="228"/>
      <c r="M6" s="228"/>
      <c r="N6" s="228"/>
      <c r="O6" s="228"/>
      <c r="P6" s="228"/>
      <c r="Q6" s="228"/>
      <c r="R6" s="228"/>
      <c r="S6" s="7"/>
    </row>
    <row r="7" spans="2:134" ht="13.5" customHeight="1" thickBot="1">
      <c r="B7" s="8"/>
      <c r="C7" s="9"/>
      <c r="D7" s="9"/>
      <c r="E7" s="9"/>
      <c r="F7" s="9"/>
      <c r="G7" s="9"/>
      <c r="H7" s="9"/>
      <c r="I7" s="9"/>
      <c r="J7" s="9"/>
      <c r="K7" s="9"/>
      <c r="L7" s="9"/>
      <c r="M7" s="9"/>
      <c r="N7" s="9"/>
      <c r="O7" s="9"/>
      <c r="P7" s="9"/>
      <c r="Q7" s="9"/>
      <c r="R7" s="9"/>
      <c r="S7" s="10"/>
    </row>
    <row r="9" spans="2:134" ht="13.5" customHeight="1">
      <c r="C9" s="639" t="s">
        <v>45</v>
      </c>
      <c r="D9" s="639"/>
      <c r="E9" s="639"/>
      <c r="F9" s="639"/>
      <c r="G9" s="639"/>
      <c r="H9" s="639"/>
      <c r="I9" s="639"/>
      <c r="J9" s="639"/>
      <c r="K9" s="639"/>
      <c r="L9" s="639"/>
      <c r="M9" s="639"/>
      <c r="N9" s="639"/>
      <c r="O9" s="639"/>
      <c r="P9" s="639"/>
      <c r="Q9" s="639"/>
      <c r="R9" s="639"/>
    </row>
    <row r="10" spans="2:134" ht="13.5" customHeight="1">
      <c r="C10" s="640"/>
      <c r="D10" s="640"/>
      <c r="E10" s="640"/>
      <c r="F10" s="640"/>
      <c r="G10" s="640"/>
      <c r="H10" s="640"/>
      <c r="I10" s="640"/>
      <c r="J10" s="640"/>
      <c r="K10" s="640"/>
      <c r="L10" s="640"/>
      <c r="M10" s="640"/>
      <c r="N10" s="640"/>
      <c r="O10" s="640"/>
      <c r="P10" s="640"/>
      <c r="Q10" s="640"/>
      <c r="R10" s="640"/>
      <c r="T10" s="40" t="s">
        <v>116</v>
      </c>
    </row>
    <row r="12" spans="2:134" ht="13.5" customHeight="1">
      <c r="B12" s="650" t="s">
        <v>46</v>
      </c>
      <c r="C12" s="261"/>
      <c r="D12" s="261"/>
      <c r="E12" s="647" t="s">
        <v>28</v>
      </c>
      <c r="F12" s="643"/>
      <c r="G12" s="643"/>
      <c r="H12" s="643"/>
      <c r="I12" s="643"/>
      <c r="J12" s="643"/>
      <c r="K12" s="643"/>
      <c r="L12" s="643"/>
      <c r="M12" s="643"/>
      <c r="N12" s="643"/>
      <c r="O12" s="643" t="s">
        <v>29</v>
      </c>
      <c r="P12" s="643"/>
      <c r="Q12" s="643"/>
      <c r="R12" s="643"/>
      <c r="S12" s="643"/>
      <c r="T12" s="643"/>
      <c r="U12" s="643"/>
      <c r="V12" s="643"/>
      <c r="W12" s="643"/>
      <c r="X12" s="643"/>
      <c r="Y12" s="643" t="s">
        <v>30</v>
      </c>
      <c r="Z12" s="643"/>
      <c r="AA12" s="643"/>
      <c r="AB12" s="643"/>
      <c r="AC12" s="643"/>
      <c r="AD12" s="643"/>
      <c r="AE12" s="643"/>
      <c r="AF12" s="643"/>
      <c r="AG12" s="643"/>
      <c r="AH12" s="643"/>
      <c r="AI12" s="643" t="s">
        <v>31</v>
      </c>
      <c r="AJ12" s="643"/>
      <c r="AK12" s="643"/>
      <c r="AL12" s="643"/>
      <c r="AM12" s="643"/>
      <c r="AN12" s="643"/>
      <c r="AO12" s="643"/>
      <c r="AP12" s="643"/>
      <c r="AQ12" s="643"/>
      <c r="AR12" s="643"/>
      <c r="AS12" s="643" t="s">
        <v>32</v>
      </c>
      <c r="AT12" s="643"/>
      <c r="AU12" s="643"/>
      <c r="AV12" s="643"/>
      <c r="AW12" s="643"/>
      <c r="AX12" s="643"/>
      <c r="AY12" s="643"/>
      <c r="AZ12" s="643"/>
      <c r="BA12" s="643"/>
      <c r="BB12" s="643"/>
      <c r="BC12" s="643" t="s">
        <v>33</v>
      </c>
      <c r="BD12" s="643"/>
      <c r="BE12" s="643"/>
      <c r="BF12" s="643"/>
      <c r="BG12" s="643"/>
      <c r="BH12" s="643"/>
      <c r="BI12" s="643"/>
      <c r="BJ12" s="643"/>
      <c r="BK12" s="643"/>
      <c r="BL12" s="643"/>
      <c r="BM12" s="643" t="s">
        <v>34</v>
      </c>
      <c r="BN12" s="643"/>
      <c r="BO12" s="643"/>
      <c r="BP12" s="643"/>
      <c r="BQ12" s="643"/>
      <c r="BR12" s="643"/>
      <c r="BS12" s="643"/>
      <c r="BT12" s="643"/>
      <c r="BU12" s="643"/>
      <c r="BV12" s="643"/>
      <c r="BW12" s="643" t="s">
        <v>35</v>
      </c>
      <c r="BX12" s="643"/>
      <c r="BY12" s="643"/>
      <c r="BZ12" s="643"/>
      <c r="CA12" s="643"/>
      <c r="CB12" s="643"/>
      <c r="CC12" s="643"/>
      <c r="CD12" s="643"/>
      <c r="CE12" s="643"/>
      <c r="CF12" s="643"/>
      <c r="CG12" s="643" t="s">
        <v>124</v>
      </c>
      <c r="CH12" s="643"/>
      <c r="CI12" s="643"/>
      <c r="CJ12" s="643"/>
      <c r="CK12" s="643"/>
      <c r="CL12" s="643"/>
      <c r="CM12" s="643"/>
      <c r="CN12" s="643"/>
      <c r="CO12" s="643"/>
      <c r="CP12" s="643"/>
      <c r="CQ12" s="643" t="s">
        <v>125</v>
      </c>
      <c r="CR12" s="643"/>
      <c r="CS12" s="643"/>
      <c r="CT12" s="643"/>
      <c r="CU12" s="643"/>
      <c r="CV12" s="643"/>
      <c r="CW12" s="643"/>
      <c r="CX12" s="643"/>
      <c r="CY12" s="643"/>
      <c r="CZ12" s="643"/>
      <c r="DA12" s="643" t="s">
        <v>126</v>
      </c>
      <c r="DB12" s="643"/>
      <c r="DC12" s="643"/>
      <c r="DD12" s="643"/>
      <c r="DE12" s="643"/>
      <c r="DF12" s="643"/>
      <c r="DG12" s="643"/>
      <c r="DH12" s="643"/>
      <c r="DI12" s="643"/>
      <c r="DJ12" s="643"/>
      <c r="DK12" s="643" t="s">
        <v>128</v>
      </c>
      <c r="DL12" s="643"/>
      <c r="DM12" s="643"/>
      <c r="DN12" s="643"/>
      <c r="DO12" s="643"/>
      <c r="DP12" s="643"/>
      <c r="DQ12" s="643"/>
      <c r="DR12" s="643"/>
      <c r="DS12" s="643"/>
      <c r="DT12" s="643"/>
      <c r="DU12" s="643" t="s">
        <v>127</v>
      </c>
      <c r="DV12" s="643"/>
      <c r="DW12" s="643"/>
      <c r="DX12" s="643"/>
      <c r="DY12" s="643"/>
      <c r="DZ12" s="643"/>
      <c r="EA12" s="643"/>
      <c r="EB12" s="643"/>
      <c r="EC12" s="643"/>
      <c r="ED12" s="643"/>
    </row>
    <row r="13" spans="2:134" ht="13.5" customHeight="1">
      <c r="B13" s="648">
        <v>-5</v>
      </c>
      <c r="C13" s="269"/>
      <c r="D13" s="269"/>
      <c r="E13" s="644" t="s">
        <v>51</v>
      </c>
      <c r="F13" s="642"/>
      <c r="G13" s="642"/>
      <c r="H13" s="642"/>
      <c r="I13" s="642"/>
      <c r="J13" s="642"/>
      <c r="K13" s="642"/>
      <c r="L13" s="642"/>
      <c r="M13" s="642"/>
      <c r="N13" s="642"/>
      <c r="O13" s="642" t="s">
        <v>51</v>
      </c>
      <c r="P13" s="642"/>
      <c r="Q13" s="642"/>
      <c r="R13" s="642"/>
      <c r="S13" s="642"/>
      <c r="T13" s="642"/>
      <c r="U13" s="642"/>
      <c r="V13" s="642"/>
      <c r="W13" s="642"/>
      <c r="X13" s="642"/>
      <c r="Y13" s="642" t="s">
        <v>51</v>
      </c>
      <c r="Z13" s="642"/>
      <c r="AA13" s="642"/>
      <c r="AB13" s="642"/>
      <c r="AC13" s="642"/>
      <c r="AD13" s="642"/>
      <c r="AE13" s="642"/>
      <c r="AF13" s="642"/>
      <c r="AG13" s="642"/>
      <c r="AH13" s="642"/>
      <c r="AI13" s="642" t="s">
        <v>51</v>
      </c>
      <c r="AJ13" s="642"/>
      <c r="AK13" s="642"/>
      <c r="AL13" s="642"/>
      <c r="AM13" s="642"/>
      <c r="AN13" s="642"/>
      <c r="AO13" s="642"/>
      <c r="AP13" s="642"/>
      <c r="AQ13" s="642"/>
      <c r="AR13" s="642"/>
      <c r="AS13" s="642" t="s">
        <v>51</v>
      </c>
      <c r="AT13" s="642"/>
      <c r="AU13" s="642"/>
      <c r="AV13" s="642"/>
      <c r="AW13" s="642"/>
      <c r="AX13" s="642"/>
      <c r="AY13" s="642"/>
      <c r="AZ13" s="642"/>
      <c r="BA13" s="642"/>
      <c r="BB13" s="642"/>
      <c r="BC13" s="642" t="s">
        <v>51</v>
      </c>
      <c r="BD13" s="642"/>
      <c r="BE13" s="642"/>
      <c r="BF13" s="642"/>
      <c r="BG13" s="642"/>
      <c r="BH13" s="642"/>
      <c r="BI13" s="642"/>
      <c r="BJ13" s="642"/>
      <c r="BK13" s="642"/>
      <c r="BL13" s="642"/>
      <c r="BM13" s="642" t="s">
        <v>51</v>
      </c>
      <c r="BN13" s="642"/>
      <c r="BO13" s="642"/>
      <c r="BP13" s="642"/>
      <c r="BQ13" s="642"/>
      <c r="BR13" s="642"/>
      <c r="BS13" s="642"/>
      <c r="BT13" s="642"/>
      <c r="BU13" s="642"/>
      <c r="BV13" s="642"/>
      <c r="BW13" s="642" t="s">
        <v>51</v>
      </c>
      <c r="BX13" s="642"/>
      <c r="BY13" s="642"/>
      <c r="BZ13" s="642"/>
      <c r="CA13" s="642"/>
      <c r="CB13" s="642"/>
      <c r="CC13" s="642"/>
      <c r="CD13" s="642"/>
      <c r="CE13" s="642"/>
      <c r="CF13" s="642"/>
      <c r="CG13" s="642" t="s">
        <v>146</v>
      </c>
      <c r="CH13" s="642"/>
      <c r="CI13" s="642"/>
      <c r="CJ13" s="642"/>
      <c r="CK13" s="642"/>
      <c r="CL13" s="642"/>
      <c r="CM13" s="642"/>
      <c r="CN13" s="642"/>
      <c r="CO13" s="642"/>
      <c r="CP13" s="642"/>
      <c r="CQ13" s="642" t="s">
        <v>51</v>
      </c>
      <c r="CR13" s="642"/>
      <c r="CS13" s="642"/>
      <c r="CT13" s="642"/>
      <c r="CU13" s="642"/>
      <c r="CV13" s="642"/>
      <c r="CW13" s="642"/>
      <c r="CX13" s="642"/>
      <c r="CY13" s="642"/>
      <c r="CZ13" s="642"/>
      <c r="DA13" s="642" t="s">
        <v>146</v>
      </c>
      <c r="DB13" s="642"/>
      <c r="DC13" s="642"/>
      <c r="DD13" s="642"/>
      <c r="DE13" s="642"/>
      <c r="DF13" s="642"/>
      <c r="DG13" s="642"/>
      <c r="DH13" s="642"/>
      <c r="DI13" s="642"/>
      <c r="DJ13" s="642"/>
      <c r="DK13" s="642" t="s">
        <v>51</v>
      </c>
      <c r="DL13" s="642"/>
      <c r="DM13" s="642"/>
      <c r="DN13" s="642"/>
      <c r="DO13" s="642"/>
      <c r="DP13" s="642"/>
      <c r="DQ13" s="642"/>
      <c r="DR13" s="642"/>
      <c r="DS13" s="642"/>
      <c r="DT13" s="642"/>
      <c r="DU13" s="642" t="s">
        <v>51</v>
      </c>
      <c r="DV13" s="642"/>
      <c r="DW13" s="642"/>
      <c r="DX13" s="642"/>
      <c r="DY13" s="642"/>
      <c r="DZ13" s="642"/>
      <c r="EA13" s="642"/>
      <c r="EB13" s="642"/>
      <c r="EC13" s="642"/>
      <c r="ED13" s="642"/>
    </row>
    <row r="14" spans="2:134" ht="13.5" customHeight="1">
      <c r="B14" s="648">
        <v>-4</v>
      </c>
      <c r="C14" s="269"/>
      <c r="D14" s="269"/>
      <c r="E14" s="644" t="s">
        <v>51</v>
      </c>
      <c r="F14" s="642"/>
      <c r="G14" s="642"/>
      <c r="H14" s="642"/>
      <c r="I14" s="642"/>
      <c r="J14" s="642"/>
      <c r="K14" s="642"/>
      <c r="L14" s="642"/>
      <c r="M14" s="642"/>
      <c r="N14" s="642"/>
      <c r="O14" s="642" t="s">
        <v>51</v>
      </c>
      <c r="P14" s="642"/>
      <c r="Q14" s="642"/>
      <c r="R14" s="642"/>
      <c r="S14" s="642"/>
      <c r="T14" s="642"/>
      <c r="U14" s="642"/>
      <c r="V14" s="642"/>
      <c r="W14" s="642"/>
      <c r="X14" s="642"/>
      <c r="Y14" s="642" t="s">
        <v>51</v>
      </c>
      <c r="Z14" s="642"/>
      <c r="AA14" s="642"/>
      <c r="AB14" s="642"/>
      <c r="AC14" s="642"/>
      <c r="AD14" s="642"/>
      <c r="AE14" s="642"/>
      <c r="AF14" s="642"/>
      <c r="AG14" s="642"/>
      <c r="AH14" s="642"/>
      <c r="AI14" s="642" t="s">
        <v>51</v>
      </c>
      <c r="AJ14" s="642"/>
      <c r="AK14" s="642"/>
      <c r="AL14" s="642"/>
      <c r="AM14" s="642"/>
      <c r="AN14" s="642"/>
      <c r="AO14" s="642"/>
      <c r="AP14" s="642"/>
      <c r="AQ14" s="642"/>
      <c r="AR14" s="642"/>
      <c r="AS14" s="642" t="s">
        <v>51</v>
      </c>
      <c r="AT14" s="642"/>
      <c r="AU14" s="642"/>
      <c r="AV14" s="642"/>
      <c r="AW14" s="642"/>
      <c r="AX14" s="642"/>
      <c r="AY14" s="642"/>
      <c r="AZ14" s="642"/>
      <c r="BA14" s="642"/>
      <c r="BB14" s="642"/>
      <c r="BC14" s="642" t="s">
        <v>51</v>
      </c>
      <c r="BD14" s="642"/>
      <c r="BE14" s="642"/>
      <c r="BF14" s="642"/>
      <c r="BG14" s="642"/>
      <c r="BH14" s="642"/>
      <c r="BI14" s="642"/>
      <c r="BJ14" s="642"/>
      <c r="BK14" s="642"/>
      <c r="BL14" s="642"/>
      <c r="BM14" s="642" t="s">
        <v>51</v>
      </c>
      <c r="BN14" s="642"/>
      <c r="BO14" s="642"/>
      <c r="BP14" s="642"/>
      <c r="BQ14" s="642"/>
      <c r="BR14" s="642"/>
      <c r="BS14" s="642"/>
      <c r="BT14" s="642"/>
      <c r="BU14" s="642"/>
      <c r="BV14" s="642"/>
      <c r="BW14" s="642" t="s">
        <v>51</v>
      </c>
      <c r="BX14" s="642"/>
      <c r="BY14" s="642"/>
      <c r="BZ14" s="642"/>
      <c r="CA14" s="642"/>
      <c r="CB14" s="642"/>
      <c r="CC14" s="642"/>
      <c r="CD14" s="642"/>
      <c r="CE14" s="642"/>
      <c r="CF14" s="642"/>
      <c r="CG14" s="642" t="s">
        <v>115</v>
      </c>
      <c r="CH14" s="642"/>
      <c r="CI14" s="642"/>
      <c r="CJ14" s="642"/>
      <c r="CK14" s="642"/>
      <c r="CL14" s="642"/>
      <c r="CM14" s="642"/>
      <c r="CN14" s="642"/>
      <c r="CO14" s="642"/>
      <c r="CP14" s="642"/>
      <c r="CQ14" s="642" t="s">
        <v>51</v>
      </c>
      <c r="CR14" s="642"/>
      <c r="CS14" s="642"/>
      <c r="CT14" s="642"/>
      <c r="CU14" s="642"/>
      <c r="CV14" s="642"/>
      <c r="CW14" s="642"/>
      <c r="CX14" s="642"/>
      <c r="CY14" s="642"/>
      <c r="CZ14" s="642"/>
      <c r="DA14" s="642" t="s">
        <v>51</v>
      </c>
      <c r="DB14" s="642"/>
      <c r="DC14" s="642"/>
      <c r="DD14" s="642"/>
      <c r="DE14" s="642"/>
      <c r="DF14" s="642"/>
      <c r="DG14" s="642"/>
      <c r="DH14" s="642"/>
      <c r="DI14" s="642"/>
      <c r="DJ14" s="642"/>
      <c r="DK14" s="642" t="s">
        <v>51</v>
      </c>
      <c r="DL14" s="642"/>
      <c r="DM14" s="642"/>
      <c r="DN14" s="642"/>
      <c r="DO14" s="642"/>
      <c r="DP14" s="642"/>
      <c r="DQ14" s="642"/>
      <c r="DR14" s="642"/>
      <c r="DS14" s="642"/>
      <c r="DT14" s="642"/>
      <c r="DU14" s="642" t="s">
        <v>51</v>
      </c>
      <c r="DV14" s="642"/>
      <c r="DW14" s="642"/>
      <c r="DX14" s="642"/>
      <c r="DY14" s="642"/>
      <c r="DZ14" s="642"/>
      <c r="EA14" s="642"/>
      <c r="EB14" s="642"/>
      <c r="EC14" s="642"/>
      <c r="ED14" s="642"/>
    </row>
    <row r="15" spans="2:134" ht="13.5" customHeight="1">
      <c r="B15" s="648">
        <v>-3</v>
      </c>
      <c r="C15" s="269"/>
      <c r="D15" s="269"/>
      <c r="E15" s="644" t="s">
        <v>51</v>
      </c>
      <c r="F15" s="642"/>
      <c r="G15" s="642"/>
      <c r="H15" s="642"/>
      <c r="I15" s="642"/>
      <c r="J15" s="642"/>
      <c r="K15" s="642"/>
      <c r="L15" s="642"/>
      <c r="M15" s="642"/>
      <c r="N15" s="642"/>
      <c r="O15" s="642" t="s">
        <v>51</v>
      </c>
      <c r="P15" s="642"/>
      <c r="Q15" s="642"/>
      <c r="R15" s="642"/>
      <c r="S15" s="642"/>
      <c r="T15" s="642"/>
      <c r="U15" s="642"/>
      <c r="V15" s="642"/>
      <c r="W15" s="642"/>
      <c r="X15" s="642"/>
      <c r="Y15" s="642" t="s">
        <v>51</v>
      </c>
      <c r="Z15" s="642"/>
      <c r="AA15" s="642"/>
      <c r="AB15" s="642"/>
      <c r="AC15" s="642"/>
      <c r="AD15" s="642"/>
      <c r="AE15" s="642"/>
      <c r="AF15" s="642"/>
      <c r="AG15" s="642"/>
      <c r="AH15" s="642"/>
      <c r="AI15" s="642" t="s">
        <v>51</v>
      </c>
      <c r="AJ15" s="642"/>
      <c r="AK15" s="642"/>
      <c r="AL15" s="642"/>
      <c r="AM15" s="642"/>
      <c r="AN15" s="642"/>
      <c r="AO15" s="642"/>
      <c r="AP15" s="642"/>
      <c r="AQ15" s="642"/>
      <c r="AR15" s="642"/>
      <c r="AS15" s="642" t="s">
        <v>51</v>
      </c>
      <c r="AT15" s="642"/>
      <c r="AU15" s="642"/>
      <c r="AV15" s="642"/>
      <c r="AW15" s="642"/>
      <c r="AX15" s="642"/>
      <c r="AY15" s="642"/>
      <c r="AZ15" s="642"/>
      <c r="BA15" s="642"/>
      <c r="BB15" s="642"/>
      <c r="BC15" s="642" t="s">
        <v>51</v>
      </c>
      <c r="BD15" s="642"/>
      <c r="BE15" s="642"/>
      <c r="BF15" s="642"/>
      <c r="BG15" s="642"/>
      <c r="BH15" s="642"/>
      <c r="BI15" s="642"/>
      <c r="BJ15" s="642"/>
      <c r="BK15" s="642"/>
      <c r="BL15" s="642"/>
      <c r="BM15" s="642" t="s">
        <v>51</v>
      </c>
      <c r="BN15" s="642"/>
      <c r="BO15" s="642"/>
      <c r="BP15" s="642"/>
      <c r="BQ15" s="642"/>
      <c r="BR15" s="642"/>
      <c r="BS15" s="642"/>
      <c r="BT15" s="642"/>
      <c r="BU15" s="642"/>
      <c r="BV15" s="642"/>
      <c r="BW15" s="642" t="s">
        <v>51</v>
      </c>
      <c r="BX15" s="642"/>
      <c r="BY15" s="642"/>
      <c r="BZ15" s="642"/>
      <c r="CA15" s="642"/>
      <c r="CB15" s="642"/>
      <c r="CC15" s="642"/>
      <c r="CD15" s="642"/>
      <c r="CE15" s="642"/>
      <c r="CF15" s="642"/>
      <c r="CG15" s="642" t="s">
        <v>51</v>
      </c>
      <c r="CH15" s="642"/>
      <c r="CI15" s="642"/>
      <c r="CJ15" s="642"/>
      <c r="CK15" s="642"/>
      <c r="CL15" s="642"/>
      <c r="CM15" s="642"/>
      <c r="CN15" s="642"/>
      <c r="CO15" s="642"/>
      <c r="CP15" s="642"/>
      <c r="CQ15" s="642" t="s">
        <v>51</v>
      </c>
      <c r="CR15" s="642"/>
      <c r="CS15" s="642"/>
      <c r="CT15" s="642"/>
      <c r="CU15" s="642"/>
      <c r="CV15" s="642"/>
      <c r="CW15" s="642"/>
      <c r="CX15" s="642"/>
      <c r="CY15" s="642"/>
      <c r="CZ15" s="642"/>
      <c r="DA15" s="642" t="s">
        <v>51</v>
      </c>
      <c r="DB15" s="642"/>
      <c r="DC15" s="642"/>
      <c r="DD15" s="642"/>
      <c r="DE15" s="642"/>
      <c r="DF15" s="642"/>
      <c r="DG15" s="642"/>
      <c r="DH15" s="642"/>
      <c r="DI15" s="642"/>
      <c r="DJ15" s="642"/>
      <c r="DK15" s="642" t="s">
        <v>51</v>
      </c>
      <c r="DL15" s="642"/>
      <c r="DM15" s="642"/>
      <c r="DN15" s="642"/>
      <c r="DO15" s="642"/>
      <c r="DP15" s="642"/>
      <c r="DQ15" s="642"/>
      <c r="DR15" s="642"/>
      <c r="DS15" s="642"/>
      <c r="DT15" s="642"/>
      <c r="DU15" s="642" t="s">
        <v>51</v>
      </c>
      <c r="DV15" s="642"/>
      <c r="DW15" s="642"/>
      <c r="DX15" s="642"/>
      <c r="DY15" s="642"/>
      <c r="DZ15" s="642"/>
      <c r="EA15" s="642"/>
      <c r="EB15" s="642"/>
      <c r="EC15" s="642"/>
      <c r="ED15" s="642"/>
    </row>
    <row r="16" spans="2:134" ht="13.5" customHeight="1">
      <c r="B16" s="648">
        <v>-2</v>
      </c>
      <c r="C16" s="269"/>
      <c r="D16" s="269"/>
      <c r="E16" s="644" t="s">
        <v>104</v>
      </c>
      <c r="F16" s="642"/>
      <c r="G16" s="642"/>
      <c r="H16" s="642"/>
      <c r="I16" s="642"/>
      <c r="J16" s="642"/>
      <c r="K16" s="642"/>
      <c r="L16" s="642"/>
      <c r="M16" s="642"/>
      <c r="N16" s="642"/>
      <c r="O16" s="642" t="s">
        <v>51</v>
      </c>
      <c r="P16" s="642"/>
      <c r="Q16" s="642"/>
      <c r="R16" s="642"/>
      <c r="S16" s="642"/>
      <c r="T16" s="642"/>
      <c r="U16" s="642"/>
      <c r="V16" s="642"/>
      <c r="W16" s="642"/>
      <c r="X16" s="642"/>
      <c r="Y16" s="642" t="s">
        <v>51</v>
      </c>
      <c r="Z16" s="642"/>
      <c r="AA16" s="642"/>
      <c r="AB16" s="642"/>
      <c r="AC16" s="642"/>
      <c r="AD16" s="642"/>
      <c r="AE16" s="642"/>
      <c r="AF16" s="642"/>
      <c r="AG16" s="642"/>
      <c r="AH16" s="642"/>
      <c r="AI16" s="642" t="s">
        <v>51</v>
      </c>
      <c r="AJ16" s="642"/>
      <c r="AK16" s="642"/>
      <c r="AL16" s="642"/>
      <c r="AM16" s="642"/>
      <c r="AN16" s="642"/>
      <c r="AO16" s="642"/>
      <c r="AP16" s="642"/>
      <c r="AQ16" s="642"/>
      <c r="AR16" s="642"/>
      <c r="AS16" s="642" t="s">
        <v>51</v>
      </c>
      <c r="AT16" s="642"/>
      <c r="AU16" s="642"/>
      <c r="AV16" s="642"/>
      <c r="AW16" s="642"/>
      <c r="AX16" s="642"/>
      <c r="AY16" s="642"/>
      <c r="AZ16" s="642"/>
      <c r="BA16" s="642"/>
      <c r="BB16" s="642"/>
      <c r="BC16" s="642" t="s">
        <v>100</v>
      </c>
      <c r="BD16" s="642"/>
      <c r="BE16" s="642"/>
      <c r="BF16" s="642"/>
      <c r="BG16" s="642"/>
      <c r="BH16" s="642"/>
      <c r="BI16" s="642"/>
      <c r="BJ16" s="642"/>
      <c r="BK16" s="642"/>
      <c r="BL16" s="642"/>
      <c r="BM16" s="642" t="s">
        <v>51</v>
      </c>
      <c r="BN16" s="642"/>
      <c r="BO16" s="642"/>
      <c r="BP16" s="642"/>
      <c r="BQ16" s="642"/>
      <c r="BR16" s="642"/>
      <c r="BS16" s="642"/>
      <c r="BT16" s="642"/>
      <c r="BU16" s="642"/>
      <c r="BV16" s="642"/>
      <c r="BW16" s="642" t="s">
        <v>51</v>
      </c>
      <c r="BX16" s="642"/>
      <c r="BY16" s="642"/>
      <c r="BZ16" s="642"/>
      <c r="CA16" s="642"/>
      <c r="CB16" s="642"/>
      <c r="CC16" s="642"/>
      <c r="CD16" s="642"/>
      <c r="CE16" s="642"/>
      <c r="CF16" s="642"/>
      <c r="CG16" s="642" t="s">
        <v>51</v>
      </c>
      <c r="CH16" s="642"/>
      <c r="CI16" s="642"/>
      <c r="CJ16" s="642"/>
      <c r="CK16" s="642"/>
      <c r="CL16" s="642"/>
      <c r="CM16" s="642"/>
      <c r="CN16" s="642"/>
      <c r="CO16" s="642"/>
      <c r="CP16" s="642"/>
      <c r="CQ16" s="642" t="s">
        <v>51</v>
      </c>
      <c r="CR16" s="642"/>
      <c r="CS16" s="642"/>
      <c r="CT16" s="642"/>
      <c r="CU16" s="642"/>
      <c r="CV16" s="642"/>
      <c r="CW16" s="642"/>
      <c r="CX16" s="642"/>
      <c r="CY16" s="642"/>
      <c r="CZ16" s="642"/>
      <c r="DA16" s="642" t="s">
        <v>115</v>
      </c>
      <c r="DB16" s="642"/>
      <c r="DC16" s="642"/>
      <c r="DD16" s="642"/>
      <c r="DE16" s="642"/>
      <c r="DF16" s="642"/>
      <c r="DG16" s="642"/>
      <c r="DH16" s="642"/>
      <c r="DI16" s="642"/>
      <c r="DJ16" s="642"/>
      <c r="DK16" s="642" t="s">
        <v>51</v>
      </c>
      <c r="DL16" s="642"/>
      <c r="DM16" s="642"/>
      <c r="DN16" s="642"/>
      <c r="DO16" s="642"/>
      <c r="DP16" s="642"/>
      <c r="DQ16" s="642"/>
      <c r="DR16" s="642"/>
      <c r="DS16" s="642"/>
      <c r="DT16" s="642"/>
      <c r="DU16" s="642" t="s">
        <v>51</v>
      </c>
      <c r="DV16" s="642"/>
      <c r="DW16" s="642"/>
      <c r="DX16" s="642"/>
      <c r="DY16" s="642"/>
      <c r="DZ16" s="642"/>
      <c r="EA16" s="642"/>
      <c r="EB16" s="642"/>
      <c r="EC16" s="642"/>
      <c r="ED16" s="642"/>
    </row>
    <row r="17" spans="2:134" ht="13.5" customHeight="1">
      <c r="B17" s="648">
        <v>-1</v>
      </c>
      <c r="C17" s="269"/>
      <c r="D17" s="269"/>
      <c r="E17" s="644" t="s">
        <v>51</v>
      </c>
      <c r="F17" s="642"/>
      <c r="G17" s="642"/>
      <c r="H17" s="642"/>
      <c r="I17" s="642"/>
      <c r="J17" s="642"/>
      <c r="K17" s="642"/>
      <c r="L17" s="642"/>
      <c r="M17" s="642"/>
      <c r="N17" s="642"/>
      <c r="O17" s="642" t="s">
        <v>51</v>
      </c>
      <c r="P17" s="642"/>
      <c r="Q17" s="642"/>
      <c r="R17" s="642"/>
      <c r="S17" s="642"/>
      <c r="T17" s="642"/>
      <c r="U17" s="642"/>
      <c r="V17" s="642"/>
      <c r="W17" s="642"/>
      <c r="X17" s="642"/>
      <c r="Y17" s="642" t="s">
        <v>558</v>
      </c>
      <c r="Z17" s="642"/>
      <c r="AA17" s="642"/>
      <c r="AB17" s="642"/>
      <c r="AC17" s="642"/>
      <c r="AD17" s="642"/>
      <c r="AE17" s="642"/>
      <c r="AF17" s="642"/>
      <c r="AG17" s="642"/>
      <c r="AH17" s="642"/>
      <c r="AI17" s="642" t="s">
        <v>51</v>
      </c>
      <c r="AJ17" s="642"/>
      <c r="AK17" s="642"/>
      <c r="AL17" s="642"/>
      <c r="AM17" s="642"/>
      <c r="AN17" s="642"/>
      <c r="AO17" s="642"/>
      <c r="AP17" s="642"/>
      <c r="AQ17" s="642"/>
      <c r="AR17" s="642"/>
      <c r="AS17" s="642" t="s">
        <v>51</v>
      </c>
      <c r="AT17" s="642"/>
      <c r="AU17" s="642"/>
      <c r="AV17" s="642"/>
      <c r="AW17" s="642"/>
      <c r="AX17" s="642"/>
      <c r="AY17" s="642"/>
      <c r="AZ17" s="642"/>
      <c r="BA17" s="642"/>
      <c r="BB17" s="642"/>
      <c r="BC17" s="642" t="s">
        <v>51</v>
      </c>
      <c r="BD17" s="642"/>
      <c r="BE17" s="642"/>
      <c r="BF17" s="642"/>
      <c r="BG17" s="642"/>
      <c r="BH17" s="642"/>
      <c r="BI17" s="642"/>
      <c r="BJ17" s="642"/>
      <c r="BK17" s="642"/>
      <c r="BL17" s="642"/>
      <c r="BM17" s="642" t="s">
        <v>51</v>
      </c>
      <c r="BN17" s="642"/>
      <c r="BO17" s="642"/>
      <c r="BP17" s="642"/>
      <c r="BQ17" s="642"/>
      <c r="BR17" s="642"/>
      <c r="BS17" s="642"/>
      <c r="BT17" s="642"/>
      <c r="BU17" s="642"/>
      <c r="BV17" s="642"/>
      <c r="BW17" s="642" t="s">
        <v>51</v>
      </c>
      <c r="BX17" s="642"/>
      <c r="BY17" s="642"/>
      <c r="BZ17" s="642"/>
      <c r="CA17" s="642"/>
      <c r="CB17" s="642"/>
      <c r="CC17" s="642"/>
      <c r="CD17" s="642"/>
      <c r="CE17" s="642"/>
      <c r="CF17" s="642"/>
      <c r="CG17" s="642" t="s">
        <v>51</v>
      </c>
      <c r="CH17" s="642"/>
      <c r="CI17" s="642"/>
      <c r="CJ17" s="642"/>
      <c r="CK17" s="642"/>
      <c r="CL17" s="642"/>
      <c r="CM17" s="642"/>
      <c r="CN17" s="642"/>
      <c r="CO17" s="642"/>
      <c r="CP17" s="642"/>
      <c r="CQ17" s="642" t="s">
        <v>51</v>
      </c>
      <c r="CR17" s="642"/>
      <c r="CS17" s="642"/>
      <c r="CT17" s="642"/>
      <c r="CU17" s="642"/>
      <c r="CV17" s="642"/>
      <c r="CW17" s="642"/>
      <c r="CX17" s="642"/>
      <c r="CY17" s="642"/>
      <c r="CZ17" s="642"/>
      <c r="DA17" s="642" t="s">
        <v>51</v>
      </c>
      <c r="DB17" s="642"/>
      <c r="DC17" s="642"/>
      <c r="DD17" s="642"/>
      <c r="DE17" s="642"/>
      <c r="DF17" s="642"/>
      <c r="DG17" s="642"/>
      <c r="DH17" s="642"/>
      <c r="DI17" s="642"/>
      <c r="DJ17" s="642"/>
      <c r="DK17" s="642" t="s">
        <v>51</v>
      </c>
      <c r="DL17" s="642"/>
      <c r="DM17" s="642"/>
      <c r="DN17" s="642"/>
      <c r="DO17" s="642"/>
      <c r="DP17" s="642"/>
      <c r="DQ17" s="642"/>
      <c r="DR17" s="642"/>
      <c r="DS17" s="642"/>
      <c r="DT17" s="642"/>
      <c r="DU17" s="642" t="s">
        <v>51</v>
      </c>
      <c r="DV17" s="642"/>
      <c r="DW17" s="642"/>
      <c r="DX17" s="642"/>
      <c r="DY17" s="642"/>
      <c r="DZ17" s="642"/>
      <c r="EA17" s="642"/>
      <c r="EB17" s="642"/>
      <c r="EC17" s="642"/>
      <c r="ED17" s="642"/>
    </row>
    <row r="18" spans="2:134" ht="13.5" customHeight="1">
      <c r="B18" s="648">
        <v>0</v>
      </c>
      <c r="C18" s="269"/>
      <c r="D18" s="269"/>
      <c r="E18" s="644" t="s">
        <v>105</v>
      </c>
      <c r="F18" s="642"/>
      <c r="G18" s="642"/>
      <c r="H18" s="642"/>
      <c r="I18" s="642"/>
      <c r="J18" s="642"/>
      <c r="K18" s="642"/>
      <c r="L18" s="642"/>
      <c r="M18" s="642"/>
      <c r="N18" s="642"/>
      <c r="O18" s="642" t="s">
        <v>51</v>
      </c>
      <c r="P18" s="642"/>
      <c r="Q18" s="642"/>
      <c r="R18" s="642"/>
      <c r="S18" s="642"/>
      <c r="T18" s="642"/>
      <c r="U18" s="642"/>
      <c r="V18" s="642"/>
      <c r="W18" s="642"/>
      <c r="X18" s="642"/>
      <c r="Y18" s="642" t="s">
        <v>100</v>
      </c>
      <c r="Z18" s="642"/>
      <c r="AA18" s="642"/>
      <c r="AB18" s="642"/>
      <c r="AC18" s="642"/>
      <c r="AD18" s="642"/>
      <c r="AE18" s="642"/>
      <c r="AF18" s="642"/>
      <c r="AG18" s="642"/>
      <c r="AH18" s="642"/>
      <c r="AI18" s="642" t="s">
        <v>101</v>
      </c>
      <c r="AJ18" s="642"/>
      <c r="AK18" s="642"/>
      <c r="AL18" s="642"/>
      <c r="AM18" s="642"/>
      <c r="AN18" s="642"/>
      <c r="AO18" s="642"/>
      <c r="AP18" s="642"/>
      <c r="AQ18" s="642"/>
      <c r="AR18" s="642"/>
      <c r="AS18" s="642" t="s">
        <v>51</v>
      </c>
      <c r="AT18" s="642"/>
      <c r="AU18" s="642"/>
      <c r="AV18" s="642"/>
      <c r="AW18" s="642"/>
      <c r="AX18" s="642"/>
      <c r="AY18" s="642"/>
      <c r="AZ18" s="642"/>
      <c r="BA18" s="642"/>
      <c r="BB18" s="642"/>
      <c r="BC18" s="642" t="s">
        <v>55</v>
      </c>
      <c r="BD18" s="642"/>
      <c r="BE18" s="642"/>
      <c r="BF18" s="642"/>
      <c r="BG18" s="642"/>
      <c r="BH18" s="642"/>
      <c r="BI18" s="642"/>
      <c r="BJ18" s="642"/>
      <c r="BK18" s="642"/>
      <c r="BL18" s="642"/>
      <c r="BM18" s="642" t="s">
        <v>100</v>
      </c>
      <c r="BN18" s="642"/>
      <c r="BO18" s="642"/>
      <c r="BP18" s="642"/>
      <c r="BQ18" s="642"/>
      <c r="BR18" s="642"/>
      <c r="BS18" s="642"/>
      <c r="BT18" s="642"/>
      <c r="BU18" s="642"/>
      <c r="BV18" s="642"/>
      <c r="BW18" s="642" t="s">
        <v>100</v>
      </c>
      <c r="BX18" s="642"/>
      <c r="BY18" s="642"/>
      <c r="BZ18" s="642"/>
      <c r="CA18" s="642"/>
      <c r="CB18" s="642"/>
      <c r="CC18" s="642"/>
      <c r="CD18" s="642"/>
      <c r="CE18" s="642"/>
      <c r="CF18" s="642"/>
      <c r="CG18" s="642" t="s">
        <v>51</v>
      </c>
      <c r="CH18" s="642"/>
      <c r="CI18" s="642"/>
      <c r="CJ18" s="642"/>
      <c r="CK18" s="642"/>
      <c r="CL18" s="642"/>
      <c r="CM18" s="642"/>
      <c r="CN18" s="642"/>
      <c r="CO18" s="642"/>
      <c r="CP18" s="642"/>
      <c r="CQ18" s="642" t="s">
        <v>51</v>
      </c>
      <c r="CR18" s="642"/>
      <c r="CS18" s="642"/>
      <c r="CT18" s="642"/>
      <c r="CU18" s="642"/>
      <c r="CV18" s="642"/>
      <c r="CW18" s="642"/>
      <c r="CX18" s="642"/>
      <c r="CY18" s="642"/>
      <c r="CZ18" s="642"/>
      <c r="DA18" s="642" t="s">
        <v>51</v>
      </c>
      <c r="DB18" s="642"/>
      <c r="DC18" s="642"/>
      <c r="DD18" s="642"/>
      <c r="DE18" s="642"/>
      <c r="DF18" s="642"/>
      <c r="DG18" s="642"/>
      <c r="DH18" s="642"/>
      <c r="DI18" s="642"/>
      <c r="DJ18" s="642"/>
      <c r="DK18" s="642" t="s">
        <v>51</v>
      </c>
      <c r="DL18" s="642"/>
      <c r="DM18" s="642"/>
      <c r="DN18" s="642"/>
      <c r="DO18" s="642"/>
      <c r="DP18" s="642"/>
      <c r="DQ18" s="642"/>
      <c r="DR18" s="642"/>
      <c r="DS18" s="642"/>
      <c r="DT18" s="642"/>
      <c r="DU18" s="642" t="s">
        <v>51</v>
      </c>
      <c r="DV18" s="642"/>
      <c r="DW18" s="642"/>
      <c r="DX18" s="642"/>
      <c r="DY18" s="642"/>
      <c r="DZ18" s="642"/>
      <c r="EA18" s="642"/>
      <c r="EB18" s="642"/>
      <c r="EC18" s="642"/>
      <c r="ED18" s="642"/>
    </row>
    <row r="19" spans="2:134" ht="13.5" customHeight="1">
      <c r="B19" s="648">
        <v>1</v>
      </c>
      <c r="C19" s="269"/>
      <c r="D19" s="269"/>
      <c r="E19" s="644" t="s">
        <v>106</v>
      </c>
      <c r="F19" s="642"/>
      <c r="G19" s="642"/>
      <c r="H19" s="642"/>
      <c r="I19" s="642"/>
      <c r="J19" s="642"/>
      <c r="K19" s="642"/>
      <c r="L19" s="642"/>
      <c r="M19" s="642"/>
      <c r="N19" s="642"/>
      <c r="O19" s="642" t="s">
        <v>111</v>
      </c>
      <c r="P19" s="642"/>
      <c r="Q19" s="642"/>
      <c r="R19" s="642"/>
      <c r="S19" s="642"/>
      <c r="T19" s="642"/>
      <c r="U19" s="642"/>
      <c r="V19" s="642"/>
      <c r="W19" s="642"/>
      <c r="X19" s="642"/>
      <c r="Y19" s="642" t="s">
        <v>557</v>
      </c>
      <c r="Z19" s="642"/>
      <c r="AA19" s="642"/>
      <c r="AB19" s="642"/>
      <c r="AC19" s="642"/>
      <c r="AD19" s="642"/>
      <c r="AE19" s="642"/>
      <c r="AF19" s="642"/>
      <c r="AG19" s="642"/>
      <c r="AH19" s="642"/>
      <c r="AI19" s="642" t="s">
        <v>51</v>
      </c>
      <c r="AJ19" s="642"/>
      <c r="AK19" s="642"/>
      <c r="AL19" s="642"/>
      <c r="AM19" s="642"/>
      <c r="AN19" s="642"/>
      <c r="AO19" s="642"/>
      <c r="AP19" s="642"/>
      <c r="AQ19" s="642"/>
      <c r="AR19" s="642"/>
      <c r="AS19" s="642" t="s">
        <v>51</v>
      </c>
      <c r="AT19" s="642"/>
      <c r="AU19" s="642"/>
      <c r="AV19" s="642"/>
      <c r="AW19" s="642"/>
      <c r="AX19" s="642"/>
      <c r="AY19" s="642"/>
      <c r="AZ19" s="642"/>
      <c r="BA19" s="642"/>
      <c r="BB19" s="642"/>
      <c r="BC19" s="642" t="s">
        <v>97</v>
      </c>
      <c r="BD19" s="642"/>
      <c r="BE19" s="642"/>
      <c r="BF19" s="642"/>
      <c r="BG19" s="642"/>
      <c r="BH19" s="642"/>
      <c r="BI19" s="642"/>
      <c r="BJ19" s="642"/>
      <c r="BK19" s="642"/>
      <c r="BL19" s="642"/>
      <c r="BM19" s="642" t="s">
        <v>51</v>
      </c>
      <c r="BN19" s="642"/>
      <c r="BO19" s="642"/>
      <c r="BP19" s="642"/>
      <c r="BQ19" s="642"/>
      <c r="BR19" s="642"/>
      <c r="BS19" s="642"/>
      <c r="BT19" s="642"/>
      <c r="BU19" s="642"/>
      <c r="BV19" s="642"/>
      <c r="BW19" s="642" t="s">
        <v>51</v>
      </c>
      <c r="BX19" s="642"/>
      <c r="BY19" s="642"/>
      <c r="BZ19" s="642"/>
      <c r="CA19" s="642"/>
      <c r="CB19" s="642"/>
      <c r="CC19" s="642"/>
      <c r="CD19" s="642"/>
      <c r="CE19" s="642"/>
      <c r="CF19" s="642"/>
      <c r="CG19" s="642" t="s">
        <v>133</v>
      </c>
      <c r="CH19" s="642"/>
      <c r="CI19" s="642"/>
      <c r="CJ19" s="642"/>
      <c r="CK19" s="642"/>
      <c r="CL19" s="642"/>
      <c r="CM19" s="642"/>
      <c r="CN19" s="642"/>
      <c r="CO19" s="642"/>
      <c r="CP19" s="642"/>
      <c r="CQ19" s="642" t="s">
        <v>171</v>
      </c>
      <c r="CR19" s="642"/>
      <c r="CS19" s="642"/>
      <c r="CT19" s="642"/>
      <c r="CU19" s="642"/>
      <c r="CV19" s="642"/>
      <c r="CW19" s="642"/>
      <c r="CX19" s="642"/>
      <c r="CY19" s="642"/>
      <c r="CZ19" s="642"/>
      <c r="DA19" s="642" t="s">
        <v>147</v>
      </c>
      <c r="DB19" s="642"/>
      <c r="DC19" s="642"/>
      <c r="DD19" s="642"/>
      <c r="DE19" s="642"/>
      <c r="DF19" s="642"/>
      <c r="DG19" s="642"/>
      <c r="DH19" s="642"/>
      <c r="DI19" s="642"/>
      <c r="DJ19" s="642"/>
      <c r="DK19" s="642" t="s">
        <v>156</v>
      </c>
      <c r="DL19" s="642"/>
      <c r="DM19" s="642"/>
      <c r="DN19" s="642"/>
      <c r="DO19" s="642"/>
      <c r="DP19" s="642"/>
      <c r="DQ19" s="642"/>
      <c r="DR19" s="642"/>
      <c r="DS19" s="642"/>
      <c r="DT19" s="642"/>
      <c r="DU19" s="642" t="s">
        <v>182</v>
      </c>
      <c r="DV19" s="642"/>
      <c r="DW19" s="642"/>
      <c r="DX19" s="642"/>
      <c r="DY19" s="642"/>
      <c r="DZ19" s="642"/>
      <c r="EA19" s="642"/>
      <c r="EB19" s="642"/>
      <c r="EC19" s="642"/>
      <c r="ED19" s="642"/>
    </row>
    <row r="20" spans="2:134" ht="13.5" customHeight="1">
      <c r="B20" s="648">
        <v>2</v>
      </c>
      <c r="C20" s="269"/>
      <c r="D20" s="269"/>
      <c r="E20" s="644" t="s">
        <v>94</v>
      </c>
      <c r="F20" s="642"/>
      <c r="G20" s="642"/>
      <c r="H20" s="642"/>
      <c r="I20" s="642"/>
      <c r="J20" s="642"/>
      <c r="K20" s="642"/>
      <c r="L20" s="642"/>
      <c r="M20" s="642"/>
      <c r="N20" s="642"/>
      <c r="O20" s="642" t="s">
        <v>112</v>
      </c>
      <c r="P20" s="642"/>
      <c r="Q20" s="642"/>
      <c r="R20" s="642"/>
      <c r="S20" s="642"/>
      <c r="T20" s="642"/>
      <c r="U20" s="642"/>
      <c r="V20" s="642"/>
      <c r="W20" s="642"/>
      <c r="X20" s="642"/>
      <c r="Y20" s="642" t="s">
        <v>81</v>
      </c>
      <c r="Z20" s="642"/>
      <c r="AA20" s="642"/>
      <c r="AB20" s="642"/>
      <c r="AC20" s="642"/>
      <c r="AD20" s="642"/>
      <c r="AE20" s="642"/>
      <c r="AF20" s="642"/>
      <c r="AG20" s="642"/>
      <c r="AH20" s="642"/>
      <c r="AI20" s="642" t="s">
        <v>82</v>
      </c>
      <c r="AJ20" s="642"/>
      <c r="AK20" s="642"/>
      <c r="AL20" s="642"/>
      <c r="AM20" s="642"/>
      <c r="AN20" s="642"/>
      <c r="AO20" s="642"/>
      <c r="AP20" s="642"/>
      <c r="AQ20" s="642"/>
      <c r="AR20" s="642"/>
      <c r="AS20" s="642" t="s">
        <v>61</v>
      </c>
      <c r="AT20" s="642"/>
      <c r="AU20" s="642"/>
      <c r="AV20" s="642"/>
      <c r="AW20" s="642"/>
      <c r="AX20" s="642"/>
      <c r="AY20" s="642"/>
      <c r="AZ20" s="642"/>
      <c r="BA20" s="642"/>
      <c r="BB20" s="642"/>
      <c r="BC20" s="642" t="s">
        <v>68</v>
      </c>
      <c r="BD20" s="642"/>
      <c r="BE20" s="642"/>
      <c r="BF20" s="642"/>
      <c r="BG20" s="642"/>
      <c r="BH20" s="642"/>
      <c r="BI20" s="642"/>
      <c r="BJ20" s="642"/>
      <c r="BK20" s="642"/>
      <c r="BL20" s="642"/>
      <c r="BM20" s="642" t="s">
        <v>69</v>
      </c>
      <c r="BN20" s="642"/>
      <c r="BO20" s="642"/>
      <c r="BP20" s="642"/>
      <c r="BQ20" s="642"/>
      <c r="BR20" s="642"/>
      <c r="BS20" s="642"/>
      <c r="BT20" s="642"/>
      <c r="BU20" s="642"/>
      <c r="BV20" s="642"/>
      <c r="BW20" s="642" t="s">
        <v>70</v>
      </c>
      <c r="BX20" s="642"/>
      <c r="BY20" s="642"/>
      <c r="BZ20" s="642"/>
      <c r="CA20" s="642"/>
      <c r="CB20" s="642"/>
      <c r="CC20" s="642"/>
      <c r="CD20" s="642"/>
      <c r="CE20" s="642"/>
      <c r="CF20" s="642"/>
      <c r="CG20" s="642" t="s">
        <v>134</v>
      </c>
      <c r="CH20" s="642"/>
      <c r="CI20" s="642"/>
      <c r="CJ20" s="642"/>
      <c r="CK20" s="642"/>
      <c r="CL20" s="642"/>
      <c r="CM20" s="642"/>
      <c r="CN20" s="642"/>
      <c r="CO20" s="642"/>
      <c r="CP20" s="642"/>
      <c r="CQ20" s="642" t="s">
        <v>172</v>
      </c>
      <c r="CR20" s="642"/>
      <c r="CS20" s="642"/>
      <c r="CT20" s="642"/>
      <c r="CU20" s="642"/>
      <c r="CV20" s="642"/>
      <c r="CW20" s="642"/>
      <c r="CX20" s="642"/>
      <c r="CY20" s="642"/>
      <c r="CZ20" s="642"/>
      <c r="DA20" s="642" t="s">
        <v>133</v>
      </c>
      <c r="DB20" s="642"/>
      <c r="DC20" s="642"/>
      <c r="DD20" s="642"/>
      <c r="DE20" s="642"/>
      <c r="DF20" s="642"/>
      <c r="DG20" s="642"/>
      <c r="DH20" s="642"/>
      <c r="DI20" s="642"/>
      <c r="DJ20" s="642"/>
      <c r="DK20" s="642" t="s">
        <v>157</v>
      </c>
      <c r="DL20" s="642"/>
      <c r="DM20" s="642"/>
      <c r="DN20" s="642"/>
      <c r="DO20" s="642"/>
      <c r="DP20" s="642"/>
      <c r="DQ20" s="642"/>
      <c r="DR20" s="642"/>
      <c r="DS20" s="642"/>
      <c r="DT20" s="642"/>
      <c r="DU20" s="642" t="s">
        <v>183</v>
      </c>
      <c r="DV20" s="642"/>
      <c r="DW20" s="642"/>
      <c r="DX20" s="642"/>
      <c r="DY20" s="642"/>
      <c r="DZ20" s="642"/>
      <c r="EA20" s="642"/>
      <c r="EB20" s="642"/>
      <c r="EC20" s="642"/>
      <c r="ED20" s="642"/>
    </row>
    <row r="21" spans="2:134" ht="13.5" customHeight="1">
      <c r="B21" s="648">
        <v>3</v>
      </c>
      <c r="C21" s="269"/>
      <c r="D21" s="269"/>
      <c r="E21" s="644" t="s">
        <v>89</v>
      </c>
      <c r="F21" s="642"/>
      <c r="G21" s="642"/>
      <c r="H21" s="642"/>
      <c r="I21" s="642"/>
      <c r="J21" s="642"/>
      <c r="K21" s="642"/>
      <c r="L21" s="642"/>
      <c r="M21" s="642"/>
      <c r="N21" s="642"/>
      <c r="O21" s="642" t="s">
        <v>90</v>
      </c>
      <c r="P21" s="642"/>
      <c r="Q21" s="642"/>
      <c r="R21" s="642"/>
      <c r="S21" s="642"/>
      <c r="T21" s="642"/>
      <c r="U21" s="642"/>
      <c r="V21" s="642"/>
      <c r="W21" s="642"/>
      <c r="X21" s="642"/>
      <c r="Y21" s="642" t="s">
        <v>117</v>
      </c>
      <c r="Z21" s="642"/>
      <c r="AA21" s="642"/>
      <c r="AB21" s="642"/>
      <c r="AC21" s="642"/>
      <c r="AD21" s="642"/>
      <c r="AE21" s="642"/>
      <c r="AF21" s="642"/>
      <c r="AG21" s="642"/>
      <c r="AH21" s="642"/>
      <c r="AI21" s="642" t="s">
        <v>95</v>
      </c>
      <c r="AJ21" s="642"/>
      <c r="AK21" s="642"/>
      <c r="AL21" s="642"/>
      <c r="AM21" s="642"/>
      <c r="AN21" s="642"/>
      <c r="AO21" s="642"/>
      <c r="AP21" s="642"/>
      <c r="AQ21" s="642"/>
      <c r="AR21" s="642"/>
      <c r="AS21" s="642" t="s">
        <v>88</v>
      </c>
      <c r="AT21" s="642"/>
      <c r="AU21" s="642"/>
      <c r="AV21" s="642"/>
      <c r="AW21" s="642"/>
      <c r="AX21" s="642"/>
      <c r="AY21" s="642"/>
      <c r="AZ21" s="642"/>
      <c r="BA21" s="642"/>
      <c r="BB21" s="642"/>
      <c r="BC21" s="642" t="s">
        <v>78</v>
      </c>
      <c r="BD21" s="642"/>
      <c r="BE21" s="642"/>
      <c r="BF21" s="642"/>
      <c r="BG21" s="642"/>
      <c r="BH21" s="642"/>
      <c r="BI21" s="642"/>
      <c r="BJ21" s="642"/>
      <c r="BK21" s="642"/>
      <c r="BL21" s="642"/>
      <c r="BM21" s="642" t="s">
        <v>98</v>
      </c>
      <c r="BN21" s="642"/>
      <c r="BO21" s="642"/>
      <c r="BP21" s="642"/>
      <c r="BQ21" s="642"/>
      <c r="BR21" s="642"/>
      <c r="BS21" s="642"/>
      <c r="BT21" s="642"/>
      <c r="BU21" s="642"/>
      <c r="BV21" s="642"/>
      <c r="BW21" s="642" t="s">
        <v>66</v>
      </c>
      <c r="BX21" s="642"/>
      <c r="BY21" s="642"/>
      <c r="BZ21" s="642"/>
      <c r="CA21" s="642"/>
      <c r="CB21" s="642"/>
      <c r="CC21" s="642"/>
      <c r="CD21" s="642"/>
      <c r="CE21" s="642"/>
      <c r="CF21" s="642"/>
      <c r="CG21" s="642" t="s">
        <v>135</v>
      </c>
      <c r="CH21" s="642"/>
      <c r="CI21" s="642"/>
      <c r="CJ21" s="642"/>
      <c r="CK21" s="642"/>
      <c r="CL21" s="642"/>
      <c r="CM21" s="642"/>
      <c r="CN21" s="642"/>
      <c r="CO21" s="642"/>
      <c r="CP21" s="642"/>
      <c r="CQ21" s="642" t="s">
        <v>173</v>
      </c>
      <c r="CR21" s="642"/>
      <c r="CS21" s="642"/>
      <c r="CT21" s="642"/>
      <c r="CU21" s="642"/>
      <c r="CV21" s="642"/>
      <c r="CW21" s="642"/>
      <c r="CX21" s="642"/>
      <c r="CY21" s="642"/>
      <c r="CZ21" s="642"/>
      <c r="DA21" s="642" t="s">
        <v>148</v>
      </c>
      <c r="DB21" s="642"/>
      <c r="DC21" s="642"/>
      <c r="DD21" s="642"/>
      <c r="DE21" s="642"/>
      <c r="DF21" s="642"/>
      <c r="DG21" s="642"/>
      <c r="DH21" s="642"/>
      <c r="DI21" s="642"/>
      <c r="DJ21" s="642"/>
      <c r="DK21" s="642" t="s">
        <v>158</v>
      </c>
      <c r="DL21" s="642"/>
      <c r="DM21" s="642"/>
      <c r="DN21" s="642"/>
      <c r="DO21" s="642"/>
      <c r="DP21" s="642"/>
      <c r="DQ21" s="642"/>
      <c r="DR21" s="642"/>
      <c r="DS21" s="642"/>
      <c r="DT21" s="642"/>
      <c r="DU21" s="642" t="s">
        <v>184</v>
      </c>
      <c r="DV21" s="642"/>
      <c r="DW21" s="642"/>
      <c r="DX21" s="642"/>
      <c r="DY21" s="642"/>
      <c r="DZ21" s="642"/>
      <c r="EA21" s="642"/>
      <c r="EB21" s="642"/>
      <c r="EC21" s="642"/>
      <c r="ED21" s="642"/>
    </row>
    <row r="22" spans="2:134" ht="13.5" customHeight="1">
      <c r="B22" s="648">
        <v>4</v>
      </c>
      <c r="C22" s="269"/>
      <c r="D22" s="269"/>
      <c r="E22" s="644" t="s">
        <v>107</v>
      </c>
      <c r="F22" s="642"/>
      <c r="G22" s="642"/>
      <c r="H22" s="642"/>
      <c r="I22" s="642"/>
      <c r="J22" s="642"/>
      <c r="K22" s="642"/>
      <c r="L22" s="642"/>
      <c r="M22" s="642"/>
      <c r="N22" s="642"/>
      <c r="O22" s="642" t="s">
        <v>113</v>
      </c>
      <c r="P22" s="642"/>
      <c r="Q22" s="642"/>
      <c r="R22" s="642"/>
      <c r="S22" s="642"/>
      <c r="T22" s="642"/>
      <c r="U22" s="642"/>
      <c r="V22" s="642"/>
      <c r="W22" s="642"/>
      <c r="X22" s="642"/>
      <c r="Y22" s="642" t="s">
        <v>85</v>
      </c>
      <c r="Z22" s="642"/>
      <c r="AA22" s="642"/>
      <c r="AB22" s="642"/>
      <c r="AC22" s="642"/>
      <c r="AD22" s="642"/>
      <c r="AE22" s="642"/>
      <c r="AF22" s="642"/>
      <c r="AG22" s="642"/>
      <c r="AH22" s="642"/>
      <c r="AI22" s="642" t="s">
        <v>87</v>
      </c>
      <c r="AJ22" s="642"/>
      <c r="AK22" s="642"/>
      <c r="AL22" s="642"/>
      <c r="AM22" s="642"/>
      <c r="AN22" s="642"/>
      <c r="AO22" s="642"/>
      <c r="AP22" s="642"/>
      <c r="AQ22" s="642"/>
      <c r="AR22" s="642"/>
      <c r="AS22" s="642" t="s">
        <v>72</v>
      </c>
      <c r="AT22" s="642"/>
      <c r="AU22" s="642"/>
      <c r="AV22" s="642"/>
      <c r="AW22" s="642"/>
      <c r="AX22" s="642"/>
      <c r="AY22" s="642"/>
      <c r="AZ22" s="642"/>
      <c r="BA22" s="642"/>
      <c r="BB22" s="642"/>
      <c r="BC22" s="642" t="s">
        <v>52</v>
      </c>
      <c r="BD22" s="642"/>
      <c r="BE22" s="642"/>
      <c r="BF22" s="642"/>
      <c r="BG22" s="642"/>
      <c r="BH22" s="642"/>
      <c r="BI22" s="642"/>
      <c r="BJ22" s="642"/>
      <c r="BK22" s="642"/>
      <c r="BL22" s="642"/>
      <c r="BM22" s="642" t="s">
        <v>79</v>
      </c>
      <c r="BN22" s="642"/>
      <c r="BO22" s="642"/>
      <c r="BP22" s="642"/>
      <c r="BQ22" s="642"/>
      <c r="BR22" s="642"/>
      <c r="BS22" s="642"/>
      <c r="BT22" s="642"/>
      <c r="BU22" s="642"/>
      <c r="BV22" s="642"/>
      <c r="BW22" s="642" t="s">
        <v>93</v>
      </c>
      <c r="BX22" s="642"/>
      <c r="BY22" s="642"/>
      <c r="BZ22" s="642"/>
      <c r="CA22" s="642"/>
      <c r="CB22" s="642"/>
      <c r="CC22" s="642"/>
      <c r="CD22" s="642"/>
      <c r="CE22" s="642"/>
      <c r="CF22" s="642"/>
      <c r="CG22" s="642" t="s">
        <v>136</v>
      </c>
      <c r="CH22" s="642"/>
      <c r="CI22" s="642"/>
      <c r="CJ22" s="642"/>
      <c r="CK22" s="642"/>
      <c r="CL22" s="642"/>
      <c r="CM22" s="642"/>
      <c r="CN22" s="642"/>
      <c r="CO22" s="642"/>
      <c r="CP22" s="642"/>
      <c r="CQ22" s="642" t="s">
        <v>174</v>
      </c>
      <c r="CR22" s="642"/>
      <c r="CS22" s="642"/>
      <c r="CT22" s="642"/>
      <c r="CU22" s="642"/>
      <c r="CV22" s="642"/>
      <c r="CW22" s="642"/>
      <c r="CX22" s="642"/>
      <c r="CY22" s="642"/>
      <c r="CZ22" s="642"/>
      <c r="DA22" s="642" t="s">
        <v>149</v>
      </c>
      <c r="DB22" s="642"/>
      <c r="DC22" s="642"/>
      <c r="DD22" s="642"/>
      <c r="DE22" s="642"/>
      <c r="DF22" s="642"/>
      <c r="DG22" s="642"/>
      <c r="DH22" s="642"/>
      <c r="DI22" s="642"/>
      <c r="DJ22" s="642"/>
      <c r="DK22" s="642" t="s">
        <v>159</v>
      </c>
      <c r="DL22" s="642"/>
      <c r="DM22" s="642"/>
      <c r="DN22" s="642"/>
      <c r="DO22" s="642"/>
      <c r="DP22" s="642"/>
      <c r="DQ22" s="642"/>
      <c r="DR22" s="642"/>
      <c r="DS22" s="642"/>
      <c r="DT22" s="642"/>
      <c r="DU22" s="642" t="s">
        <v>185</v>
      </c>
      <c r="DV22" s="642"/>
      <c r="DW22" s="642"/>
      <c r="DX22" s="642"/>
      <c r="DY22" s="642"/>
      <c r="DZ22" s="642"/>
      <c r="EA22" s="642"/>
      <c r="EB22" s="642"/>
      <c r="EC22" s="642"/>
      <c r="ED22" s="642"/>
    </row>
    <row r="23" spans="2:134" ht="13.5" customHeight="1">
      <c r="B23" s="648">
        <v>5</v>
      </c>
      <c r="C23" s="269"/>
      <c r="D23" s="269"/>
      <c r="E23" s="644" t="s">
        <v>108</v>
      </c>
      <c r="F23" s="642"/>
      <c r="G23" s="642"/>
      <c r="H23" s="642"/>
      <c r="I23" s="642"/>
      <c r="J23" s="642"/>
      <c r="K23" s="642"/>
      <c r="L23" s="642"/>
      <c r="M23" s="642"/>
      <c r="N23" s="642"/>
      <c r="O23" s="642" t="s">
        <v>114</v>
      </c>
      <c r="P23" s="642"/>
      <c r="Q23" s="642"/>
      <c r="R23" s="642"/>
      <c r="S23" s="642"/>
      <c r="T23" s="642"/>
      <c r="U23" s="642"/>
      <c r="V23" s="642"/>
      <c r="W23" s="642"/>
      <c r="X23" s="642"/>
      <c r="Y23" s="642" t="s">
        <v>91</v>
      </c>
      <c r="Z23" s="642"/>
      <c r="AA23" s="642"/>
      <c r="AB23" s="642"/>
      <c r="AC23" s="642"/>
      <c r="AD23" s="642"/>
      <c r="AE23" s="642"/>
      <c r="AF23" s="642"/>
      <c r="AG23" s="642"/>
      <c r="AH23" s="642"/>
      <c r="AI23" s="642" t="s">
        <v>92</v>
      </c>
      <c r="AJ23" s="642"/>
      <c r="AK23" s="642"/>
      <c r="AL23" s="642"/>
      <c r="AM23" s="642"/>
      <c r="AN23" s="642"/>
      <c r="AO23" s="642"/>
      <c r="AP23" s="642"/>
      <c r="AQ23" s="642"/>
      <c r="AR23" s="642"/>
      <c r="AS23" s="642" t="s">
        <v>96</v>
      </c>
      <c r="AT23" s="642"/>
      <c r="AU23" s="642"/>
      <c r="AV23" s="642"/>
      <c r="AW23" s="642"/>
      <c r="AX23" s="642"/>
      <c r="AY23" s="642"/>
      <c r="AZ23" s="642"/>
      <c r="BA23" s="642"/>
      <c r="BB23" s="642"/>
      <c r="BC23" s="642" t="s">
        <v>56</v>
      </c>
      <c r="BD23" s="642"/>
      <c r="BE23" s="642"/>
      <c r="BF23" s="642"/>
      <c r="BG23" s="642"/>
      <c r="BH23" s="642"/>
      <c r="BI23" s="642"/>
      <c r="BJ23" s="642"/>
      <c r="BK23" s="642"/>
      <c r="BL23" s="642"/>
      <c r="BM23" s="642" t="s">
        <v>556</v>
      </c>
      <c r="BN23" s="642"/>
      <c r="BO23" s="642"/>
      <c r="BP23" s="642"/>
      <c r="BQ23" s="642"/>
      <c r="BR23" s="642"/>
      <c r="BS23" s="642"/>
      <c r="BT23" s="642"/>
      <c r="BU23" s="642"/>
      <c r="BV23" s="642"/>
      <c r="BW23" s="642" t="s">
        <v>132</v>
      </c>
      <c r="BX23" s="642"/>
      <c r="BY23" s="642"/>
      <c r="BZ23" s="642"/>
      <c r="CA23" s="642"/>
      <c r="CB23" s="642"/>
      <c r="CC23" s="642"/>
      <c r="CD23" s="642"/>
      <c r="CE23" s="642"/>
      <c r="CF23" s="642"/>
      <c r="CG23" s="642" t="s">
        <v>138</v>
      </c>
      <c r="CH23" s="642"/>
      <c r="CI23" s="642"/>
      <c r="CJ23" s="642"/>
      <c r="CK23" s="642"/>
      <c r="CL23" s="642"/>
      <c r="CM23" s="642"/>
      <c r="CN23" s="642"/>
      <c r="CO23" s="642"/>
      <c r="CP23" s="642"/>
      <c r="CQ23" s="642" t="s">
        <v>175</v>
      </c>
      <c r="CR23" s="642"/>
      <c r="CS23" s="642"/>
      <c r="CT23" s="642"/>
      <c r="CU23" s="642"/>
      <c r="CV23" s="642"/>
      <c r="CW23" s="642"/>
      <c r="CX23" s="642"/>
      <c r="CY23" s="642"/>
      <c r="CZ23" s="642"/>
      <c r="DA23" s="642" t="s">
        <v>138</v>
      </c>
      <c r="DB23" s="642"/>
      <c r="DC23" s="642"/>
      <c r="DD23" s="642"/>
      <c r="DE23" s="642"/>
      <c r="DF23" s="642"/>
      <c r="DG23" s="642"/>
      <c r="DH23" s="642"/>
      <c r="DI23" s="642"/>
      <c r="DJ23" s="642"/>
      <c r="DK23" s="642" t="s">
        <v>160</v>
      </c>
      <c r="DL23" s="642"/>
      <c r="DM23" s="642"/>
      <c r="DN23" s="642"/>
      <c r="DO23" s="642"/>
      <c r="DP23" s="642"/>
      <c r="DQ23" s="642"/>
      <c r="DR23" s="642"/>
      <c r="DS23" s="642"/>
      <c r="DT23" s="642"/>
      <c r="DU23" s="642" t="s">
        <v>186</v>
      </c>
      <c r="DV23" s="642"/>
      <c r="DW23" s="642"/>
      <c r="DX23" s="642"/>
      <c r="DY23" s="642"/>
      <c r="DZ23" s="642"/>
      <c r="EA23" s="642"/>
      <c r="EB23" s="642"/>
      <c r="EC23" s="642"/>
      <c r="ED23" s="642"/>
    </row>
    <row r="24" spans="2:134" ht="13.5" customHeight="1">
      <c r="B24" s="648">
        <v>6</v>
      </c>
      <c r="C24" s="269"/>
      <c r="D24" s="269"/>
      <c r="E24" s="644" t="s">
        <v>109</v>
      </c>
      <c r="F24" s="642"/>
      <c r="G24" s="642"/>
      <c r="H24" s="642"/>
      <c r="I24" s="642"/>
      <c r="J24" s="642"/>
      <c r="K24" s="642"/>
      <c r="L24" s="642"/>
      <c r="M24" s="642"/>
      <c r="N24" s="642"/>
      <c r="O24" s="642" t="s">
        <v>84</v>
      </c>
      <c r="P24" s="642"/>
      <c r="Q24" s="642"/>
      <c r="R24" s="642"/>
      <c r="S24" s="642"/>
      <c r="T24" s="642"/>
      <c r="U24" s="642"/>
      <c r="V24" s="642"/>
      <c r="W24" s="642"/>
      <c r="X24" s="642"/>
      <c r="Y24" s="642" t="s">
        <v>73</v>
      </c>
      <c r="Z24" s="642"/>
      <c r="AA24" s="642"/>
      <c r="AB24" s="642"/>
      <c r="AC24" s="642"/>
      <c r="AD24" s="642"/>
      <c r="AE24" s="642"/>
      <c r="AF24" s="642"/>
      <c r="AG24" s="642"/>
      <c r="AH24" s="642"/>
      <c r="AI24" s="642" t="s">
        <v>74</v>
      </c>
      <c r="AJ24" s="642"/>
      <c r="AK24" s="642"/>
      <c r="AL24" s="642"/>
      <c r="AM24" s="642"/>
      <c r="AN24" s="642"/>
      <c r="AO24" s="642"/>
      <c r="AP24" s="642"/>
      <c r="AQ24" s="642"/>
      <c r="AR24" s="642"/>
      <c r="AS24" s="642" t="s">
        <v>102</v>
      </c>
      <c r="AT24" s="642"/>
      <c r="AU24" s="642"/>
      <c r="AV24" s="642"/>
      <c r="AW24" s="642"/>
      <c r="AX24" s="642"/>
      <c r="AY24" s="642"/>
      <c r="AZ24" s="642"/>
      <c r="BA24" s="642"/>
      <c r="BB24" s="642"/>
      <c r="BC24" s="642" t="s">
        <v>555</v>
      </c>
      <c r="BD24" s="642"/>
      <c r="BE24" s="642"/>
      <c r="BF24" s="642"/>
      <c r="BG24" s="642"/>
      <c r="BH24" s="642"/>
      <c r="BI24" s="642"/>
      <c r="BJ24" s="642"/>
      <c r="BK24" s="642"/>
      <c r="BL24" s="642"/>
      <c r="BM24" s="642" t="s">
        <v>51</v>
      </c>
      <c r="BN24" s="642"/>
      <c r="BO24" s="642"/>
      <c r="BP24" s="642"/>
      <c r="BQ24" s="642"/>
      <c r="BR24" s="642"/>
      <c r="BS24" s="642"/>
      <c r="BT24" s="642"/>
      <c r="BU24" s="642"/>
      <c r="BV24" s="642"/>
      <c r="BW24" s="642" t="s">
        <v>59</v>
      </c>
      <c r="BX24" s="642"/>
      <c r="BY24" s="642"/>
      <c r="BZ24" s="642"/>
      <c r="CA24" s="642"/>
      <c r="CB24" s="642"/>
      <c r="CC24" s="642"/>
      <c r="CD24" s="642"/>
      <c r="CE24" s="642"/>
      <c r="CF24" s="642"/>
      <c r="CG24" s="642" t="s">
        <v>137</v>
      </c>
      <c r="CH24" s="642"/>
      <c r="CI24" s="642"/>
      <c r="CJ24" s="642"/>
      <c r="CK24" s="642"/>
      <c r="CL24" s="642"/>
      <c r="CM24" s="642"/>
      <c r="CN24" s="642"/>
      <c r="CO24" s="642"/>
      <c r="CP24" s="642"/>
      <c r="CQ24" s="642" t="s">
        <v>176</v>
      </c>
      <c r="CR24" s="642"/>
      <c r="CS24" s="642"/>
      <c r="CT24" s="642"/>
      <c r="CU24" s="642"/>
      <c r="CV24" s="642"/>
      <c r="CW24" s="642"/>
      <c r="CX24" s="642"/>
      <c r="CY24" s="642"/>
      <c r="CZ24" s="642"/>
      <c r="DA24" s="642" t="s">
        <v>150</v>
      </c>
      <c r="DB24" s="642"/>
      <c r="DC24" s="642"/>
      <c r="DD24" s="642"/>
      <c r="DE24" s="642"/>
      <c r="DF24" s="642"/>
      <c r="DG24" s="642"/>
      <c r="DH24" s="642"/>
      <c r="DI24" s="642"/>
      <c r="DJ24" s="642"/>
      <c r="DK24" s="642" t="s">
        <v>51</v>
      </c>
      <c r="DL24" s="642"/>
      <c r="DM24" s="642"/>
      <c r="DN24" s="642"/>
      <c r="DO24" s="642"/>
      <c r="DP24" s="642"/>
      <c r="DQ24" s="642"/>
      <c r="DR24" s="642"/>
      <c r="DS24" s="642"/>
      <c r="DT24" s="642"/>
      <c r="DU24" s="642" t="s">
        <v>187</v>
      </c>
      <c r="DV24" s="642"/>
      <c r="DW24" s="642"/>
      <c r="DX24" s="642"/>
      <c r="DY24" s="642"/>
      <c r="DZ24" s="642"/>
      <c r="EA24" s="642"/>
      <c r="EB24" s="642"/>
      <c r="EC24" s="642"/>
      <c r="ED24" s="642"/>
    </row>
    <row r="25" spans="2:134" ht="13.5" customHeight="1">
      <c r="B25" s="648">
        <v>7</v>
      </c>
      <c r="C25" s="269"/>
      <c r="D25" s="269"/>
      <c r="E25" s="644" t="s">
        <v>75</v>
      </c>
      <c r="F25" s="642"/>
      <c r="G25" s="642"/>
      <c r="H25" s="642"/>
      <c r="I25" s="642"/>
      <c r="J25" s="642"/>
      <c r="K25" s="642"/>
      <c r="L25" s="642"/>
      <c r="M25" s="642"/>
      <c r="N25" s="642"/>
      <c r="O25" s="642" t="s">
        <v>51</v>
      </c>
      <c r="P25" s="642"/>
      <c r="Q25" s="642"/>
      <c r="R25" s="642"/>
      <c r="S25" s="642"/>
      <c r="T25" s="642"/>
      <c r="U25" s="642"/>
      <c r="V25" s="642"/>
      <c r="W25" s="642"/>
      <c r="X25" s="642"/>
      <c r="Y25" s="642" t="s">
        <v>76</v>
      </c>
      <c r="Z25" s="642"/>
      <c r="AA25" s="642"/>
      <c r="AB25" s="642"/>
      <c r="AC25" s="642"/>
      <c r="AD25" s="642"/>
      <c r="AE25" s="642"/>
      <c r="AF25" s="642"/>
      <c r="AG25" s="642"/>
      <c r="AH25" s="642"/>
      <c r="AI25" s="642" t="s">
        <v>48</v>
      </c>
      <c r="AJ25" s="642"/>
      <c r="AK25" s="642"/>
      <c r="AL25" s="642"/>
      <c r="AM25" s="642"/>
      <c r="AN25" s="642"/>
      <c r="AO25" s="642"/>
      <c r="AP25" s="642"/>
      <c r="AQ25" s="642"/>
      <c r="AR25" s="642"/>
      <c r="AS25" s="642" t="s">
        <v>132</v>
      </c>
      <c r="AT25" s="642"/>
      <c r="AU25" s="642"/>
      <c r="AV25" s="642"/>
      <c r="AW25" s="642"/>
      <c r="AX25" s="642"/>
      <c r="AY25" s="642"/>
      <c r="AZ25" s="642"/>
      <c r="BA25" s="642"/>
      <c r="BB25" s="642"/>
      <c r="BC25" s="642" t="s">
        <v>51</v>
      </c>
      <c r="BD25" s="642"/>
      <c r="BE25" s="642"/>
      <c r="BF25" s="642"/>
      <c r="BG25" s="642"/>
      <c r="BH25" s="642"/>
      <c r="BI25" s="642"/>
      <c r="BJ25" s="642"/>
      <c r="BK25" s="642"/>
      <c r="BL25" s="642"/>
      <c r="BM25" s="642" t="s">
        <v>48</v>
      </c>
      <c r="BN25" s="642"/>
      <c r="BO25" s="642"/>
      <c r="BP25" s="642"/>
      <c r="BQ25" s="642"/>
      <c r="BR25" s="642"/>
      <c r="BS25" s="642"/>
      <c r="BT25" s="642"/>
      <c r="BU25" s="642"/>
      <c r="BV25" s="642"/>
      <c r="BW25" s="642" t="s">
        <v>83</v>
      </c>
      <c r="BX25" s="642"/>
      <c r="BY25" s="642"/>
      <c r="BZ25" s="642"/>
      <c r="CA25" s="642"/>
      <c r="CB25" s="642"/>
      <c r="CC25" s="642"/>
      <c r="CD25" s="642"/>
      <c r="CE25" s="642"/>
      <c r="CF25" s="642"/>
      <c r="CG25" s="642" t="s">
        <v>104</v>
      </c>
      <c r="CH25" s="642"/>
      <c r="CI25" s="642"/>
      <c r="CJ25" s="642"/>
      <c r="CK25" s="642"/>
      <c r="CL25" s="642"/>
      <c r="CM25" s="642"/>
      <c r="CN25" s="642"/>
      <c r="CO25" s="642"/>
      <c r="CP25" s="642"/>
      <c r="CQ25" s="642" t="s">
        <v>177</v>
      </c>
      <c r="CR25" s="642"/>
      <c r="CS25" s="642"/>
      <c r="CT25" s="642"/>
      <c r="CU25" s="642"/>
      <c r="CV25" s="642"/>
      <c r="CW25" s="642"/>
      <c r="CX25" s="642"/>
      <c r="CY25" s="642"/>
      <c r="CZ25" s="642"/>
      <c r="DA25" s="642" t="s">
        <v>104</v>
      </c>
      <c r="DB25" s="642"/>
      <c r="DC25" s="642"/>
      <c r="DD25" s="642"/>
      <c r="DE25" s="642"/>
      <c r="DF25" s="642"/>
      <c r="DG25" s="642"/>
      <c r="DH25" s="642"/>
      <c r="DI25" s="642"/>
      <c r="DJ25" s="642"/>
      <c r="DK25" s="642" t="s">
        <v>51</v>
      </c>
      <c r="DL25" s="642"/>
      <c r="DM25" s="642"/>
      <c r="DN25" s="642"/>
      <c r="DO25" s="642"/>
      <c r="DP25" s="642"/>
      <c r="DQ25" s="642"/>
      <c r="DR25" s="642"/>
      <c r="DS25" s="642"/>
      <c r="DT25" s="642"/>
      <c r="DU25" s="642" t="s">
        <v>188</v>
      </c>
      <c r="DV25" s="642"/>
      <c r="DW25" s="642"/>
      <c r="DX25" s="642"/>
      <c r="DY25" s="642"/>
      <c r="DZ25" s="642"/>
      <c r="EA25" s="642"/>
      <c r="EB25" s="642"/>
      <c r="EC25" s="642"/>
      <c r="ED25" s="642"/>
    </row>
    <row r="26" spans="2:134" ht="13.5" customHeight="1">
      <c r="B26" s="648">
        <v>8</v>
      </c>
      <c r="C26" s="269"/>
      <c r="D26" s="269"/>
      <c r="E26" s="644" t="s">
        <v>67</v>
      </c>
      <c r="F26" s="642"/>
      <c r="G26" s="642"/>
      <c r="H26" s="642"/>
      <c r="I26" s="642"/>
      <c r="J26" s="642"/>
      <c r="K26" s="642"/>
      <c r="L26" s="642"/>
      <c r="M26" s="642"/>
      <c r="N26" s="642"/>
      <c r="O26" s="642" t="s">
        <v>47</v>
      </c>
      <c r="P26" s="642"/>
      <c r="Q26" s="642"/>
      <c r="R26" s="642"/>
      <c r="S26" s="642"/>
      <c r="T26" s="642"/>
      <c r="U26" s="642"/>
      <c r="V26" s="642"/>
      <c r="W26" s="642"/>
      <c r="X26" s="642"/>
      <c r="Y26" s="642" t="s">
        <v>51</v>
      </c>
      <c r="Z26" s="642"/>
      <c r="AA26" s="642"/>
      <c r="AB26" s="642"/>
      <c r="AC26" s="642"/>
      <c r="AD26" s="642"/>
      <c r="AE26" s="642"/>
      <c r="AF26" s="642"/>
      <c r="AG26" s="642"/>
      <c r="AH26" s="642"/>
      <c r="AI26" s="642" t="s">
        <v>59</v>
      </c>
      <c r="AJ26" s="642"/>
      <c r="AK26" s="642"/>
      <c r="AL26" s="642"/>
      <c r="AM26" s="642"/>
      <c r="AN26" s="642"/>
      <c r="AO26" s="642"/>
      <c r="AP26" s="642"/>
      <c r="AQ26" s="642"/>
      <c r="AR26" s="642"/>
      <c r="AS26" s="642" t="s">
        <v>77</v>
      </c>
      <c r="AT26" s="642"/>
      <c r="AU26" s="642"/>
      <c r="AV26" s="642"/>
      <c r="AW26" s="642"/>
      <c r="AX26" s="642"/>
      <c r="AY26" s="642"/>
      <c r="AZ26" s="642"/>
      <c r="BA26" s="642"/>
      <c r="BB26" s="642"/>
      <c r="BC26" s="642" t="s">
        <v>86</v>
      </c>
      <c r="BD26" s="642"/>
      <c r="BE26" s="642"/>
      <c r="BF26" s="642"/>
      <c r="BG26" s="642"/>
      <c r="BH26" s="642"/>
      <c r="BI26" s="642"/>
      <c r="BJ26" s="642"/>
      <c r="BK26" s="642"/>
      <c r="BL26" s="642"/>
      <c r="BM26" s="642" t="s">
        <v>51</v>
      </c>
      <c r="BN26" s="642"/>
      <c r="BO26" s="642"/>
      <c r="BP26" s="642"/>
      <c r="BQ26" s="642"/>
      <c r="BR26" s="642"/>
      <c r="BS26" s="642"/>
      <c r="BT26" s="642"/>
      <c r="BU26" s="642"/>
      <c r="BV26" s="642"/>
      <c r="BW26" s="642" t="s">
        <v>51</v>
      </c>
      <c r="BX26" s="642"/>
      <c r="BY26" s="642"/>
      <c r="BZ26" s="642"/>
      <c r="CA26" s="642"/>
      <c r="CB26" s="642"/>
      <c r="CC26" s="642"/>
      <c r="CD26" s="642"/>
      <c r="CE26" s="642"/>
      <c r="CF26" s="642"/>
      <c r="CG26" s="642" t="s">
        <v>100</v>
      </c>
      <c r="CH26" s="642"/>
      <c r="CI26" s="642"/>
      <c r="CJ26" s="642"/>
      <c r="CK26" s="642"/>
      <c r="CL26" s="642"/>
      <c r="CM26" s="642"/>
      <c r="CN26" s="642"/>
      <c r="CO26" s="642"/>
      <c r="CP26" s="642"/>
      <c r="CQ26" s="642" t="s">
        <v>73</v>
      </c>
      <c r="CR26" s="642"/>
      <c r="CS26" s="642"/>
      <c r="CT26" s="642"/>
      <c r="CU26" s="642"/>
      <c r="CV26" s="642"/>
      <c r="CW26" s="642"/>
      <c r="CX26" s="642"/>
      <c r="CY26" s="642"/>
      <c r="CZ26" s="642"/>
      <c r="DA26" s="642" t="s">
        <v>151</v>
      </c>
      <c r="DB26" s="642"/>
      <c r="DC26" s="642"/>
      <c r="DD26" s="642"/>
      <c r="DE26" s="642"/>
      <c r="DF26" s="642"/>
      <c r="DG26" s="642"/>
      <c r="DH26" s="642"/>
      <c r="DI26" s="642"/>
      <c r="DJ26" s="642"/>
      <c r="DK26" s="642" t="s">
        <v>51</v>
      </c>
      <c r="DL26" s="642"/>
      <c r="DM26" s="642"/>
      <c r="DN26" s="642"/>
      <c r="DO26" s="642"/>
      <c r="DP26" s="642"/>
      <c r="DQ26" s="642"/>
      <c r="DR26" s="642"/>
      <c r="DS26" s="642"/>
      <c r="DT26" s="642"/>
      <c r="DU26" s="642" t="s">
        <v>189</v>
      </c>
      <c r="DV26" s="642"/>
      <c r="DW26" s="642"/>
      <c r="DX26" s="642"/>
      <c r="DY26" s="642"/>
      <c r="DZ26" s="642"/>
      <c r="EA26" s="642"/>
      <c r="EB26" s="642"/>
      <c r="EC26" s="642"/>
      <c r="ED26" s="642"/>
    </row>
    <row r="27" spans="2:134" ht="13.5" customHeight="1">
      <c r="B27" s="648">
        <v>9</v>
      </c>
      <c r="C27" s="269"/>
      <c r="D27" s="269"/>
      <c r="E27" s="644" t="s">
        <v>51</v>
      </c>
      <c r="F27" s="642"/>
      <c r="G27" s="642"/>
      <c r="H27" s="642"/>
      <c r="I27" s="642"/>
      <c r="J27" s="642"/>
      <c r="K27" s="642"/>
      <c r="L27" s="642"/>
      <c r="M27" s="642"/>
      <c r="N27" s="642"/>
      <c r="O27" s="642" t="s">
        <v>51</v>
      </c>
      <c r="P27" s="642"/>
      <c r="Q27" s="642"/>
      <c r="R27" s="642"/>
      <c r="S27" s="642"/>
      <c r="T27" s="642"/>
      <c r="U27" s="642"/>
      <c r="V27" s="642"/>
      <c r="W27" s="642"/>
      <c r="X27" s="642"/>
      <c r="Y27" s="642" t="s">
        <v>51</v>
      </c>
      <c r="Z27" s="642"/>
      <c r="AA27" s="642"/>
      <c r="AB27" s="642"/>
      <c r="AC27" s="642"/>
      <c r="AD27" s="642"/>
      <c r="AE27" s="642"/>
      <c r="AF27" s="642"/>
      <c r="AG27" s="642"/>
      <c r="AH27" s="642"/>
      <c r="AI27" s="642" t="s">
        <v>51</v>
      </c>
      <c r="AJ27" s="642"/>
      <c r="AK27" s="642"/>
      <c r="AL27" s="642"/>
      <c r="AM27" s="642"/>
      <c r="AN27" s="642"/>
      <c r="AO27" s="642"/>
      <c r="AP27" s="642"/>
      <c r="AQ27" s="642"/>
      <c r="AR27" s="642"/>
      <c r="AS27" s="642" t="s">
        <v>553</v>
      </c>
      <c r="AT27" s="642"/>
      <c r="AU27" s="642"/>
      <c r="AV27" s="642"/>
      <c r="AW27" s="642"/>
      <c r="AX27" s="642"/>
      <c r="AY27" s="642"/>
      <c r="AZ27" s="642"/>
      <c r="BA27" s="642"/>
      <c r="BB27" s="642"/>
      <c r="BC27" s="642" t="s">
        <v>51</v>
      </c>
      <c r="BD27" s="642"/>
      <c r="BE27" s="642"/>
      <c r="BF27" s="642"/>
      <c r="BG27" s="642"/>
      <c r="BH27" s="642"/>
      <c r="BI27" s="642"/>
      <c r="BJ27" s="642"/>
      <c r="BK27" s="642"/>
      <c r="BL27" s="642"/>
      <c r="BM27" s="642" t="s">
        <v>51</v>
      </c>
      <c r="BN27" s="642"/>
      <c r="BO27" s="642"/>
      <c r="BP27" s="642"/>
      <c r="BQ27" s="642"/>
      <c r="BR27" s="642"/>
      <c r="BS27" s="642"/>
      <c r="BT27" s="642"/>
      <c r="BU27" s="642"/>
      <c r="BV27" s="642"/>
      <c r="BW27" s="642" t="s">
        <v>51</v>
      </c>
      <c r="BX27" s="642"/>
      <c r="BY27" s="642"/>
      <c r="BZ27" s="642"/>
      <c r="CA27" s="642"/>
      <c r="CB27" s="642"/>
      <c r="CC27" s="642"/>
      <c r="CD27" s="642"/>
      <c r="CE27" s="642"/>
      <c r="CF27" s="642"/>
      <c r="CG27" s="642" t="s">
        <v>51</v>
      </c>
      <c r="CH27" s="642"/>
      <c r="CI27" s="642"/>
      <c r="CJ27" s="642"/>
      <c r="CK27" s="642"/>
      <c r="CL27" s="642"/>
      <c r="CM27" s="642"/>
      <c r="CN27" s="642"/>
      <c r="CO27" s="642"/>
      <c r="CP27" s="642"/>
      <c r="CQ27" s="642" t="s">
        <v>178</v>
      </c>
      <c r="CR27" s="642"/>
      <c r="CS27" s="642"/>
      <c r="CT27" s="642"/>
      <c r="CU27" s="642"/>
      <c r="CV27" s="642"/>
      <c r="CW27" s="642"/>
      <c r="CX27" s="642"/>
      <c r="CY27" s="642"/>
      <c r="CZ27" s="642"/>
      <c r="DA27" s="642" t="s">
        <v>51</v>
      </c>
      <c r="DB27" s="642"/>
      <c r="DC27" s="642"/>
      <c r="DD27" s="642"/>
      <c r="DE27" s="642"/>
      <c r="DF27" s="642"/>
      <c r="DG27" s="642"/>
      <c r="DH27" s="642"/>
      <c r="DI27" s="642"/>
      <c r="DJ27" s="642"/>
      <c r="DK27" s="642" t="s">
        <v>161</v>
      </c>
      <c r="DL27" s="642"/>
      <c r="DM27" s="642"/>
      <c r="DN27" s="642"/>
      <c r="DO27" s="642"/>
      <c r="DP27" s="642"/>
      <c r="DQ27" s="642"/>
      <c r="DR27" s="642"/>
      <c r="DS27" s="642"/>
      <c r="DT27" s="642"/>
      <c r="DU27" s="642" t="s">
        <v>84</v>
      </c>
      <c r="DV27" s="642"/>
      <c r="DW27" s="642"/>
      <c r="DX27" s="642"/>
      <c r="DY27" s="642"/>
      <c r="DZ27" s="642"/>
      <c r="EA27" s="642"/>
      <c r="EB27" s="642"/>
      <c r="EC27" s="642"/>
      <c r="ED27" s="642"/>
    </row>
    <row r="28" spans="2:134" ht="13.5" customHeight="1">
      <c r="B28" s="648">
        <v>10</v>
      </c>
      <c r="C28" s="269"/>
      <c r="D28" s="269"/>
      <c r="E28" s="644" t="s">
        <v>47</v>
      </c>
      <c r="F28" s="642"/>
      <c r="G28" s="642"/>
      <c r="H28" s="642"/>
      <c r="I28" s="642"/>
      <c r="J28" s="642"/>
      <c r="K28" s="642"/>
      <c r="L28" s="642"/>
      <c r="M28" s="642"/>
      <c r="N28" s="642"/>
      <c r="O28" s="642" t="s">
        <v>53</v>
      </c>
      <c r="P28" s="642"/>
      <c r="Q28" s="642"/>
      <c r="R28" s="642"/>
      <c r="S28" s="642"/>
      <c r="T28" s="642"/>
      <c r="U28" s="642"/>
      <c r="V28" s="642"/>
      <c r="W28" s="642"/>
      <c r="X28" s="642"/>
      <c r="Y28" s="642" t="s">
        <v>59</v>
      </c>
      <c r="Z28" s="642"/>
      <c r="AA28" s="642"/>
      <c r="AB28" s="642"/>
      <c r="AC28" s="642"/>
      <c r="AD28" s="642"/>
      <c r="AE28" s="642"/>
      <c r="AF28" s="642"/>
      <c r="AG28" s="642"/>
      <c r="AH28" s="642"/>
      <c r="AI28" s="642" t="s">
        <v>51</v>
      </c>
      <c r="AJ28" s="642"/>
      <c r="AK28" s="642"/>
      <c r="AL28" s="642"/>
      <c r="AM28" s="642"/>
      <c r="AN28" s="642"/>
      <c r="AO28" s="642"/>
      <c r="AP28" s="642"/>
      <c r="AQ28" s="642"/>
      <c r="AR28" s="642"/>
      <c r="AS28" s="642" t="s">
        <v>64</v>
      </c>
      <c r="AT28" s="642"/>
      <c r="AU28" s="642"/>
      <c r="AV28" s="642"/>
      <c r="AW28" s="642"/>
      <c r="AX28" s="642"/>
      <c r="AY28" s="642"/>
      <c r="AZ28" s="642"/>
      <c r="BA28" s="642"/>
      <c r="BB28" s="642"/>
      <c r="BC28" s="642" t="s">
        <v>51</v>
      </c>
      <c r="BD28" s="642"/>
      <c r="BE28" s="642"/>
      <c r="BF28" s="642"/>
      <c r="BG28" s="642"/>
      <c r="BH28" s="642"/>
      <c r="BI28" s="642"/>
      <c r="BJ28" s="642"/>
      <c r="BK28" s="642"/>
      <c r="BL28" s="642"/>
      <c r="BM28" s="642" t="s">
        <v>65</v>
      </c>
      <c r="BN28" s="642"/>
      <c r="BO28" s="642"/>
      <c r="BP28" s="642"/>
      <c r="BQ28" s="642"/>
      <c r="BR28" s="642"/>
      <c r="BS28" s="642"/>
      <c r="BT28" s="642"/>
      <c r="BU28" s="642"/>
      <c r="BV28" s="642"/>
      <c r="BW28" s="642" t="s">
        <v>51</v>
      </c>
      <c r="BX28" s="642"/>
      <c r="BY28" s="642"/>
      <c r="BZ28" s="642"/>
      <c r="CA28" s="642"/>
      <c r="CB28" s="642"/>
      <c r="CC28" s="642"/>
      <c r="CD28" s="642"/>
      <c r="CE28" s="642"/>
      <c r="CF28" s="642"/>
      <c r="CG28" s="642" t="s">
        <v>139</v>
      </c>
      <c r="CH28" s="642"/>
      <c r="CI28" s="642"/>
      <c r="CJ28" s="642"/>
      <c r="CK28" s="642"/>
      <c r="CL28" s="642"/>
      <c r="CM28" s="642"/>
      <c r="CN28" s="642"/>
      <c r="CO28" s="642"/>
      <c r="CP28" s="642"/>
      <c r="CQ28" s="642" t="s">
        <v>179</v>
      </c>
      <c r="CR28" s="642"/>
      <c r="CS28" s="642"/>
      <c r="CT28" s="642"/>
      <c r="CU28" s="642"/>
      <c r="CV28" s="642"/>
      <c r="CW28" s="642"/>
      <c r="CX28" s="642"/>
      <c r="CY28" s="642"/>
      <c r="CZ28" s="642"/>
      <c r="DA28" s="642" t="s">
        <v>152</v>
      </c>
      <c r="DB28" s="642"/>
      <c r="DC28" s="642"/>
      <c r="DD28" s="642"/>
      <c r="DE28" s="642"/>
      <c r="DF28" s="642"/>
      <c r="DG28" s="642"/>
      <c r="DH28" s="642"/>
      <c r="DI28" s="642"/>
      <c r="DJ28" s="642"/>
      <c r="DK28" s="642" t="s">
        <v>162</v>
      </c>
      <c r="DL28" s="642"/>
      <c r="DM28" s="642"/>
      <c r="DN28" s="642"/>
      <c r="DO28" s="642"/>
      <c r="DP28" s="642"/>
      <c r="DQ28" s="642"/>
      <c r="DR28" s="642"/>
      <c r="DS28" s="642"/>
      <c r="DT28" s="642"/>
      <c r="DU28" s="642" t="s">
        <v>190</v>
      </c>
      <c r="DV28" s="642"/>
      <c r="DW28" s="642"/>
      <c r="DX28" s="642"/>
      <c r="DY28" s="642"/>
      <c r="DZ28" s="642"/>
      <c r="EA28" s="642"/>
      <c r="EB28" s="642"/>
      <c r="EC28" s="642"/>
      <c r="ED28" s="642"/>
    </row>
    <row r="29" spans="2:134" ht="13.5" customHeight="1">
      <c r="B29" s="648">
        <v>11</v>
      </c>
      <c r="C29" s="269"/>
      <c r="D29" s="269"/>
      <c r="E29" s="644" t="s">
        <v>51</v>
      </c>
      <c r="F29" s="642"/>
      <c r="G29" s="642"/>
      <c r="H29" s="642"/>
      <c r="I29" s="642"/>
      <c r="J29" s="642"/>
      <c r="K29" s="642"/>
      <c r="L29" s="642"/>
      <c r="M29" s="642"/>
      <c r="N29" s="642"/>
      <c r="O29" s="642" t="s">
        <v>71</v>
      </c>
      <c r="P29" s="642"/>
      <c r="Q29" s="642"/>
      <c r="R29" s="642"/>
      <c r="S29" s="642"/>
      <c r="T29" s="642"/>
      <c r="U29" s="642"/>
      <c r="V29" s="642"/>
      <c r="W29" s="642"/>
      <c r="X29" s="642"/>
      <c r="Y29" s="642" t="s">
        <v>51</v>
      </c>
      <c r="Z29" s="642"/>
      <c r="AA29" s="642"/>
      <c r="AB29" s="642"/>
      <c r="AC29" s="642"/>
      <c r="AD29" s="642"/>
      <c r="AE29" s="642"/>
      <c r="AF29" s="642"/>
      <c r="AG29" s="642"/>
      <c r="AH29" s="642"/>
      <c r="AI29" s="642" t="s">
        <v>51</v>
      </c>
      <c r="AJ29" s="642"/>
      <c r="AK29" s="642"/>
      <c r="AL29" s="642"/>
      <c r="AM29" s="642"/>
      <c r="AN29" s="642"/>
      <c r="AO29" s="642"/>
      <c r="AP29" s="642"/>
      <c r="AQ29" s="642"/>
      <c r="AR29" s="642"/>
      <c r="AS29" s="642" t="s">
        <v>49</v>
      </c>
      <c r="AT29" s="642"/>
      <c r="AU29" s="642"/>
      <c r="AV29" s="642"/>
      <c r="AW29" s="642"/>
      <c r="AX29" s="642"/>
      <c r="AY29" s="642"/>
      <c r="AZ29" s="642"/>
      <c r="BA29" s="642"/>
      <c r="BB29" s="642"/>
      <c r="BC29" s="642" t="s">
        <v>554</v>
      </c>
      <c r="BD29" s="642"/>
      <c r="BE29" s="642"/>
      <c r="BF29" s="642"/>
      <c r="BG29" s="642"/>
      <c r="BH29" s="642"/>
      <c r="BI29" s="642"/>
      <c r="BJ29" s="642"/>
      <c r="BK29" s="642"/>
      <c r="BL29" s="642"/>
      <c r="BM29" s="642" t="s">
        <v>51</v>
      </c>
      <c r="BN29" s="642"/>
      <c r="BO29" s="642"/>
      <c r="BP29" s="642"/>
      <c r="BQ29" s="642"/>
      <c r="BR29" s="642"/>
      <c r="BS29" s="642"/>
      <c r="BT29" s="642"/>
      <c r="BU29" s="642"/>
      <c r="BV29" s="642"/>
      <c r="BW29" s="642" t="s">
        <v>51</v>
      </c>
      <c r="BX29" s="642"/>
      <c r="BY29" s="642"/>
      <c r="BZ29" s="642"/>
      <c r="CA29" s="642"/>
      <c r="CB29" s="642"/>
      <c r="CC29" s="642"/>
      <c r="CD29" s="642"/>
      <c r="CE29" s="642"/>
      <c r="CF29" s="642"/>
      <c r="CG29" s="642" t="s">
        <v>140</v>
      </c>
      <c r="CH29" s="642"/>
      <c r="CI29" s="642"/>
      <c r="CJ29" s="642"/>
      <c r="CK29" s="642"/>
      <c r="CL29" s="642"/>
      <c r="CM29" s="642"/>
      <c r="CN29" s="642"/>
      <c r="CO29" s="642"/>
      <c r="CP29" s="642"/>
      <c r="CQ29" s="642" t="s">
        <v>180</v>
      </c>
      <c r="CR29" s="642"/>
      <c r="CS29" s="642"/>
      <c r="CT29" s="642"/>
      <c r="CU29" s="642"/>
      <c r="CV29" s="642"/>
      <c r="CW29" s="642"/>
      <c r="CX29" s="642"/>
      <c r="CY29" s="642"/>
      <c r="CZ29" s="642"/>
      <c r="DA29" s="642" t="s">
        <v>153</v>
      </c>
      <c r="DB29" s="642"/>
      <c r="DC29" s="642"/>
      <c r="DD29" s="642"/>
      <c r="DE29" s="642"/>
      <c r="DF29" s="642"/>
      <c r="DG29" s="642"/>
      <c r="DH29" s="642"/>
      <c r="DI29" s="642"/>
      <c r="DJ29" s="642"/>
      <c r="DK29" s="642" t="s">
        <v>163</v>
      </c>
      <c r="DL29" s="642"/>
      <c r="DM29" s="642"/>
      <c r="DN29" s="642"/>
      <c r="DO29" s="642"/>
      <c r="DP29" s="642"/>
      <c r="DQ29" s="642"/>
      <c r="DR29" s="642"/>
      <c r="DS29" s="642"/>
      <c r="DT29" s="642"/>
      <c r="DU29" s="642" t="s">
        <v>191</v>
      </c>
      <c r="DV29" s="642"/>
      <c r="DW29" s="642"/>
      <c r="DX29" s="642"/>
      <c r="DY29" s="642"/>
      <c r="DZ29" s="642"/>
      <c r="EA29" s="642"/>
      <c r="EB29" s="642"/>
      <c r="EC29" s="642"/>
      <c r="ED29" s="642"/>
    </row>
    <row r="30" spans="2:134" ht="13.5" customHeight="1">
      <c r="B30" s="648">
        <v>12</v>
      </c>
      <c r="C30" s="269"/>
      <c r="D30" s="269"/>
      <c r="E30" s="644" t="s">
        <v>115</v>
      </c>
      <c r="F30" s="642"/>
      <c r="G30" s="642"/>
      <c r="H30" s="642"/>
      <c r="I30" s="642"/>
      <c r="J30" s="642"/>
      <c r="K30" s="642"/>
      <c r="L30" s="642"/>
      <c r="M30" s="642"/>
      <c r="N30" s="642"/>
      <c r="O30" s="642" t="s">
        <v>115</v>
      </c>
      <c r="P30" s="642"/>
      <c r="Q30" s="642"/>
      <c r="R30" s="642"/>
      <c r="S30" s="642"/>
      <c r="T30" s="642"/>
      <c r="U30" s="642"/>
      <c r="V30" s="642"/>
      <c r="W30" s="642"/>
      <c r="X30" s="642"/>
      <c r="Y30" s="642" t="s">
        <v>51</v>
      </c>
      <c r="Z30" s="642"/>
      <c r="AA30" s="642"/>
      <c r="AB30" s="642"/>
      <c r="AC30" s="642"/>
      <c r="AD30" s="642"/>
      <c r="AE30" s="642"/>
      <c r="AF30" s="642"/>
      <c r="AG30" s="642"/>
      <c r="AH30" s="642"/>
      <c r="AI30" s="642" t="s">
        <v>51</v>
      </c>
      <c r="AJ30" s="642"/>
      <c r="AK30" s="642"/>
      <c r="AL30" s="642"/>
      <c r="AM30" s="642"/>
      <c r="AN30" s="642"/>
      <c r="AO30" s="642"/>
      <c r="AP30" s="642"/>
      <c r="AQ30" s="642"/>
      <c r="AR30" s="642"/>
      <c r="AS30" s="642" t="s">
        <v>80</v>
      </c>
      <c r="AT30" s="642"/>
      <c r="AU30" s="642"/>
      <c r="AV30" s="642"/>
      <c r="AW30" s="642"/>
      <c r="AX30" s="642"/>
      <c r="AY30" s="642"/>
      <c r="AZ30" s="642"/>
      <c r="BA30" s="642"/>
      <c r="BB30" s="642"/>
      <c r="BC30" s="642" t="s">
        <v>71</v>
      </c>
      <c r="BD30" s="642"/>
      <c r="BE30" s="642"/>
      <c r="BF30" s="642"/>
      <c r="BG30" s="642"/>
      <c r="BH30" s="642"/>
      <c r="BI30" s="642"/>
      <c r="BJ30" s="642"/>
      <c r="BK30" s="642"/>
      <c r="BL30" s="642"/>
      <c r="BM30" s="642" t="s">
        <v>51</v>
      </c>
      <c r="BN30" s="642"/>
      <c r="BO30" s="642"/>
      <c r="BP30" s="642"/>
      <c r="BQ30" s="642"/>
      <c r="BR30" s="642"/>
      <c r="BS30" s="642"/>
      <c r="BT30" s="642"/>
      <c r="BU30" s="642"/>
      <c r="BV30" s="642"/>
      <c r="BW30" s="642" t="s">
        <v>51</v>
      </c>
      <c r="BX30" s="642"/>
      <c r="BY30" s="642"/>
      <c r="BZ30" s="642"/>
      <c r="CA30" s="642"/>
      <c r="CB30" s="642"/>
      <c r="CC30" s="642"/>
      <c r="CD30" s="642"/>
      <c r="CE30" s="642"/>
      <c r="CF30" s="642"/>
      <c r="CG30" s="642" t="s">
        <v>141</v>
      </c>
      <c r="CH30" s="642"/>
      <c r="CI30" s="642"/>
      <c r="CJ30" s="642"/>
      <c r="CK30" s="642"/>
      <c r="CL30" s="642"/>
      <c r="CM30" s="642"/>
      <c r="CN30" s="642"/>
      <c r="CO30" s="642"/>
      <c r="CP30" s="642"/>
      <c r="CQ30" s="642" t="s">
        <v>181</v>
      </c>
      <c r="CR30" s="642"/>
      <c r="CS30" s="642"/>
      <c r="CT30" s="642"/>
      <c r="CU30" s="642"/>
      <c r="CV30" s="642"/>
      <c r="CW30" s="642"/>
      <c r="CX30" s="642"/>
      <c r="CY30" s="642"/>
      <c r="CZ30" s="642"/>
      <c r="DA30" s="642" t="s">
        <v>168</v>
      </c>
      <c r="DB30" s="642"/>
      <c r="DC30" s="642"/>
      <c r="DD30" s="642"/>
      <c r="DE30" s="642"/>
      <c r="DF30" s="642"/>
      <c r="DG30" s="642"/>
      <c r="DH30" s="642"/>
      <c r="DI30" s="642"/>
      <c r="DJ30" s="642"/>
      <c r="DK30" s="642" t="s">
        <v>54</v>
      </c>
      <c r="DL30" s="642"/>
      <c r="DM30" s="642"/>
      <c r="DN30" s="642"/>
      <c r="DO30" s="642"/>
      <c r="DP30" s="642"/>
      <c r="DQ30" s="642"/>
      <c r="DR30" s="642"/>
      <c r="DS30" s="642"/>
      <c r="DT30" s="642"/>
      <c r="DU30" s="642" t="s">
        <v>51</v>
      </c>
      <c r="DV30" s="642"/>
      <c r="DW30" s="642"/>
      <c r="DX30" s="642"/>
      <c r="DY30" s="642"/>
      <c r="DZ30" s="642"/>
      <c r="EA30" s="642"/>
      <c r="EB30" s="642"/>
      <c r="EC30" s="642"/>
      <c r="ED30" s="642"/>
    </row>
    <row r="31" spans="2:134" ht="13.5" customHeight="1">
      <c r="B31" s="648">
        <v>13</v>
      </c>
      <c r="C31" s="269"/>
      <c r="D31" s="269"/>
      <c r="E31" s="644" t="s">
        <v>71</v>
      </c>
      <c r="F31" s="642"/>
      <c r="G31" s="642"/>
      <c r="H31" s="642"/>
      <c r="I31" s="642"/>
      <c r="J31" s="642"/>
      <c r="K31" s="642"/>
      <c r="L31" s="642"/>
      <c r="M31" s="642"/>
      <c r="N31" s="642"/>
      <c r="O31" s="642" t="s">
        <v>51</v>
      </c>
      <c r="P31" s="642"/>
      <c r="Q31" s="642"/>
      <c r="R31" s="642"/>
      <c r="S31" s="642"/>
      <c r="T31" s="642"/>
      <c r="U31" s="642"/>
      <c r="V31" s="642"/>
      <c r="W31" s="642"/>
      <c r="X31" s="642"/>
      <c r="Y31" s="642" t="s">
        <v>51</v>
      </c>
      <c r="Z31" s="642"/>
      <c r="AA31" s="642"/>
      <c r="AB31" s="642"/>
      <c r="AC31" s="642"/>
      <c r="AD31" s="642"/>
      <c r="AE31" s="642"/>
      <c r="AF31" s="642"/>
      <c r="AG31" s="642"/>
      <c r="AH31" s="642"/>
      <c r="AI31" s="642" t="s">
        <v>51</v>
      </c>
      <c r="AJ31" s="642"/>
      <c r="AK31" s="642"/>
      <c r="AL31" s="642"/>
      <c r="AM31" s="642"/>
      <c r="AN31" s="642"/>
      <c r="AO31" s="642"/>
      <c r="AP31" s="642"/>
      <c r="AQ31" s="642"/>
      <c r="AR31" s="642"/>
      <c r="AS31" s="642" t="s">
        <v>51</v>
      </c>
      <c r="AT31" s="642"/>
      <c r="AU31" s="642"/>
      <c r="AV31" s="642"/>
      <c r="AW31" s="642"/>
      <c r="AX31" s="642"/>
      <c r="AY31" s="642"/>
      <c r="AZ31" s="642"/>
      <c r="BA31" s="642"/>
      <c r="BB31" s="642"/>
      <c r="BC31" s="642" t="s">
        <v>51</v>
      </c>
      <c r="BD31" s="642"/>
      <c r="BE31" s="642"/>
      <c r="BF31" s="642"/>
      <c r="BG31" s="642"/>
      <c r="BH31" s="642"/>
      <c r="BI31" s="642"/>
      <c r="BJ31" s="642"/>
      <c r="BK31" s="642"/>
      <c r="BL31" s="642"/>
      <c r="BM31" s="642" t="s">
        <v>51</v>
      </c>
      <c r="BN31" s="642"/>
      <c r="BO31" s="642"/>
      <c r="BP31" s="642"/>
      <c r="BQ31" s="642"/>
      <c r="BR31" s="642"/>
      <c r="BS31" s="642"/>
      <c r="BT31" s="642"/>
      <c r="BU31" s="642"/>
      <c r="BV31" s="642"/>
      <c r="BW31" s="642" t="s">
        <v>51</v>
      </c>
      <c r="BX31" s="642"/>
      <c r="BY31" s="642"/>
      <c r="BZ31" s="642"/>
      <c r="CA31" s="642"/>
      <c r="CB31" s="642"/>
      <c r="CC31" s="642"/>
      <c r="CD31" s="642"/>
      <c r="CE31" s="642"/>
      <c r="CF31" s="642"/>
      <c r="CG31" s="642" t="s">
        <v>142</v>
      </c>
      <c r="CH31" s="642"/>
      <c r="CI31" s="642"/>
      <c r="CJ31" s="642"/>
      <c r="CK31" s="642"/>
      <c r="CL31" s="642"/>
      <c r="CM31" s="642"/>
      <c r="CN31" s="642"/>
      <c r="CO31" s="642"/>
      <c r="CP31" s="642"/>
      <c r="CQ31" s="642" t="s">
        <v>53</v>
      </c>
      <c r="CR31" s="642"/>
      <c r="CS31" s="642"/>
      <c r="CT31" s="642"/>
      <c r="CU31" s="642"/>
      <c r="CV31" s="642"/>
      <c r="CW31" s="642"/>
      <c r="CX31" s="642"/>
      <c r="CY31" s="642"/>
      <c r="CZ31" s="642"/>
      <c r="DA31" s="642" t="s">
        <v>154</v>
      </c>
      <c r="DB31" s="642"/>
      <c r="DC31" s="642"/>
      <c r="DD31" s="642"/>
      <c r="DE31" s="642"/>
      <c r="DF31" s="642"/>
      <c r="DG31" s="642"/>
      <c r="DH31" s="642"/>
      <c r="DI31" s="642"/>
      <c r="DJ31" s="642"/>
      <c r="DK31" s="642" t="s">
        <v>164</v>
      </c>
      <c r="DL31" s="642"/>
      <c r="DM31" s="642"/>
      <c r="DN31" s="642"/>
      <c r="DO31" s="642"/>
      <c r="DP31" s="642"/>
      <c r="DQ31" s="642"/>
      <c r="DR31" s="642"/>
      <c r="DS31" s="642"/>
      <c r="DT31" s="642"/>
      <c r="DU31" s="642" t="s">
        <v>192</v>
      </c>
      <c r="DV31" s="642"/>
      <c r="DW31" s="642"/>
      <c r="DX31" s="642"/>
      <c r="DY31" s="642"/>
      <c r="DZ31" s="642"/>
      <c r="EA31" s="642"/>
      <c r="EB31" s="642"/>
      <c r="EC31" s="642"/>
      <c r="ED31" s="642"/>
    </row>
    <row r="32" spans="2:134" ht="13.5" customHeight="1">
      <c r="B32" s="648">
        <v>14</v>
      </c>
      <c r="C32" s="269"/>
      <c r="D32" s="269"/>
      <c r="E32" s="644" t="s">
        <v>51</v>
      </c>
      <c r="F32" s="642"/>
      <c r="G32" s="642"/>
      <c r="H32" s="642"/>
      <c r="I32" s="642"/>
      <c r="J32" s="642"/>
      <c r="K32" s="642"/>
      <c r="L32" s="642"/>
      <c r="M32" s="642"/>
      <c r="N32" s="642"/>
      <c r="O32" s="642" t="s">
        <v>58</v>
      </c>
      <c r="P32" s="642"/>
      <c r="Q32" s="642"/>
      <c r="R32" s="642"/>
      <c r="S32" s="642"/>
      <c r="T32" s="642"/>
      <c r="U32" s="642"/>
      <c r="V32" s="642"/>
      <c r="W32" s="642"/>
      <c r="X32" s="642"/>
      <c r="Y32" s="642" t="s">
        <v>51</v>
      </c>
      <c r="Z32" s="642"/>
      <c r="AA32" s="642"/>
      <c r="AB32" s="642"/>
      <c r="AC32" s="642"/>
      <c r="AD32" s="642"/>
      <c r="AE32" s="642"/>
      <c r="AF32" s="642"/>
      <c r="AG32" s="642"/>
      <c r="AH32" s="642"/>
      <c r="AI32" s="642" t="s">
        <v>51</v>
      </c>
      <c r="AJ32" s="642"/>
      <c r="AK32" s="642"/>
      <c r="AL32" s="642"/>
      <c r="AM32" s="642"/>
      <c r="AN32" s="642"/>
      <c r="AO32" s="642"/>
      <c r="AP32" s="642"/>
      <c r="AQ32" s="642"/>
      <c r="AR32" s="642"/>
      <c r="AS32" s="642" t="s">
        <v>60</v>
      </c>
      <c r="AT32" s="642"/>
      <c r="AU32" s="642"/>
      <c r="AV32" s="642"/>
      <c r="AW32" s="642"/>
      <c r="AX32" s="642"/>
      <c r="AY32" s="642"/>
      <c r="AZ32" s="642"/>
      <c r="BA32" s="642"/>
      <c r="BB32" s="642"/>
      <c r="BC32" s="642" t="s">
        <v>51</v>
      </c>
      <c r="BD32" s="642"/>
      <c r="BE32" s="642"/>
      <c r="BF32" s="642"/>
      <c r="BG32" s="642"/>
      <c r="BH32" s="642"/>
      <c r="BI32" s="642"/>
      <c r="BJ32" s="642"/>
      <c r="BK32" s="642"/>
      <c r="BL32" s="642"/>
      <c r="BM32" s="642" t="s">
        <v>51</v>
      </c>
      <c r="BN32" s="642"/>
      <c r="BO32" s="642"/>
      <c r="BP32" s="642"/>
      <c r="BQ32" s="642"/>
      <c r="BR32" s="642"/>
      <c r="BS32" s="642"/>
      <c r="BT32" s="642"/>
      <c r="BU32" s="642"/>
      <c r="BV32" s="642"/>
      <c r="BW32" s="642" t="s">
        <v>51</v>
      </c>
      <c r="BX32" s="642"/>
      <c r="BY32" s="642"/>
      <c r="BZ32" s="642"/>
      <c r="CA32" s="642"/>
      <c r="CB32" s="642"/>
      <c r="CC32" s="642"/>
      <c r="CD32" s="642"/>
      <c r="CE32" s="642"/>
      <c r="CF32" s="642"/>
      <c r="CG32" s="642" t="s">
        <v>143</v>
      </c>
      <c r="CH32" s="642"/>
      <c r="CI32" s="642"/>
      <c r="CJ32" s="642"/>
      <c r="CK32" s="642"/>
      <c r="CL32" s="642"/>
      <c r="CM32" s="642"/>
      <c r="CN32" s="642"/>
      <c r="CO32" s="642"/>
      <c r="CP32" s="642"/>
      <c r="CQ32" s="642" t="s">
        <v>59</v>
      </c>
      <c r="CR32" s="642"/>
      <c r="CS32" s="642"/>
      <c r="CT32" s="642"/>
      <c r="CU32" s="642"/>
      <c r="CV32" s="642"/>
      <c r="CW32" s="642"/>
      <c r="CX32" s="642"/>
      <c r="CY32" s="642"/>
      <c r="CZ32" s="642"/>
      <c r="DA32" s="642" t="s">
        <v>155</v>
      </c>
      <c r="DB32" s="642"/>
      <c r="DC32" s="642"/>
      <c r="DD32" s="642"/>
      <c r="DE32" s="642"/>
      <c r="DF32" s="642"/>
      <c r="DG32" s="642"/>
      <c r="DH32" s="642"/>
      <c r="DI32" s="642"/>
      <c r="DJ32" s="642"/>
      <c r="DK32" s="642" t="s">
        <v>165</v>
      </c>
      <c r="DL32" s="642"/>
      <c r="DM32" s="642"/>
      <c r="DN32" s="642"/>
      <c r="DO32" s="642"/>
      <c r="DP32" s="642"/>
      <c r="DQ32" s="642"/>
      <c r="DR32" s="642"/>
      <c r="DS32" s="642"/>
      <c r="DT32" s="642"/>
      <c r="DU32" s="642" t="s">
        <v>193</v>
      </c>
      <c r="DV32" s="642"/>
      <c r="DW32" s="642"/>
      <c r="DX32" s="642"/>
      <c r="DY32" s="642"/>
      <c r="DZ32" s="642"/>
      <c r="EA32" s="642"/>
      <c r="EB32" s="642"/>
      <c r="EC32" s="642"/>
      <c r="ED32" s="642"/>
    </row>
    <row r="33" spans="2:134" ht="13.5" customHeight="1">
      <c r="B33" s="648">
        <v>15</v>
      </c>
      <c r="C33" s="269"/>
      <c r="D33" s="269"/>
      <c r="E33" s="644" t="s">
        <v>51</v>
      </c>
      <c r="F33" s="642"/>
      <c r="G33" s="642"/>
      <c r="H33" s="642"/>
      <c r="I33" s="642"/>
      <c r="J33" s="642"/>
      <c r="K33" s="642"/>
      <c r="L33" s="642"/>
      <c r="M33" s="642"/>
      <c r="N33" s="642"/>
      <c r="O33" s="642" t="s">
        <v>50</v>
      </c>
      <c r="P33" s="642"/>
      <c r="Q33" s="642"/>
      <c r="R33" s="642"/>
      <c r="S33" s="642"/>
      <c r="T33" s="642"/>
      <c r="U33" s="642"/>
      <c r="V33" s="642"/>
      <c r="W33" s="642"/>
      <c r="X33" s="642"/>
      <c r="Y33" s="642" t="s">
        <v>51</v>
      </c>
      <c r="Z33" s="642"/>
      <c r="AA33" s="642"/>
      <c r="AB33" s="642"/>
      <c r="AC33" s="642"/>
      <c r="AD33" s="642"/>
      <c r="AE33" s="642"/>
      <c r="AF33" s="642"/>
      <c r="AG33" s="642"/>
      <c r="AH33" s="642"/>
      <c r="AI33" s="642" t="s">
        <v>51</v>
      </c>
      <c r="AJ33" s="642"/>
      <c r="AK33" s="642"/>
      <c r="AL33" s="642"/>
      <c r="AM33" s="642"/>
      <c r="AN33" s="642"/>
      <c r="AO33" s="642"/>
      <c r="AP33" s="642"/>
      <c r="AQ33" s="642"/>
      <c r="AR33" s="642"/>
      <c r="AS33" s="642" t="s">
        <v>51</v>
      </c>
      <c r="AT33" s="642"/>
      <c r="AU33" s="642"/>
      <c r="AV33" s="642"/>
      <c r="AW33" s="642"/>
      <c r="AX33" s="642"/>
      <c r="AY33" s="642"/>
      <c r="AZ33" s="642"/>
      <c r="BA33" s="642"/>
      <c r="BB33" s="642"/>
      <c r="BC33" s="642" t="s">
        <v>51</v>
      </c>
      <c r="BD33" s="642"/>
      <c r="BE33" s="642"/>
      <c r="BF33" s="642"/>
      <c r="BG33" s="642"/>
      <c r="BH33" s="642"/>
      <c r="BI33" s="642"/>
      <c r="BJ33" s="642"/>
      <c r="BK33" s="642"/>
      <c r="BL33" s="642"/>
      <c r="BM33" s="642" t="s">
        <v>51</v>
      </c>
      <c r="BN33" s="642"/>
      <c r="BO33" s="642"/>
      <c r="BP33" s="642"/>
      <c r="BQ33" s="642"/>
      <c r="BR33" s="642"/>
      <c r="BS33" s="642"/>
      <c r="BT33" s="642"/>
      <c r="BU33" s="642"/>
      <c r="BV33" s="642"/>
      <c r="BW33" s="642" t="s">
        <v>51</v>
      </c>
      <c r="BX33" s="642"/>
      <c r="BY33" s="642"/>
      <c r="BZ33" s="642"/>
      <c r="CA33" s="642"/>
      <c r="CB33" s="642"/>
      <c r="CC33" s="642"/>
      <c r="CD33" s="642"/>
      <c r="CE33" s="642"/>
      <c r="CF33" s="642"/>
      <c r="CG33" s="642" t="s">
        <v>144</v>
      </c>
      <c r="CH33" s="642"/>
      <c r="CI33" s="642"/>
      <c r="CJ33" s="642"/>
      <c r="CK33" s="642"/>
      <c r="CL33" s="642"/>
      <c r="CM33" s="642"/>
      <c r="CN33" s="642"/>
      <c r="CO33" s="642"/>
      <c r="CP33" s="642"/>
      <c r="CQ33" s="642" t="s">
        <v>57</v>
      </c>
      <c r="CR33" s="642"/>
      <c r="CS33" s="642"/>
      <c r="CT33" s="642"/>
      <c r="CU33" s="642"/>
      <c r="CV33" s="642"/>
      <c r="CW33" s="642"/>
      <c r="CX33" s="642"/>
      <c r="CY33" s="642"/>
      <c r="CZ33" s="642"/>
      <c r="DA33" s="642" t="s">
        <v>75</v>
      </c>
      <c r="DB33" s="642"/>
      <c r="DC33" s="642"/>
      <c r="DD33" s="642"/>
      <c r="DE33" s="642"/>
      <c r="DF33" s="642"/>
      <c r="DG33" s="642"/>
      <c r="DH33" s="642"/>
      <c r="DI33" s="642"/>
      <c r="DJ33" s="642"/>
      <c r="DK33" s="642" t="s">
        <v>166</v>
      </c>
      <c r="DL33" s="642"/>
      <c r="DM33" s="642"/>
      <c r="DN33" s="642"/>
      <c r="DO33" s="642"/>
      <c r="DP33" s="642"/>
      <c r="DQ33" s="642"/>
      <c r="DR33" s="642"/>
      <c r="DS33" s="642"/>
      <c r="DT33" s="642"/>
      <c r="DU33" s="642" t="s">
        <v>51</v>
      </c>
      <c r="DV33" s="642"/>
      <c r="DW33" s="642"/>
      <c r="DX33" s="642"/>
      <c r="DY33" s="642"/>
      <c r="DZ33" s="642"/>
      <c r="EA33" s="642"/>
      <c r="EB33" s="642"/>
      <c r="EC33" s="642"/>
      <c r="ED33" s="642"/>
    </row>
    <row r="34" spans="2:134" ht="13.5" customHeight="1">
      <c r="B34" s="648">
        <v>16</v>
      </c>
      <c r="C34" s="269"/>
      <c r="D34" s="269"/>
      <c r="E34" s="644" t="s">
        <v>110</v>
      </c>
      <c r="F34" s="642"/>
      <c r="G34" s="642"/>
      <c r="H34" s="642"/>
      <c r="I34" s="642"/>
      <c r="J34" s="642"/>
      <c r="K34" s="642"/>
      <c r="L34" s="642"/>
      <c r="M34" s="642"/>
      <c r="N34" s="642"/>
      <c r="O34" s="642" t="s">
        <v>63</v>
      </c>
      <c r="P34" s="642"/>
      <c r="Q34" s="642"/>
      <c r="R34" s="642"/>
      <c r="S34" s="642"/>
      <c r="T34" s="642"/>
      <c r="U34" s="642"/>
      <c r="V34" s="642"/>
      <c r="W34" s="642"/>
      <c r="X34" s="642"/>
      <c r="Y34" s="642" t="s">
        <v>51</v>
      </c>
      <c r="Z34" s="642"/>
      <c r="AA34" s="642"/>
      <c r="AB34" s="642"/>
      <c r="AC34" s="642"/>
      <c r="AD34" s="642"/>
      <c r="AE34" s="642"/>
      <c r="AF34" s="642"/>
      <c r="AG34" s="642"/>
      <c r="AH34" s="642"/>
      <c r="AI34" s="642" t="s">
        <v>51</v>
      </c>
      <c r="AJ34" s="642"/>
      <c r="AK34" s="642"/>
      <c r="AL34" s="642"/>
      <c r="AM34" s="642"/>
      <c r="AN34" s="642"/>
      <c r="AO34" s="642"/>
      <c r="AP34" s="642"/>
      <c r="AQ34" s="642"/>
      <c r="AR34" s="642"/>
      <c r="AS34" s="642" t="s">
        <v>51</v>
      </c>
      <c r="AT34" s="642"/>
      <c r="AU34" s="642"/>
      <c r="AV34" s="642"/>
      <c r="AW34" s="642"/>
      <c r="AX34" s="642"/>
      <c r="AY34" s="642"/>
      <c r="AZ34" s="642"/>
      <c r="BA34" s="642"/>
      <c r="BB34" s="642"/>
      <c r="BC34" s="642" t="s">
        <v>51</v>
      </c>
      <c r="BD34" s="642"/>
      <c r="BE34" s="642"/>
      <c r="BF34" s="642"/>
      <c r="BG34" s="642"/>
      <c r="BH34" s="642"/>
      <c r="BI34" s="642"/>
      <c r="BJ34" s="642"/>
      <c r="BK34" s="642"/>
      <c r="BL34" s="642"/>
      <c r="BM34" s="642" t="s">
        <v>51</v>
      </c>
      <c r="BN34" s="642"/>
      <c r="BO34" s="642"/>
      <c r="BP34" s="642"/>
      <c r="BQ34" s="642"/>
      <c r="BR34" s="642"/>
      <c r="BS34" s="642"/>
      <c r="BT34" s="642"/>
      <c r="BU34" s="642"/>
      <c r="BV34" s="642"/>
      <c r="BW34" s="642" t="s">
        <v>51</v>
      </c>
      <c r="BX34" s="642"/>
      <c r="BY34" s="642"/>
      <c r="BZ34" s="642"/>
      <c r="CA34" s="642"/>
      <c r="CB34" s="642"/>
      <c r="CC34" s="642"/>
      <c r="CD34" s="642"/>
      <c r="CE34" s="642"/>
      <c r="CF34" s="642"/>
      <c r="CG34" s="642" t="s">
        <v>145</v>
      </c>
      <c r="CH34" s="642"/>
      <c r="CI34" s="642"/>
      <c r="CJ34" s="642"/>
      <c r="CK34" s="642"/>
      <c r="CL34" s="642"/>
      <c r="CM34" s="642"/>
      <c r="CN34" s="642"/>
      <c r="CO34" s="642"/>
      <c r="CP34" s="642"/>
      <c r="CQ34" s="642" t="s">
        <v>63</v>
      </c>
      <c r="CR34" s="642"/>
      <c r="CS34" s="642"/>
      <c r="CT34" s="642"/>
      <c r="CU34" s="642"/>
      <c r="CV34" s="642"/>
      <c r="CW34" s="642"/>
      <c r="CX34" s="642"/>
      <c r="CY34" s="642"/>
      <c r="CZ34" s="642"/>
      <c r="DA34" s="642" t="s">
        <v>145</v>
      </c>
      <c r="DB34" s="642"/>
      <c r="DC34" s="642"/>
      <c r="DD34" s="642"/>
      <c r="DE34" s="642"/>
      <c r="DF34" s="642"/>
      <c r="DG34" s="642"/>
      <c r="DH34" s="642"/>
      <c r="DI34" s="642"/>
      <c r="DJ34" s="642"/>
      <c r="DK34" s="642" t="s">
        <v>167</v>
      </c>
      <c r="DL34" s="642"/>
      <c r="DM34" s="642"/>
      <c r="DN34" s="642"/>
      <c r="DO34" s="642"/>
      <c r="DP34" s="642"/>
      <c r="DQ34" s="642"/>
      <c r="DR34" s="642"/>
      <c r="DS34" s="642"/>
      <c r="DT34" s="642"/>
      <c r="DU34" s="642" t="s">
        <v>71</v>
      </c>
      <c r="DV34" s="642"/>
      <c r="DW34" s="642"/>
      <c r="DX34" s="642"/>
      <c r="DY34" s="642"/>
      <c r="DZ34" s="642"/>
      <c r="EA34" s="642"/>
      <c r="EB34" s="642"/>
      <c r="EC34" s="642"/>
      <c r="ED34" s="642"/>
    </row>
    <row r="35" spans="2:134" ht="13.5" customHeight="1">
      <c r="B35" s="648">
        <v>17</v>
      </c>
      <c r="C35" s="269"/>
      <c r="D35" s="269"/>
      <c r="E35" s="644" t="s">
        <v>51</v>
      </c>
      <c r="F35" s="642"/>
      <c r="G35" s="642"/>
      <c r="H35" s="642"/>
      <c r="I35" s="642"/>
      <c r="J35" s="642"/>
      <c r="K35" s="642"/>
      <c r="L35" s="642"/>
      <c r="M35" s="642"/>
      <c r="N35" s="642"/>
      <c r="O35" s="642" t="s">
        <v>51</v>
      </c>
      <c r="P35" s="642"/>
      <c r="Q35" s="642"/>
      <c r="R35" s="642"/>
      <c r="S35" s="642"/>
      <c r="T35" s="642"/>
      <c r="U35" s="642"/>
      <c r="V35" s="642"/>
      <c r="W35" s="642"/>
      <c r="X35" s="642"/>
      <c r="Y35" s="642" t="s">
        <v>51</v>
      </c>
      <c r="Z35" s="642"/>
      <c r="AA35" s="642"/>
      <c r="AB35" s="642"/>
      <c r="AC35" s="642"/>
      <c r="AD35" s="642"/>
      <c r="AE35" s="642"/>
      <c r="AF35" s="642"/>
      <c r="AG35" s="642"/>
      <c r="AH35" s="642"/>
      <c r="AI35" s="642" t="s">
        <v>51</v>
      </c>
      <c r="AJ35" s="642"/>
      <c r="AK35" s="642"/>
      <c r="AL35" s="642"/>
      <c r="AM35" s="642"/>
      <c r="AN35" s="642"/>
      <c r="AO35" s="642"/>
      <c r="AP35" s="642"/>
      <c r="AQ35" s="642"/>
      <c r="AR35" s="642"/>
      <c r="AS35" s="642" t="s">
        <v>51</v>
      </c>
      <c r="AT35" s="642"/>
      <c r="AU35" s="642"/>
      <c r="AV35" s="642"/>
      <c r="AW35" s="642"/>
      <c r="AX35" s="642"/>
      <c r="AY35" s="642"/>
      <c r="AZ35" s="642"/>
      <c r="BA35" s="642"/>
      <c r="BB35" s="642"/>
      <c r="BC35" s="642" t="s">
        <v>51</v>
      </c>
      <c r="BD35" s="642"/>
      <c r="BE35" s="642"/>
      <c r="BF35" s="642"/>
      <c r="BG35" s="642"/>
      <c r="BH35" s="642"/>
      <c r="BI35" s="642"/>
      <c r="BJ35" s="642"/>
      <c r="BK35" s="642"/>
      <c r="BL35" s="642"/>
      <c r="BM35" s="642" t="s">
        <v>51</v>
      </c>
      <c r="BN35" s="642"/>
      <c r="BO35" s="642"/>
      <c r="BP35" s="642"/>
      <c r="BQ35" s="642"/>
      <c r="BR35" s="642"/>
      <c r="BS35" s="642"/>
      <c r="BT35" s="642"/>
      <c r="BU35" s="642"/>
      <c r="BV35" s="642"/>
      <c r="BW35" s="642" t="s">
        <v>51</v>
      </c>
      <c r="BX35" s="642"/>
      <c r="BY35" s="642"/>
      <c r="BZ35" s="642"/>
      <c r="CA35" s="642"/>
      <c r="CB35" s="642"/>
      <c r="CC35" s="642"/>
      <c r="CD35" s="642"/>
      <c r="CE35" s="642"/>
      <c r="CF35" s="642"/>
      <c r="CG35" s="642" t="s">
        <v>51</v>
      </c>
      <c r="CH35" s="642"/>
      <c r="CI35" s="642"/>
      <c r="CJ35" s="642"/>
      <c r="CK35" s="642"/>
      <c r="CL35" s="642"/>
      <c r="CM35" s="642"/>
      <c r="CN35" s="642"/>
      <c r="CO35" s="642"/>
      <c r="CP35" s="642"/>
      <c r="CQ35" s="642" t="s">
        <v>51</v>
      </c>
      <c r="CR35" s="642"/>
      <c r="CS35" s="642"/>
      <c r="CT35" s="642"/>
      <c r="CU35" s="642"/>
      <c r="CV35" s="642"/>
      <c r="CW35" s="642"/>
      <c r="CX35" s="642"/>
      <c r="CY35" s="642"/>
      <c r="CZ35" s="642"/>
      <c r="DA35" s="642" t="s">
        <v>51</v>
      </c>
      <c r="DB35" s="642"/>
      <c r="DC35" s="642"/>
      <c r="DD35" s="642"/>
      <c r="DE35" s="642"/>
      <c r="DF35" s="642"/>
      <c r="DG35" s="642"/>
      <c r="DH35" s="642"/>
      <c r="DI35" s="642"/>
      <c r="DJ35" s="642"/>
      <c r="DK35" s="642" t="s">
        <v>169</v>
      </c>
      <c r="DL35" s="642"/>
      <c r="DM35" s="642"/>
      <c r="DN35" s="642"/>
      <c r="DO35" s="642"/>
      <c r="DP35" s="642"/>
      <c r="DQ35" s="642"/>
      <c r="DR35" s="642"/>
      <c r="DS35" s="642"/>
      <c r="DT35" s="642"/>
      <c r="DU35" s="642" t="s">
        <v>51</v>
      </c>
      <c r="DV35" s="642"/>
      <c r="DW35" s="642"/>
      <c r="DX35" s="642"/>
      <c r="DY35" s="642"/>
      <c r="DZ35" s="642"/>
      <c r="EA35" s="642"/>
      <c r="EB35" s="642"/>
      <c r="EC35" s="642"/>
      <c r="ED35" s="642"/>
    </row>
    <row r="36" spans="2:134" ht="13.5" customHeight="1">
      <c r="B36" s="648">
        <v>18</v>
      </c>
      <c r="C36" s="269"/>
      <c r="D36" s="269"/>
      <c r="E36" s="644" t="s">
        <v>99</v>
      </c>
      <c r="F36" s="642"/>
      <c r="G36" s="642"/>
      <c r="H36" s="642"/>
      <c r="I36" s="642"/>
      <c r="J36" s="642"/>
      <c r="K36" s="642"/>
      <c r="L36" s="642"/>
      <c r="M36" s="642"/>
      <c r="N36" s="642"/>
      <c r="O36" s="642" t="s">
        <v>51</v>
      </c>
      <c r="P36" s="642"/>
      <c r="Q36" s="642"/>
      <c r="R36" s="642"/>
      <c r="S36" s="642"/>
      <c r="T36" s="642"/>
      <c r="U36" s="642"/>
      <c r="V36" s="642"/>
      <c r="W36" s="642"/>
      <c r="X36" s="642"/>
      <c r="Y36" s="642" t="s">
        <v>51</v>
      </c>
      <c r="Z36" s="642"/>
      <c r="AA36" s="642"/>
      <c r="AB36" s="642"/>
      <c r="AC36" s="642"/>
      <c r="AD36" s="642"/>
      <c r="AE36" s="642"/>
      <c r="AF36" s="642"/>
      <c r="AG36" s="642"/>
      <c r="AH36" s="642"/>
      <c r="AI36" s="642" t="s">
        <v>51</v>
      </c>
      <c r="AJ36" s="642"/>
      <c r="AK36" s="642"/>
      <c r="AL36" s="642"/>
      <c r="AM36" s="642"/>
      <c r="AN36" s="642"/>
      <c r="AO36" s="642"/>
      <c r="AP36" s="642"/>
      <c r="AQ36" s="642"/>
      <c r="AR36" s="642"/>
      <c r="AS36" s="642" t="s">
        <v>51</v>
      </c>
      <c r="AT36" s="642"/>
      <c r="AU36" s="642"/>
      <c r="AV36" s="642"/>
      <c r="AW36" s="642"/>
      <c r="AX36" s="642"/>
      <c r="AY36" s="642"/>
      <c r="AZ36" s="642"/>
      <c r="BA36" s="642"/>
      <c r="BB36" s="642"/>
      <c r="BC36" s="642" t="s">
        <v>51</v>
      </c>
      <c r="BD36" s="642"/>
      <c r="BE36" s="642"/>
      <c r="BF36" s="642"/>
      <c r="BG36" s="642"/>
      <c r="BH36" s="642"/>
      <c r="BI36" s="642"/>
      <c r="BJ36" s="642"/>
      <c r="BK36" s="642"/>
      <c r="BL36" s="642"/>
      <c r="BM36" s="642" t="s">
        <v>51</v>
      </c>
      <c r="BN36" s="642"/>
      <c r="BO36" s="642"/>
      <c r="BP36" s="642"/>
      <c r="BQ36" s="642"/>
      <c r="BR36" s="642"/>
      <c r="BS36" s="642"/>
      <c r="BT36" s="642"/>
      <c r="BU36" s="642"/>
      <c r="BV36" s="642"/>
      <c r="BW36" s="642" t="s">
        <v>51</v>
      </c>
      <c r="BX36" s="642"/>
      <c r="BY36" s="642"/>
      <c r="BZ36" s="642"/>
      <c r="CA36" s="642"/>
      <c r="CB36" s="642"/>
      <c r="CC36" s="642"/>
      <c r="CD36" s="642"/>
      <c r="CE36" s="642"/>
      <c r="CF36" s="642"/>
      <c r="CG36" s="642" t="s">
        <v>51</v>
      </c>
      <c r="CH36" s="642"/>
      <c r="CI36" s="642"/>
      <c r="CJ36" s="642"/>
      <c r="CK36" s="642"/>
      <c r="CL36" s="642"/>
      <c r="CM36" s="642"/>
      <c r="CN36" s="642"/>
      <c r="CO36" s="642"/>
      <c r="CP36" s="642"/>
      <c r="CQ36" s="642" t="s">
        <v>51</v>
      </c>
      <c r="CR36" s="642"/>
      <c r="CS36" s="642"/>
      <c r="CT36" s="642"/>
      <c r="CU36" s="642"/>
      <c r="CV36" s="642"/>
      <c r="CW36" s="642"/>
      <c r="CX36" s="642"/>
      <c r="CY36" s="642"/>
      <c r="CZ36" s="642"/>
      <c r="DA36" s="642" t="s">
        <v>51</v>
      </c>
      <c r="DB36" s="642"/>
      <c r="DC36" s="642"/>
      <c r="DD36" s="642"/>
      <c r="DE36" s="642"/>
      <c r="DF36" s="642"/>
      <c r="DG36" s="642"/>
      <c r="DH36" s="642"/>
      <c r="DI36" s="642"/>
      <c r="DJ36" s="642"/>
      <c r="DK36" s="642" t="s">
        <v>170</v>
      </c>
      <c r="DL36" s="642"/>
      <c r="DM36" s="642"/>
      <c r="DN36" s="642"/>
      <c r="DO36" s="642"/>
      <c r="DP36" s="642"/>
      <c r="DQ36" s="642"/>
      <c r="DR36" s="642"/>
      <c r="DS36" s="642"/>
      <c r="DT36" s="642"/>
      <c r="DU36" s="642" t="s">
        <v>194</v>
      </c>
      <c r="DV36" s="642"/>
      <c r="DW36" s="642"/>
      <c r="DX36" s="642"/>
      <c r="DY36" s="642"/>
      <c r="DZ36" s="642"/>
      <c r="EA36" s="642"/>
      <c r="EB36" s="642"/>
      <c r="EC36" s="642"/>
      <c r="ED36" s="642"/>
    </row>
    <row r="37" spans="2:134" ht="13.5" customHeight="1">
      <c r="B37" s="648">
        <v>19</v>
      </c>
      <c r="C37" s="269"/>
      <c r="D37" s="269"/>
      <c r="E37" s="644" t="s">
        <v>62</v>
      </c>
      <c r="F37" s="642"/>
      <c r="G37" s="642"/>
      <c r="H37" s="642"/>
      <c r="I37" s="642"/>
      <c r="J37" s="642"/>
      <c r="K37" s="642"/>
      <c r="L37" s="642"/>
      <c r="M37" s="642"/>
      <c r="N37" s="642"/>
      <c r="O37" s="642" t="s">
        <v>80</v>
      </c>
      <c r="P37" s="642"/>
      <c r="Q37" s="642"/>
      <c r="R37" s="642"/>
      <c r="S37" s="642"/>
      <c r="T37" s="642"/>
      <c r="U37" s="642"/>
      <c r="V37" s="642"/>
      <c r="W37" s="642"/>
      <c r="X37" s="642"/>
      <c r="Y37" s="642" t="s">
        <v>51</v>
      </c>
      <c r="Z37" s="642"/>
      <c r="AA37" s="642"/>
      <c r="AB37" s="642"/>
      <c r="AC37" s="642"/>
      <c r="AD37" s="642"/>
      <c r="AE37" s="642"/>
      <c r="AF37" s="642"/>
      <c r="AG37" s="642"/>
      <c r="AH37" s="642"/>
      <c r="AI37" s="642" t="s">
        <v>51</v>
      </c>
      <c r="AJ37" s="642"/>
      <c r="AK37" s="642"/>
      <c r="AL37" s="642"/>
      <c r="AM37" s="642"/>
      <c r="AN37" s="642"/>
      <c r="AO37" s="642"/>
      <c r="AP37" s="642"/>
      <c r="AQ37" s="642"/>
      <c r="AR37" s="642"/>
      <c r="AS37" s="642" t="s">
        <v>51</v>
      </c>
      <c r="AT37" s="642"/>
      <c r="AU37" s="642"/>
      <c r="AV37" s="642"/>
      <c r="AW37" s="642"/>
      <c r="AX37" s="642"/>
      <c r="AY37" s="642"/>
      <c r="AZ37" s="642"/>
      <c r="BA37" s="642"/>
      <c r="BB37" s="642"/>
      <c r="BC37" s="642" t="s">
        <v>51</v>
      </c>
      <c r="BD37" s="642"/>
      <c r="BE37" s="642"/>
      <c r="BF37" s="642"/>
      <c r="BG37" s="642"/>
      <c r="BH37" s="642"/>
      <c r="BI37" s="642"/>
      <c r="BJ37" s="642"/>
      <c r="BK37" s="642"/>
      <c r="BL37" s="642"/>
      <c r="BM37" s="642" t="s">
        <v>51</v>
      </c>
      <c r="BN37" s="642"/>
      <c r="BO37" s="642"/>
      <c r="BP37" s="642"/>
      <c r="BQ37" s="642"/>
      <c r="BR37" s="642"/>
      <c r="BS37" s="642"/>
      <c r="BT37" s="642"/>
      <c r="BU37" s="642"/>
      <c r="BV37" s="642"/>
      <c r="BW37" s="642" t="s">
        <v>51</v>
      </c>
      <c r="BX37" s="642"/>
      <c r="BY37" s="642"/>
      <c r="BZ37" s="642"/>
      <c r="CA37" s="642"/>
      <c r="CB37" s="642"/>
      <c r="CC37" s="642"/>
      <c r="CD37" s="642"/>
      <c r="CE37" s="642"/>
      <c r="CF37" s="642"/>
      <c r="CG37" s="642" t="s">
        <v>51</v>
      </c>
      <c r="CH37" s="642"/>
      <c r="CI37" s="642"/>
      <c r="CJ37" s="642"/>
      <c r="CK37" s="642"/>
      <c r="CL37" s="642"/>
      <c r="CM37" s="642"/>
      <c r="CN37" s="642"/>
      <c r="CO37" s="642"/>
      <c r="CP37" s="642"/>
      <c r="CQ37" s="642" t="s">
        <v>80</v>
      </c>
      <c r="CR37" s="642"/>
      <c r="CS37" s="642"/>
      <c r="CT37" s="642"/>
      <c r="CU37" s="642"/>
      <c r="CV37" s="642"/>
      <c r="CW37" s="642"/>
      <c r="CX37" s="642"/>
      <c r="CY37" s="642"/>
      <c r="CZ37" s="642"/>
      <c r="DA37" s="642" t="s">
        <v>51</v>
      </c>
      <c r="DB37" s="642"/>
      <c r="DC37" s="642"/>
      <c r="DD37" s="642"/>
      <c r="DE37" s="642"/>
      <c r="DF37" s="642"/>
      <c r="DG37" s="642"/>
      <c r="DH37" s="642"/>
      <c r="DI37" s="642"/>
      <c r="DJ37" s="642"/>
      <c r="DK37" s="642" t="s">
        <v>51</v>
      </c>
      <c r="DL37" s="642"/>
      <c r="DM37" s="642"/>
      <c r="DN37" s="642"/>
      <c r="DO37" s="642"/>
      <c r="DP37" s="642"/>
      <c r="DQ37" s="642"/>
      <c r="DR37" s="642"/>
      <c r="DS37" s="642"/>
      <c r="DT37" s="642"/>
      <c r="DU37" s="642" t="s">
        <v>195</v>
      </c>
      <c r="DV37" s="642"/>
      <c r="DW37" s="642"/>
      <c r="DX37" s="642"/>
      <c r="DY37" s="642"/>
      <c r="DZ37" s="642"/>
      <c r="EA37" s="642"/>
      <c r="EB37" s="642"/>
      <c r="EC37" s="642"/>
      <c r="ED37" s="642"/>
    </row>
    <row r="38" spans="2:134" ht="13.5" customHeight="1">
      <c r="B38" s="645">
        <v>20</v>
      </c>
      <c r="C38" s="646"/>
      <c r="D38" s="646"/>
      <c r="E38" s="649" t="s">
        <v>51</v>
      </c>
      <c r="F38" s="641"/>
      <c r="G38" s="641"/>
      <c r="H38" s="641"/>
      <c r="I38" s="641"/>
      <c r="J38" s="641"/>
      <c r="K38" s="641"/>
      <c r="L38" s="641"/>
      <c r="M38" s="641"/>
      <c r="N38" s="641"/>
      <c r="O38" s="641" t="s">
        <v>100</v>
      </c>
      <c r="P38" s="641"/>
      <c r="Q38" s="641"/>
      <c r="R38" s="641"/>
      <c r="S38" s="641"/>
      <c r="T38" s="641"/>
      <c r="U38" s="641"/>
      <c r="V38" s="641"/>
      <c r="W38" s="641"/>
      <c r="X38" s="641"/>
      <c r="Y38" s="641" t="s">
        <v>51</v>
      </c>
      <c r="Z38" s="641"/>
      <c r="AA38" s="641"/>
      <c r="AB38" s="641"/>
      <c r="AC38" s="641"/>
      <c r="AD38" s="641"/>
      <c r="AE38" s="641"/>
      <c r="AF38" s="641"/>
      <c r="AG38" s="641"/>
      <c r="AH38" s="641"/>
      <c r="AI38" s="641" t="s">
        <v>51</v>
      </c>
      <c r="AJ38" s="641"/>
      <c r="AK38" s="641"/>
      <c r="AL38" s="641"/>
      <c r="AM38" s="641"/>
      <c r="AN38" s="641"/>
      <c r="AO38" s="641"/>
      <c r="AP38" s="641"/>
      <c r="AQ38" s="641"/>
      <c r="AR38" s="641"/>
      <c r="AS38" s="641" t="s">
        <v>51</v>
      </c>
      <c r="AT38" s="641"/>
      <c r="AU38" s="641"/>
      <c r="AV38" s="641"/>
      <c r="AW38" s="641"/>
      <c r="AX38" s="641"/>
      <c r="AY38" s="641"/>
      <c r="AZ38" s="641"/>
      <c r="BA38" s="641"/>
      <c r="BB38" s="641"/>
      <c r="BC38" s="641" t="s">
        <v>51</v>
      </c>
      <c r="BD38" s="641"/>
      <c r="BE38" s="641"/>
      <c r="BF38" s="641"/>
      <c r="BG38" s="641"/>
      <c r="BH38" s="641"/>
      <c r="BI38" s="641"/>
      <c r="BJ38" s="641"/>
      <c r="BK38" s="641"/>
      <c r="BL38" s="641"/>
      <c r="BM38" s="641" t="s">
        <v>51</v>
      </c>
      <c r="BN38" s="641"/>
      <c r="BO38" s="641"/>
      <c r="BP38" s="641"/>
      <c r="BQ38" s="641"/>
      <c r="BR38" s="641"/>
      <c r="BS38" s="641"/>
      <c r="BT38" s="641"/>
      <c r="BU38" s="641"/>
      <c r="BV38" s="641"/>
      <c r="BW38" s="641" t="s">
        <v>51</v>
      </c>
      <c r="BX38" s="641"/>
      <c r="BY38" s="641"/>
      <c r="BZ38" s="641"/>
      <c r="CA38" s="641"/>
      <c r="CB38" s="641"/>
      <c r="CC38" s="641"/>
      <c r="CD38" s="641"/>
      <c r="CE38" s="641"/>
      <c r="CF38" s="641"/>
      <c r="CG38" s="641" t="s">
        <v>51</v>
      </c>
      <c r="CH38" s="641"/>
      <c r="CI38" s="641"/>
      <c r="CJ38" s="641"/>
      <c r="CK38" s="641"/>
      <c r="CL38" s="641"/>
      <c r="CM38" s="641"/>
      <c r="CN38" s="641"/>
      <c r="CO38" s="641"/>
      <c r="CP38" s="641"/>
      <c r="CQ38" s="641" t="s">
        <v>51</v>
      </c>
      <c r="CR38" s="641"/>
      <c r="CS38" s="641"/>
      <c r="CT38" s="641"/>
      <c r="CU38" s="641"/>
      <c r="CV38" s="641"/>
      <c r="CW38" s="641"/>
      <c r="CX38" s="641"/>
      <c r="CY38" s="641"/>
      <c r="CZ38" s="641"/>
      <c r="DA38" s="641" t="s">
        <v>51</v>
      </c>
      <c r="DB38" s="641"/>
      <c r="DC38" s="641"/>
      <c r="DD38" s="641"/>
      <c r="DE38" s="641"/>
      <c r="DF38" s="641"/>
      <c r="DG38" s="641"/>
      <c r="DH38" s="641"/>
      <c r="DI38" s="641"/>
      <c r="DJ38" s="641"/>
      <c r="DK38" s="641" t="s">
        <v>51</v>
      </c>
      <c r="DL38" s="641"/>
      <c r="DM38" s="641"/>
      <c r="DN38" s="641"/>
      <c r="DO38" s="641"/>
      <c r="DP38" s="641"/>
      <c r="DQ38" s="641"/>
      <c r="DR38" s="641"/>
      <c r="DS38" s="641"/>
      <c r="DT38" s="641"/>
      <c r="DU38" s="641" t="s">
        <v>196</v>
      </c>
      <c r="DV38" s="641"/>
      <c r="DW38" s="641"/>
      <c r="DX38" s="641"/>
      <c r="DY38" s="641"/>
      <c r="DZ38" s="641"/>
      <c r="EA38" s="641"/>
      <c r="EB38" s="641"/>
      <c r="EC38" s="641"/>
      <c r="ED38" s="641"/>
    </row>
    <row r="40" spans="2:134" ht="13.5" customHeight="1">
      <c r="C40" s="639" t="s">
        <v>228</v>
      </c>
      <c r="D40" s="639"/>
      <c r="E40" s="639"/>
      <c r="F40" s="639"/>
      <c r="G40" s="639"/>
      <c r="H40" s="639"/>
      <c r="I40" s="639"/>
      <c r="J40" s="639"/>
      <c r="K40" s="639"/>
      <c r="L40" s="639"/>
      <c r="M40" s="639"/>
      <c r="N40" s="639"/>
      <c r="O40" s="639"/>
      <c r="P40" s="639"/>
      <c r="Q40" s="639"/>
      <c r="R40" s="639"/>
    </row>
    <row r="41" spans="2:134" ht="13.5" customHeight="1">
      <c r="C41" s="640"/>
      <c r="D41" s="640"/>
      <c r="E41" s="640"/>
      <c r="F41" s="640"/>
      <c r="G41" s="640"/>
      <c r="H41" s="640"/>
      <c r="I41" s="640"/>
      <c r="J41" s="640"/>
      <c r="K41" s="640"/>
      <c r="L41" s="640"/>
      <c r="M41" s="640"/>
      <c r="N41" s="640"/>
      <c r="O41" s="640"/>
      <c r="P41" s="640"/>
      <c r="Q41" s="640"/>
      <c r="R41" s="640"/>
      <c r="AH41" s="638" t="s">
        <v>300</v>
      </c>
      <c r="AI41" s="638"/>
      <c r="AJ41" s="638"/>
    </row>
    <row r="42" spans="2:134" ht="13.5" customHeight="1">
      <c r="C42" s="27" t="s">
        <v>233</v>
      </c>
      <c r="J42" s="27" t="s">
        <v>266</v>
      </c>
      <c r="AH42" s="638" t="s">
        <v>225</v>
      </c>
      <c r="AI42" s="638"/>
      <c r="AJ42" s="638"/>
    </row>
    <row r="43" spans="2:134" ht="13.5" customHeight="1">
      <c r="C43" s="27" t="s">
        <v>301</v>
      </c>
      <c r="J43" s="27" t="s">
        <v>302</v>
      </c>
      <c r="AH43" s="638" t="s">
        <v>225</v>
      </c>
      <c r="AI43" s="638"/>
      <c r="AJ43" s="638"/>
    </row>
    <row r="44" spans="2:134" ht="13.5" customHeight="1">
      <c r="C44" s="27" t="s">
        <v>234</v>
      </c>
      <c r="J44" s="27" t="s">
        <v>267</v>
      </c>
      <c r="AH44" s="638" t="s">
        <v>225</v>
      </c>
      <c r="AI44" s="638"/>
      <c r="AJ44" s="638"/>
    </row>
    <row r="45" spans="2:134" ht="13.5" customHeight="1">
      <c r="C45" s="27" t="s">
        <v>303</v>
      </c>
      <c r="J45" s="27" t="s">
        <v>307</v>
      </c>
      <c r="AH45" s="638" t="s">
        <v>225</v>
      </c>
      <c r="AI45" s="638"/>
      <c r="AJ45" s="638"/>
    </row>
    <row r="46" spans="2:134" ht="13.5" customHeight="1">
      <c r="C46" s="27" t="s">
        <v>304</v>
      </c>
      <c r="J46" s="27" t="s">
        <v>308</v>
      </c>
      <c r="AH46" s="638" t="s">
        <v>225</v>
      </c>
      <c r="AI46" s="638"/>
      <c r="AJ46" s="638"/>
    </row>
    <row r="47" spans="2:134" ht="13.5" customHeight="1">
      <c r="C47" s="27" t="s">
        <v>305</v>
      </c>
      <c r="J47" s="27" t="s">
        <v>309</v>
      </c>
      <c r="AH47" s="638" t="s">
        <v>225</v>
      </c>
      <c r="AI47" s="638"/>
      <c r="AJ47" s="638"/>
    </row>
    <row r="48" spans="2:134" ht="13.5" customHeight="1">
      <c r="C48" s="27" t="s">
        <v>306</v>
      </c>
      <c r="J48" s="27" t="s">
        <v>310</v>
      </c>
      <c r="AH48" s="638" t="s">
        <v>226</v>
      </c>
      <c r="AI48" s="638"/>
      <c r="AJ48" s="638"/>
    </row>
    <row r="49" spans="3:36" ht="13.5" customHeight="1">
      <c r="C49" s="27" t="s">
        <v>311</v>
      </c>
      <c r="J49" s="27" t="s">
        <v>346</v>
      </c>
      <c r="AH49" s="638" t="s">
        <v>225</v>
      </c>
      <c r="AI49" s="638"/>
      <c r="AJ49" s="638"/>
    </row>
    <row r="50" spans="3:36" ht="13.5" customHeight="1">
      <c r="C50" s="27" t="s">
        <v>312</v>
      </c>
      <c r="J50" s="27" t="s">
        <v>347</v>
      </c>
      <c r="AH50" s="638" t="s">
        <v>226</v>
      </c>
      <c r="AI50" s="638"/>
      <c r="AJ50" s="638"/>
    </row>
    <row r="51" spans="3:36" ht="13.5" customHeight="1">
      <c r="C51" s="27" t="s">
        <v>235</v>
      </c>
      <c r="J51" s="27" t="s">
        <v>268</v>
      </c>
      <c r="AH51" s="638" t="s">
        <v>225</v>
      </c>
      <c r="AI51" s="638"/>
      <c r="AJ51" s="638"/>
    </row>
    <row r="52" spans="3:36" ht="13.5" customHeight="1">
      <c r="C52" s="27" t="s">
        <v>236</v>
      </c>
      <c r="J52" s="41" t="s">
        <v>269</v>
      </c>
      <c r="AH52" s="638" t="s">
        <v>226</v>
      </c>
      <c r="AI52" s="638"/>
      <c r="AJ52" s="638"/>
    </row>
    <row r="53" spans="3:36" ht="13.5" customHeight="1">
      <c r="C53" s="27" t="s">
        <v>313</v>
      </c>
      <c r="J53" s="27" t="s">
        <v>348</v>
      </c>
      <c r="AH53" s="638" t="s">
        <v>225</v>
      </c>
      <c r="AI53" s="638"/>
      <c r="AJ53" s="638"/>
    </row>
    <row r="54" spans="3:36" ht="13.5" customHeight="1">
      <c r="C54" s="27" t="s">
        <v>314</v>
      </c>
      <c r="J54" s="27" t="s">
        <v>349</v>
      </c>
      <c r="AH54" s="638" t="s">
        <v>225</v>
      </c>
      <c r="AI54" s="638"/>
      <c r="AJ54" s="638"/>
    </row>
    <row r="55" spans="3:36" ht="13.5" customHeight="1">
      <c r="C55" s="27" t="s">
        <v>315</v>
      </c>
      <c r="J55" s="27" t="s">
        <v>350</v>
      </c>
      <c r="AH55" s="638" t="s">
        <v>226</v>
      </c>
      <c r="AI55" s="638"/>
      <c r="AJ55" s="638"/>
    </row>
    <row r="56" spans="3:36" ht="13.5" customHeight="1">
      <c r="C56" s="27" t="s">
        <v>237</v>
      </c>
      <c r="J56" s="27" t="s">
        <v>270</v>
      </c>
      <c r="AH56" s="638" t="s">
        <v>225</v>
      </c>
      <c r="AI56" s="638"/>
      <c r="AJ56" s="638"/>
    </row>
    <row r="57" spans="3:36" ht="13.5" customHeight="1">
      <c r="C57" s="27" t="s">
        <v>238</v>
      </c>
      <c r="J57" s="41" t="s">
        <v>271</v>
      </c>
      <c r="AH57" s="638" t="s">
        <v>226</v>
      </c>
      <c r="AI57" s="638"/>
      <c r="AJ57" s="638"/>
    </row>
    <row r="58" spans="3:36" ht="13.5" customHeight="1">
      <c r="C58" s="27" t="s">
        <v>316</v>
      </c>
      <c r="J58" s="27" t="s">
        <v>358</v>
      </c>
      <c r="AH58" s="638" t="s">
        <v>225</v>
      </c>
      <c r="AI58" s="638"/>
      <c r="AJ58" s="638"/>
    </row>
    <row r="59" spans="3:36" ht="13.5" customHeight="1">
      <c r="C59" s="27" t="s">
        <v>317</v>
      </c>
      <c r="J59" s="27" t="s">
        <v>351</v>
      </c>
      <c r="AH59" s="638" t="s">
        <v>225</v>
      </c>
      <c r="AI59" s="638"/>
      <c r="AJ59" s="638"/>
    </row>
    <row r="60" spans="3:36" ht="13.5" customHeight="1">
      <c r="C60" s="27" t="s">
        <v>318</v>
      </c>
      <c r="J60" s="41" t="s">
        <v>352</v>
      </c>
      <c r="AH60" s="638" t="s">
        <v>226</v>
      </c>
      <c r="AI60" s="638"/>
      <c r="AJ60" s="638"/>
    </row>
    <row r="61" spans="3:36" ht="13.5" customHeight="1">
      <c r="C61" s="27" t="s">
        <v>239</v>
      </c>
      <c r="J61" s="27" t="s">
        <v>272</v>
      </c>
      <c r="AH61" s="638" t="s">
        <v>226</v>
      </c>
      <c r="AI61" s="638"/>
      <c r="AJ61" s="638"/>
    </row>
    <row r="62" spans="3:36" ht="13.5" customHeight="1">
      <c r="C62" s="27" t="s">
        <v>319</v>
      </c>
      <c r="J62" s="27" t="s">
        <v>353</v>
      </c>
      <c r="AH62" s="638" t="s">
        <v>225</v>
      </c>
      <c r="AI62" s="638"/>
      <c r="AJ62" s="638"/>
    </row>
    <row r="63" spans="3:36" ht="13.5" customHeight="1">
      <c r="C63" s="27" t="s">
        <v>320</v>
      </c>
      <c r="J63" s="27" t="s">
        <v>354</v>
      </c>
      <c r="AH63" s="638" t="s">
        <v>226</v>
      </c>
      <c r="AI63" s="638"/>
      <c r="AJ63" s="638"/>
    </row>
    <row r="64" spans="3:36" ht="13.5" customHeight="1">
      <c r="C64" s="27" t="s">
        <v>240</v>
      </c>
      <c r="J64" s="27" t="s">
        <v>273</v>
      </c>
      <c r="AH64" s="638" t="s">
        <v>225</v>
      </c>
      <c r="AI64" s="638"/>
      <c r="AJ64" s="638"/>
    </row>
    <row r="65" spans="3:36" ht="13.5" customHeight="1">
      <c r="C65" s="27" t="s">
        <v>230</v>
      </c>
      <c r="J65" s="27" t="s">
        <v>274</v>
      </c>
      <c r="AH65" s="638" t="s">
        <v>225</v>
      </c>
      <c r="AI65" s="638"/>
      <c r="AJ65" s="638"/>
    </row>
    <row r="66" spans="3:36" ht="13.5" customHeight="1">
      <c r="C66" s="27" t="s">
        <v>321</v>
      </c>
      <c r="J66" s="27" t="s">
        <v>355</v>
      </c>
      <c r="AH66" s="638" t="s">
        <v>225</v>
      </c>
      <c r="AI66" s="638"/>
      <c r="AJ66" s="638"/>
    </row>
    <row r="67" spans="3:36" ht="13.5" customHeight="1">
      <c r="C67" s="27" t="s">
        <v>322</v>
      </c>
      <c r="J67" s="27" t="s">
        <v>356</v>
      </c>
      <c r="AH67" s="638" t="s">
        <v>225</v>
      </c>
      <c r="AI67" s="638"/>
      <c r="AJ67" s="638"/>
    </row>
    <row r="68" spans="3:36" ht="13.5" customHeight="1">
      <c r="C68" s="27" t="s">
        <v>241</v>
      </c>
      <c r="J68" s="27" t="s">
        <v>275</v>
      </c>
      <c r="AH68" s="638" t="s">
        <v>225</v>
      </c>
      <c r="AI68" s="638"/>
      <c r="AJ68" s="638"/>
    </row>
    <row r="69" spans="3:36" ht="13.5" customHeight="1">
      <c r="C69" s="27" t="s">
        <v>242</v>
      </c>
      <c r="J69" s="41" t="s">
        <v>276</v>
      </c>
      <c r="AH69" s="638" t="s">
        <v>225</v>
      </c>
      <c r="AI69" s="638"/>
      <c r="AJ69" s="638"/>
    </row>
    <row r="70" spans="3:36" ht="13.5" customHeight="1">
      <c r="C70" s="27" t="s">
        <v>323</v>
      </c>
      <c r="J70" s="27" t="s">
        <v>357</v>
      </c>
      <c r="AH70" s="638" t="s">
        <v>225</v>
      </c>
      <c r="AI70" s="638"/>
      <c r="AJ70" s="638"/>
    </row>
    <row r="71" spans="3:36" ht="13.5" customHeight="1">
      <c r="C71" s="27" t="s">
        <v>243</v>
      </c>
      <c r="J71" s="27" t="s">
        <v>277</v>
      </c>
      <c r="AH71" s="638" t="s">
        <v>225</v>
      </c>
      <c r="AI71" s="638"/>
      <c r="AJ71" s="638"/>
    </row>
    <row r="72" spans="3:36" ht="13.5" customHeight="1">
      <c r="C72" s="27" t="s">
        <v>244</v>
      </c>
      <c r="J72" s="41" t="s">
        <v>278</v>
      </c>
      <c r="AH72" s="638" t="s">
        <v>226</v>
      </c>
      <c r="AI72" s="638"/>
      <c r="AJ72" s="638"/>
    </row>
    <row r="73" spans="3:36" ht="13.5" customHeight="1">
      <c r="C73" s="27" t="s">
        <v>245</v>
      </c>
      <c r="J73" s="41" t="s">
        <v>279</v>
      </c>
      <c r="AH73" s="638" t="s">
        <v>225</v>
      </c>
      <c r="AI73" s="638"/>
      <c r="AJ73" s="638"/>
    </row>
    <row r="74" spans="3:36" ht="13.5" customHeight="1">
      <c r="C74" s="27" t="s">
        <v>246</v>
      </c>
      <c r="J74" s="27" t="s">
        <v>280</v>
      </c>
      <c r="AH74" s="638" t="s">
        <v>225</v>
      </c>
      <c r="AI74" s="638"/>
      <c r="AJ74" s="638"/>
    </row>
    <row r="75" spans="3:36" ht="13.5" customHeight="1">
      <c r="C75" s="27" t="s">
        <v>247</v>
      </c>
      <c r="J75" s="27" t="s">
        <v>281</v>
      </c>
      <c r="AH75" s="638" t="s">
        <v>225</v>
      </c>
      <c r="AI75" s="638"/>
      <c r="AJ75" s="638"/>
    </row>
    <row r="76" spans="3:36" ht="13.5" customHeight="1">
      <c r="C76" s="27" t="s">
        <v>248</v>
      </c>
      <c r="J76" s="41" t="s">
        <v>282</v>
      </c>
      <c r="AH76" s="638" t="s">
        <v>226</v>
      </c>
      <c r="AI76" s="638"/>
      <c r="AJ76" s="638"/>
    </row>
    <row r="77" spans="3:36" ht="13.5" customHeight="1">
      <c r="C77" s="27" t="s">
        <v>249</v>
      </c>
      <c r="J77" s="41" t="s">
        <v>283</v>
      </c>
      <c r="AH77" s="638" t="s">
        <v>225</v>
      </c>
      <c r="AI77" s="638"/>
      <c r="AJ77" s="638"/>
    </row>
    <row r="78" spans="3:36" ht="13.5" customHeight="1">
      <c r="C78" s="27" t="s">
        <v>250</v>
      </c>
      <c r="J78" s="27" t="s">
        <v>284</v>
      </c>
      <c r="AH78" s="638" t="s">
        <v>225</v>
      </c>
      <c r="AI78" s="638"/>
      <c r="AJ78" s="638"/>
    </row>
    <row r="79" spans="3:36" ht="13.5" customHeight="1">
      <c r="C79" s="27" t="s">
        <v>251</v>
      </c>
      <c r="J79" s="27" t="s">
        <v>285</v>
      </c>
      <c r="AH79" s="638" t="s">
        <v>225</v>
      </c>
      <c r="AI79" s="638"/>
      <c r="AJ79" s="638"/>
    </row>
    <row r="80" spans="3:36" ht="13.5" customHeight="1">
      <c r="C80" s="27" t="s">
        <v>324</v>
      </c>
      <c r="J80" s="27" t="s">
        <v>359</v>
      </c>
      <c r="AH80" s="638" t="s">
        <v>225</v>
      </c>
      <c r="AI80" s="638"/>
      <c r="AJ80" s="638"/>
    </row>
    <row r="81" spans="3:36" ht="13.5" customHeight="1">
      <c r="C81" s="27" t="s">
        <v>252</v>
      </c>
      <c r="J81" s="27" t="s">
        <v>286</v>
      </c>
      <c r="AH81" s="638" t="s">
        <v>226</v>
      </c>
      <c r="AI81" s="638"/>
      <c r="AJ81" s="638"/>
    </row>
    <row r="82" spans="3:36" ht="13.5" customHeight="1">
      <c r="C82" s="27" t="s">
        <v>325</v>
      </c>
      <c r="J82" s="27" t="s">
        <v>360</v>
      </c>
      <c r="AH82" s="638" t="s">
        <v>226</v>
      </c>
      <c r="AI82" s="638"/>
      <c r="AJ82" s="638"/>
    </row>
    <row r="83" spans="3:36" ht="13.5" customHeight="1">
      <c r="C83" s="27" t="s">
        <v>326</v>
      </c>
      <c r="J83" s="27" t="s">
        <v>361</v>
      </c>
      <c r="AH83" s="638" t="s">
        <v>225</v>
      </c>
      <c r="AI83" s="638"/>
      <c r="AJ83" s="638"/>
    </row>
    <row r="84" spans="3:36" ht="13.5" customHeight="1">
      <c r="C84" s="27" t="s">
        <v>327</v>
      </c>
      <c r="J84" s="27" t="s">
        <v>362</v>
      </c>
      <c r="AH84" s="638" t="s">
        <v>225</v>
      </c>
      <c r="AI84" s="638"/>
      <c r="AJ84" s="638"/>
    </row>
    <row r="85" spans="3:36" ht="13.5" customHeight="1">
      <c r="C85" s="27" t="s">
        <v>328</v>
      </c>
      <c r="J85" s="27" t="s">
        <v>363</v>
      </c>
      <c r="AH85" s="638" t="s">
        <v>225</v>
      </c>
      <c r="AI85" s="638"/>
      <c r="AJ85" s="638"/>
    </row>
    <row r="86" spans="3:36" ht="13.5" customHeight="1">
      <c r="C86" s="27" t="s">
        <v>329</v>
      </c>
      <c r="J86" s="27" t="s">
        <v>364</v>
      </c>
      <c r="AH86" s="638" t="s">
        <v>225</v>
      </c>
      <c r="AI86" s="638"/>
      <c r="AJ86" s="638"/>
    </row>
    <row r="87" spans="3:36" ht="13.5" customHeight="1">
      <c r="C87" s="27" t="s">
        <v>330</v>
      </c>
      <c r="J87" s="27" t="s">
        <v>365</v>
      </c>
      <c r="AH87" s="638" t="s">
        <v>226</v>
      </c>
      <c r="AI87" s="638"/>
      <c r="AJ87" s="638"/>
    </row>
    <row r="88" spans="3:36" ht="13.5" customHeight="1">
      <c r="C88" s="27" t="s">
        <v>331</v>
      </c>
      <c r="J88" s="27" t="s">
        <v>366</v>
      </c>
      <c r="AH88" s="638" t="s">
        <v>225</v>
      </c>
      <c r="AI88" s="638"/>
      <c r="AJ88" s="638"/>
    </row>
    <row r="89" spans="3:36" ht="13.5" customHeight="1">
      <c r="C89" s="27" t="s">
        <v>332</v>
      </c>
      <c r="J89" s="27" t="s">
        <v>367</v>
      </c>
      <c r="AH89" s="638" t="s">
        <v>226</v>
      </c>
      <c r="AI89" s="638"/>
      <c r="AJ89" s="638"/>
    </row>
    <row r="90" spans="3:36" ht="13.5" customHeight="1">
      <c r="C90" s="27" t="s">
        <v>333</v>
      </c>
      <c r="J90" s="27" t="s">
        <v>368</v>
      </c>
      <c r="AH90" s="638" t="s">
        <v>226</v>
      </c>
      <c r="AI90" s="638"/>
      <c r="AJ90" s="638"/>
    </row>
    <row r="91" spans="3:36" ht="13.5" customHeight="1">
      <c r="C91" s="27" t="s">
        <v>253</v>
      </c>
      <c r="J91" s="27" t="s">
        <v>287</v>
      </c>
      <c r="AH91" s="638" t="s">
        <v>225</v>
      </c>
      <c r="AI91" s="638"/>
      <c r="AJ91" s="638"/>
    </row>
    <row r="92" spans="3:36" ht="13.5" customHeight="1">
      <c r="C92" s="27" t="s">
        <v>254</v>
      </c>
      <c r="J92" s="27" t="s">
        <v>288</v>
      </c>
      <c r="AH92" s="638" t="s">
        <v>225</v>
      </c>
      <c r="AI92" s="638"/>
      <c r="AJ92" s="638"/>
    </row>
    <row r="93" spans="3:36" ht="13.5" customHeight="1">
      <c r="C93" s="27" t="s">
        <v>255</v>
      </c>
      <c r="J93" s="27" t="s">
        <v>289</v>
      </c>
      <c r="AH93" s="638" t="s">
        <v>226</v>
      </c>
      <c r="AI93" s="638"/>
      <c r="AJ93" s="638"/>
    </row>
    <row r="94" spans="3:36" ht="13.5" customHeight="1">
      <c r="C94" s="27" t="s">
        <v>256</v>
      </c>
      <c r="J94" s="27" t="s">
        <v>290</v>
      </c>
      <c r="AH94" s="638" t="s">
        <v>225</v>
      </c>
      <c r="AI94" s="638"/>
      <c r="AJ94" s="638"/>
    </row>
    <row r="95" spans="3:36" ht="13.5" customHeight="1">
      <c r="C95" s="27" t="s">
        <v>257</v>
      </c>
      <c r="J95" s="27" t="s">
        <v>291</v>
      </c>
      <c r="AH95" s="638" t="s">
        <v>225</v>
      </c>
      <c r="AI95" s="638"/>
      <c r="AJ95" s="638"/>
    </row>
    <row r="96" spans="3:36" ht="13.5" customHeight="1">
      <c r="C96" s="27" t="s">
        <v>258</v>
      </c>
      <c r="J96" s="41" t="s">
        <v>292</v>
      </c>
      <c r="AH96" s="638" t="s">
        <v>226</v>
      </c>
      <c r="AI96" s="638"/>
      <c r="AJ96" s="638"/>
    </row>
    <row r="97" spans="3:36" ht="13.5" customHeight="1">
      <c r="C97" s="27" t="s">
        <v>259</v>
      </c>
      <c r="J97" s="27" t="s">
        <v>293</v>
      </c>
      <c r="AH97" s="638" t="s">
        <v>225</v>
      </c>
      <c r="AI97" s="638"/>
      <c r="AJ97" s="638"/>
    </row>
    <row r="98" spans="3:36" ht="13.5" customHeight="1">
      <c r="C98" s="27" t="s">
        <v>334</v>
      </c>
      <c r="J98" s="27" t="s">
        <v>369</v>
      </c>
      <c r="AH98" s="638" t="s">
        <v>225</v>
      </c>
      <c r="AI98" s="638"/>
      <c r="AJ98" s="638"/>
    </row>
    <row r="99" spans="3:36" ht="13.5" customHeight="1">
      <c r="C99" s="27" t="s">
        <v>335</v>
      </c>
      <c r="J99" s="27" t="s">
        <v>370</v>
      </c>
      <c r="AH99" s="638" t="s">
        <v>226</v>
      </c>
      <c r="AI99" s="638"/>
      <c r="AJ99" s="638"/>
    </row>
    <row r="100" spans="3:36" ht="13.5" customHeight="1">
      <c r="C100" s="27" t="s">
        <v>336</v>
      </c>
      <c r="J100" s="27" t="s">
        <v>371</v>
      </c>
      <c r="AH100" s="638" t="s">
        <v>225</v>
      </c>
      <c r="AI100" s="638"/>
      <c r="AJ100" s="638"/>
    </row>
    <row r="101" spans="3:36" ht="13.5" customHeight="1">
      <c r="C101" s="27" t="s">
        <v>260</v>
      </c>
      <c r="J101" s="27" t="s">
        <v>294</v>
      </c>
      <c r="AH101" s="638" t="s">
        <v>226</v>
      </c>
      <c r="AI101" s="638"/>
      <c r="AJ101" s="638"/>
    </row>
    <row r="102" spans="3:36" ht="13.5" customHeight="1">
      <c r="C102" s="27" t="s">
        <v>337</v>
      </c>
      <c r="J102" s="27" t="s">
        <v>372</v>
      </c>
      <c r="AH102" s="638" t="s">
        <v>226</v>
      </c>
      <c r="AI102" s="638"/>
      <c r="AJ102" s="638"/>
    </row>
    <row r="103" spans="3:36" ht="13.5" customHeight="1">
      <c r="C103" s="27" t="s">
        <v>338</v>
      </c>
      <c r="J103" s="27" t="s">
        <v>373</v>
      </c>
      <c r="AH103" s="638" t="s">
        <v>225</v>
      </c>
      <c r="AI103" s="638"/>
      <c r="AJ103" s="638"/>
    </row>
    <row r="104" spans="3:36" ht="13.5" customHeight="1">
      <c r="C104" s="27" t="s">
        <v>339</v>
      </c>
      <c r="J104" s="27" t="s">
        <v>374</v>
      </c>
      <c r="AH104" s="638" t="s">
        <v>225</v>
      </c>
      <c r="AI104" s="638"/>
      <c r="AJ104" s="638"/>
    </row>
    <row r="105" spans="3:36" ht="13.5" customHeight="1">
      <c r="C105" s="27" t="s">
        <v>261</v>
      </c>
      <c r="J105" s="27" t="s">
        <v>295</v>
      </c>
      <c r="AH105" s="638" t="s">
        <v>226</v>
      </c>
      <c r="AI105" s="638"/>
      <c r="AJ105" s="638"/>
    </row>
    <row r="106" spans="3:36" ht="13.5" customHeight="1">
      <c r="C106" s="27" t="s">
        <v>340</v>
      </c>
      <c r="J106" s="27" t="s">
        <v>375</v>
      </c>
      <c r="AH106" s="638" t="s">
        <v>225</v>
      </c>
      <c r="AI106" s="638"/>
      <c r="AJ106" s="638"/>
    </row>
    <row r="107" spans="3:36" ht="13.5" customHeight="1">
      <c r="C107" s="27" t="s">
        <v>341</v>
      </c>
      <c r="J107" s="41" t="s">
        <v>376</v>
      </c>
      <c r="AH107" s="638" t="s">
        <v>225</v>
      </c>
      <c r="AI107" s="638"/>
      <c r="AJ107" s="638"/>
    </row>
    <row r="108" spans="3:36" ht="13.5" customHeight="1">
      <c r="C108" s="27" t="s">
        <v>262</v>
      </c>
      <c r="J108" s="41" t="s">
        <v>296</v>
      </c>
      <c r="AH108" s="638" t="s">
        <v>226</v>
      </c>
      <c r="AI108" s="638"/>
      <c r="AJ108" s="638"/>
    </row>
    <row r="109" spans="3:36" ht="13.5" customHeight="1">
      <c r="C109" s="27" t="s">
        <v>342</v>
      </c>
      <c r="J109" s="27" t="s">
        <v>377</v>
      </c>
      <c r="AH109" s="638" t="s">
        <v>225</v>
      </c>
      <c r="AI109" s="638"/>
      <c r="AJ109" s="638"/>
    </row>
    <row r="110" spans="3:36" ht="13.5" customHeight="1">
      <c r="C110" s="27" t="s">
        <v>343</v>
      </c>
      <c r="J110" s="27" t="s">
        <v>378</v>
      </c>
      <c r="AH110" s="638" t="s">
        <v>225</v>
      </c>
      <c r="AI110" s="638"/>
      <c r="AJ110" s="638"/>
    </row>
    <row r="111" spans="3:36" ht="13.5" customHeight="1">
      <c r="C111" s="27" t="s">
        <v>344</v>
      </c>
      <c r="J111" s="27" t="s">
        <v>379</v>
      </c>
      <c r="AH111" s="638" t="s">
        <v>225</v>
      </c>
      <c r="AI111" s="638"/>
      <c r="AJ111" s="638"/>
    </row>
    <row r="112" spans="3:36" ht="13.5" customHeight="1">
      <c r="C112" s="27" t="s">
        <v>263</v>
      </c>
      <c r="J112" s="27" t="s">
        <v>297</v>
      </c>
      <c r="AH112" s="638" t="s">
        <v>225</v>
      </c>
      <c r="AI112" s="638"/>
      <c r="AJ112" s="638"/>
    </row>
    <row r="113" spans="3:119" ht="13.5" customHeight="1">
      <c r="C113" s="27" t="s">
        <v>264</v>
      </c>
      <c r="J113" s="27" t="s">
        <v>299</v>
      </c>
      <c r="AH113" s="638" t="s">
        <v>225</v>
      </c>
      <c r="AI113" s="638"/>
      <c r="AJ113" s="638"/>
    </row>
    <row r="114" spans="3:119" ht="13.5" customHeight="1">
      <c r="C114" s="27" t="s">
        <v>265</v>
      </c>
      <c r="J114" s="27" t="s">
        <v>298</v>
      </c>
      <c r="AH114" s="638" t="s">
        <v>225</v>
      </c>
      <c r="AI114" s="638"/>
      <c r="AJ114" s="638"/>
    </row>
    <row r="115" spans="3:119" ht="13.5" customHeight="1">
      <c r="C115" s="27" t="s">
        <v>345</v>
      </c>
      <c r="J115" s="27" t="s">
        <v>380</v>
      </c>
      <c r="AH115" s="638" t="s">
        <v>225</v>
      </c>
      <c r="AI115" s="638"/>
      <c r="AJ115" s="638"/>
    </row>
    <row r="117" spans="3:119" ht="13.5" customHeight="1">
      <c r="C117" s="639" t="s">
        <v>409</v>
      </c>
      <c r="D117" s="639"/>
      <c r="E117" s="639"/>
      <c r="F117" s="639"/>
      <c r="G117" s="639"/>
      <c r="H117" s="639"/>
      <c r="I117" s="639"/>
      <c r="J117" s="639"/>
      <c r="K117" s="639"/>
      <c r="L117" s="639"/>
      <c r="M117" s="639"/>
      <c r="N117" s="639"/>
      <c r="O117" s="639"/>
      <c r="P117" s="639"/>
      <c r="Q117" s="639"/>
      <c r="R117" s="639"/>
    </row>
    <row r="118" spans="3:119" ht="13.5" customHeight="1">
      <c r="C118" s="640"/>
      <c r="D118" s="640"/>
      <c r="E118" s="640"/>
      <c r="F118" s="640"/>
      <c r="G118" s="640"/>
      <c r="H118" s="640"/>
      <c r="I118" s="640"/>
      <c r="J118" s="640"/>
      <c r="K118" s="640"/>
      <c r="L118" s="640"/>
      <c r="M118" s="640"/>
      <c r="N118" s="640"/>
      <c r="O118" s="640"/>
      <c r="P118" s="640"/>
      <c r="Q118" s="640"/>
      <c r="R118" s="640"/>
    </row>
    <row r="119" spans="3:119" ht="13.5" customHeight="1">
      <c r="C119" s="315" t="s">
        <v>410</v>
      </c>
      <c r="D119" s="315"/>
      <c r="E119" s="315"/>
      <c r="F119" s="315"/>
      <c r="G119" s="315"/>
      <c r="H119" s="315"/>
      <c r="I119" s="315"/>
      <c r="J119" s="637" t="s">
        <v>206</v>
      </c>
      <c r="K119" s="637"/>
      <c r="L119" s="637"/>
      <c r="M119" s="637"/>
      <c r="N119" s="637"/>
      <c r="O119" s="637" t="s">
        <v>415</v>
      </c>
      <c r="P119" s="637"/>
      <c r="Q119" s="637"/>
      <c r="R119" s="637"/>
      <c r="S119" s="637"/>
      <c r="T119" s="637" t="s">
        <v>416</v>
      </c>
      <c r="U119" s="637"/>
      <c r="V119" s="637"/>
      <c r="W119" s="637"/>
      <c r="X119" s="637"/>
      <c r="Y119" s="637" t="s">
        <v>417</v>
      </c>
      <c r="Z119" s="637"/>
      <c r="AA119" s="637"/>
      <c r="AB119" s="637"/>
      <c r="AC119" s="637"/>
      <c r="AD119" s="637" t="s">
        <v>418</v>
      </c>
      <c r="AE119" s="637"/>
      <c r="AF119" s="637"/>
      <c r="AG119" s="637"/>
      <c r="AH119" s="637"/>
      <c r="AI119" s="637" t="s">
        <v>419</v>
      </c>
      <c r="AJ119" s="637"/>
      <c r="AK119" s="637"/>
      <c r="AL119" s="637"/>
      <c r="AM119" s="637"/>
      <c r="AN119" s="274" t="s">
        <v>420</v>
      </c>
      <c r="AO119" s="274"/>
      <c r="AP119" s="274"/>
      <c r="AQ119" s="274"/>
      <c r="AR119" s="274"/>
      <c r="AS119" s="274"/>
      <c r="AT119" s="274"/>
      <c r="AU119" s="274"/>
      <c r="AV119" s="274"/>
      <c r="AW119" s="274"/>
      <c r="AX119" s="274"/>
      <c r="AY119" s="274"/>
      <c r="AZ119" s="274"/>
      <c r="BA119" s="274"/>
      <c r="BB119" s="274"/>
      <c r="BC119" s="274"/>
      <c r="BD119" s="274"/>
      <c r="BE119" s="274"/>
      <c r="BF119" s="274"/>
      <c r="BG119" s="274"/>
      <c r="BH119" s="274" t="s">
        <v>421</v>
      </c>
      <c r="BI119" s="274"/>
      <c r="BJ119" s="274"/>
      <c r="BK119" s="274"/>
      <c r="BL119" s="274"/>
      <c r="BM119" s="274"/>
      <c r="BN119" s="274"/>
      <c r="BO119" s="274"/>
      <c r="BP119" s="274"/>
      <c r="BQ119" s="274"/>
      <c r="BR119" s="274"/>
      <c r="BS119" s="274"/>
      <c r="BT119" s="274"/>
      <c r="BU119" s="274"/>
      <c r="BV119" s="274"/>
      <c r="BW119" s="274"/>
      <c r="BX119" s="274"/>
      <c r="BY119" s="274"/>
      <c r="BZ119" s="274"/>
      <c r="CA119" s="274"/>
      <c r="CB119" s="274" t="s">
        <v>422</v>
      </c>
      <c r="CC119" s="274"/>
      <c r="CD119" s="274"/>
      <c r="CE119" s="274"/>
      <c r="CF119" s="274"/>
      <c r="CG119" s="274"/>
      <c r="CH119" s="274"/>
      <c r="CI119" s="274"/>
      <c r="CJ119" s="274"/>
      <c r="CK119" s="274"/>
      <c r="CL119" s="274"/>
      <c r="CM119" s="274"/>
      <c r="CN119" s="274"/>
      <c r="CO119" s="274"/>
      <c r="CP119" s="274"/>
      <c r="CQ119" s="274"/>
      <c r="CR119" s="274"/>
      <c r="CS119" s="274"/>
      <c r="CT119" s="274"/>
      <c r="CU119" s="274"/>
      <c r="CV119" s="274" t="s">
        <v>423</v>
      </c>
      <c r="CW119" s="274"/>
      <c r="CX119" s="274"/>
      <c r="CY119" s="274"/>
      <c r="CZ119" s="274"/>
      <c r="DA119" s="274"/>
      <c r="DB119" s="274"/>
      <c r="DC119" s="274"/>
      <c r="DD119" s="274"/>
      <c r="DE119" s="274"/>
      <c r="DF119" s="274"/>
      <c r="DG119" s="274"/>
      <c r="DH119" s="274"/>
      <c r="DI119" s="274"/>
      <c r="DJ119" s="274"/>
      <c r="DK119" s="274"/>
      <c r="DL119" s="274"/>
      <c r="DM119" s="274"/>
      <c r="DN119" s="274"/>
      <c r="DO119" s="274"/>
    </row>
    <row r="120" spans="3:119" ht="13.5" customHeight="1">
      <c r="C120" s="273" t="s">
        <v>411</v>
      </c>
      <c r="D120" s="273"/>
      <c r="E120" s="273"/>
      <c r="F120" s="273"/>
      <c r="G120" s="273"/>
      <c r="H120" s="273"/>
      <c r="I120" s="273"/>
      <c r="J120" s="636" t="s">
        <v>424</v>
      </c>
      <c r="K120" s="636"/>
      <c r="L120" s="636"/>
      <c r="M120" s="636"/>
      <c r="N120" s="636"/>
      <c r="O120" s="636" t="s">
        <v>490</v>
      </c>
      <c r="P120" s="636"/>
      <c r="Q120" s="636"/>
      <c r="R120" s="636"/>
      <c r="S120" s="636"/>
      <c r="T120" s="636" t="s">
        <v>482</v>
      </c>
      <c r="U120" s="636"/>
      <c r="V120" s="636"/>
      <c r="W120" s="636"/>
      <c r="X120" s="636"/>
      <c r="Y120" s="636" t="s">
        <v>483</v>
      </c>
      <c r="Z120" s="636"/>
      <c r="AA120" s="636"/>
      <c r="AB120" s="636"/>
      <c r="AC120" s="636"/>
      <c r="AD120" s="636" t="s">
        <v>484</v>
      </c>
      <c r="AE120" s="636"/>
      <c r="AF120" s="636"/>
      <c r="AG120" s="636"/>
      <c r="AH120" s="636"/>
      <c r="AI120" s="636" t="s">
        <v>485</v>
      </c>
      <c r="AJ120" s="636"/>
      <c r="AK120" s="636"/>
      <c r="AL120" s="636"/>
      <c r="AM120" s="636"/>
      <c r="AN120" s="273" t="s">
        <v>486</v>
      </c>
      <c r="AO120" s="273"/>
      <c r="AP120" s="273"/>
      <c r="AQ120" s="273"/>
      <c r="AR120" s="273"/>
      <c r="AS120" s="273"/>
      <c r="AT120" s="273"/>
      <c r="AU120" s="273"/>
      <c r="AV120" s="273"/>
      <c r="AW120" s="273"/>
      <c r="AX120" s="273"/>
      <c r="AY120" s="273"/>
      <c r="AZ120" s="273"/>
      <c r="BA120" s="273"/>
      <c r="BB120" s="273"/>
      <c r="BC120" s="273"/>
      <c r="BD120" s="273"/>
      <c r="BE120" s="273"/>
      <c r="BF120" s="273"/>
      <c r="BG120" s="273"/>
      <c r="BH120" s="273" t="s">
        <v>487</v>
      </c>
      <c r="BI120" s="273"/>
      <c r="BJ120" s="273"/>
      <c r="BK120" s="273"/>
      <c r="BL120" s="273"/>
      <c r="BM120" s="273"/>
      <c r="BN120" s="273"/>
      <c r="BO120" s="273"/>
      <c r="BP120" s="273"/>
      <c r="BQ120" s="273"/>
      <c r="BR120" s="273"/>
      <c r="BS120" s="273"/>
      <c r="BT120" s="273"/>
      <c r="BU120" s="273"/>
      <c r="BV120" s="273"/>
      <c r="BW120" s="273"/>
      <c r="BX120" s="273"/>
      <c r="BY120" s="273"/>
      <c r="BZ120" s="273"/>
      <c r="CA120" s="273"/>
      <c r="CB120" s="273" t="s">
        <v>488</v>
      </c>
      <c r="CC120" s="273"/>
      <c r="CD120" s="273"/>
      <c r="CE120" s="273"/>
      <c r="CF120" s="273"/>
      <c r="CG120" s="273"/>
      <c r="CH120" s="273"/>
      <c r="CI120" s="273"/>
      <c r="CJ120" s="273"/>
      <c r="CK120" s="273"/>
      <c r="CL120" s="273"/>
      <c r="CM120" s="273"/>
      <c r="CN120" s="273"/>
      <c r="CO120" s="273"/>
      <c r="CP120" s="273"/>
      <c r="CQ120" s="273"/>
      <c r="CR120" s="273"/>
      <c r="CS120" s="273"/>
      <c r="CT120" s="273"/>
      <c r="CU120" s="273"/>
      <c r="CV120" s="273" t="s">
        <v>489</v>
      </c>
      <c r="CW120" s="273"/>
      <c r="CX120" s="273"/>
      <c r="CY120" s="273"/>
      <c r="CZ120" s="273"/>
      <c r="DA120" s="273"/>
      <c r="DB120" s="273"/>
      <c r="DC120" s="273"/>
      <c r="DD120" s="273"/>
      <c r="DE120" s="273"/>
      <c r="DF120" s="273"/>
      <c r="DG120" s="273"/>
      <c r="DH120" s="273"/>
      <c r="DI120" s="273"/>
      <c r="DJ120" s="273"/>
      <c r="DK120" s="273"/>
      <c r="DL120" s="273"/>
      <c r="DM120" s="273"/>
      <c r="DN120" s="273"/>
      <c r="DO120" s="273"/>
    </row>
    <row r="121" spans="3:119" ht="13.5" customHeight="1">
      <c r="C121" s="273" t="s">
        <v>425</v>
      </c>
      <c r="D121" s="273"/>
      <c r="E121" s="273"/>
      <c r="F121" s="273"/>
      <c r="G121" s="273"/>
      <c r="H121" s="273"/>
      <c r="I121" s="273"/>
      <c r="J121" s="636" t="s">
        <v>633</v>
      </c>
      <c r="K121" s="636"/>
      <c r="L121" s="636"/>
      <c r="M121" s="636"/>
      <c r="N121" s="636"/>
      <c r="O121" s="636" t="s">
        <v>633</v>
      </c>
      <c r="P121" s="636"/>
      <c r="Q121" s="636"/>
      <c r="R121" s="636"/>
      <c r="S121" s="636"/>
      <c r="T121" s="636" t="s">
        <v>633</v>
      </c>
      <c r="U121" s="636"/>
      <c r="V121" s="636"/>
      <c r="W121" s="636"/>
      <c r="X121" s="636"/>
      <c r="Y121" s="636" t="s">
        <v>633</v>
      </c>
      <c r="Z121" s="636"/>
      <c r="AA121" s="636"/>
      <c r="AB121" s="636"/>
      <c r="AC121" s="636"/>
      <c r="AD121" s="636" t="s">
        <v>489</v>
      </c>
      <c r="AE121" s="636"/>
      <c r="AF121" s="636"/>
      <c r="AG121" s="636"/>
      <c r="AH121" s="636"/>
      <c r="AI121" s="636" t="s">
        <v>634</v>
      </c>
      <c r="AJ121" s="636"/>
      <c r="AK121" s="636"/>
      <c r="AL121" s="636"/>
      <c r="AM121" s="636"/>
      <c r="AN121" s="273" t="s">
        <v>651</v>
      </c>
      <c r="AO121" s="273"/>
      <c r="AP121" s="273"/>
      <c r="AQ121" s="273"/>
      <c r="AR121" s="273"/>
      <c r="AS121" s="273"/>
      <c r="AT121" s="273"/>
      <c r="AU121" s="273"/>
      <c r="AV121" s="273"/>
      <c r="AW121" s="273"/>
      <c r="AX121" s="273"/>
      <c r="AY121" s="273"/>
      <c r="AZ121" s="273"/>
      <c r="BA121" s="273"/>
      <c r="BB121" s="273"/>
      <c r="BC121" s="273"/>
      <c r="BD121" s="273"/>
      <c r="BE121" s="273"/>
      <c r="BF121" s="273"/>
      <c r="BG121" s="273"/>
      <c r="BH121" s="273" t="s">
        <v>489</v>
      </c>
      <c r="BI121" s="273"/>
      <c r="BJ121" s="273"/>
      <c r="BK121" s="273"/>
      <c r="BL121" s="273"/>
      <c r="BM121" s="273"/>
      <c r="BN121" s="273"/>
      <c r="BO121" s="273"/>
      <c r="BP121" s="273"/>
      <c r="BQ121" s="273"/>
      <c r="BR121" s="273"/>
      <c r="BS121" s="273"/>
      <c r="BT121" s="273"/>
      <c r="BU121" s="273"/>
      <c r="BV121" s="273"/>
      <c r="BW121" s="273"/>
      <c r="BX121" s="273"/>
      <c r="BY121" s="273"/>
      <c r="BZ121" s="273"/>
      <c r="CA121" s="273"/>
      <c r="CB121" s="273" t="s">
        <v>489</v>
      </c>
      <c r="CC121" s="273"/>
      <c r="CD121" s="273"/>
      <c r="CE121" s="273"/>
      <c r="CF121" s="273"/>
      <c r="CG121" s="273"/>
      <c r="CH121" s="273"/>
      <c r="CI121" s="273"/>
      <c r="CJ121" s="273"/>
      <c r="CK121" s="273"/>
      <c r="CL121" s="273"/>
      <c r="CM121" s="273"/>
      <c r="CN121" s="273"/>
      <c r="CO121" s="273"/>
      <c r="CP121" s="273"/>
      <c r="CQ121" s="273"/>
      <c r="CR121" s="273"/>
      <c r="CS121" s="273"/>
      <c r="CT121" s="273"/>
      <c r="CU121" s="273"/>
      <c r="CV121" s="273" t="s">
        <v>489</v>
      </c>
      <c r="CW121" s="273"/>
      <c r="CX121" s="273"/>
      <c r="CY121" s="273"/>
      <c r="CZ121" s="273"/>
      <c r="DA121" s="273"/>
      <c r="DB121" s="273"/>
      <c r="DC121" s="273"/>
      <c r="DD121" s="273"/>
      <c r="DE121" s="273"/>
      <c r="DF121" s="273"/>
      <c r="DG121" s="273"/>
      <c r="DH121" s="273"/>
      <c r="DI121" s="273"/>
      <c r="DJ121" s="273"/>
      <c r="DK121" s="273"/>
      <c r="DL121" s="273"/>
      <c r="DM121" s="273"/>
      <c r="DN121" s="273"/>
      <c r="DO121" s="273"/>
    </row>
    <row r="122" spans="3:119" ht="13.5" customHeight="1">
      <c r="C122" s="273" t="s">
        <v>426</v>
      </c>
      <c r="D122" s="273"/>
      <c r="E122" s="273"/>
      <c r="F122" s="273"/>
      <c r="G122" s="273"/>
      <c r="H122" s="273"/>
      <c r="I122" s="273"/>
      <c r="J122" s="636" t="s">
        <v>424</v>
      </c>
      <c r="K122" s="636"/>
      <c r="L122" s="636"/>
      <c r="M122" s="636"/>
      <c r="N122" s="636"/>
      <c r="O122" s="636" t="s">
        <v>490</v>
      </c>
      <c r="P122" s="636"/>
      <c r="Q122" s="636"/>
      <c r="R122" s="636"/>
      <c r="S122" s="636"/>
      <c r="T122" s="636" t="s">
        <v>491</v>
      </c>
      <c r="U122" s="636"/>
      <c r="V122" s="636"/>
      <c r="W122" s="636"/>
      <c r="X122" s="636"/>
      <c r="Y122" s="636" t="s">
        <v>483</v>
      </c>
      <c r="Z122" s="636"/>
      <c r="AA122" s="636"/>
      <c r="AB122" s="636"/>
      <c r="AC122" s="636"/>
      <c r="AD122" s="636" t="s">
        <v>127</v>
      </c>
      <c r="AE122" s="636"/>
      <c r="AF122" s="636"/>
      <c r="AG122" s="636"/>
      <c r="AH122" s="636"/>
      <c r="AI122" s="636" t="s">
        <v>492</v>
      </c>
      <c r="AJ122" s="636"/>
      <c r="AK122" s="636"/>
      <c r="AL122" s="636"/>
      <c r="AM122" s="636"/>
      <c r="AN122" s="273" t="s">
        <v>493</v>
      </c>
      <c r="AO122" s="273"/>
      <c r="AP122" s="273"/>
      <c r="AQ122" s="273"/>
      <c r="AR122" s="273"/>
      <c r="AS122" s="273"/>
      <c r="AT122" s="273"/>
      <c r="AU122" s="273"/>
      <c r="AV122" s="273"/>
      <c r="AW122" s="273"/>
      <c r="AX122" s="273"/>
      <c r="AY122" s="273"/>
      <c r="AZ122" s="273"/>
      <c r="BA122" s="273"/>
      <c r="BB122" s="273"/>
      <c r="BC122" s="273"/>
      <c r="BD122" s="273"/>
      <c r="BE122" s="273"/>
      <c r="BF122" s="273"/>
      <c r="BG122" s="273"/>
      <c r="BH122" s="273" t="s">
        <v>489</v>
      </c>
      <c r="BI122" s="273"/>
      <c r="BJ122" s="273"/>
      <c r="BK122" s="273"/>
      <c r="BL122" s="273"/>
      <c r="BM122" s="273"/>
      <c r="BN122" s="273"/>
      <c r="BO122" s="273"/>
      <c r="BP122" s="273"/>
      <c r="BQ122" s="273"/>
      <c r="BR122" s="273"/>
      <c r="BS122" s="273"/>
      <c r="BT122" s="273"/>
      <c r="BU122" s="273"/>
      <c r="BV122" s="273"/>
      <c r="BW122" s="273"/>
      <c r="BX122" s="273"/>
      <c r="BY122" s="273"/>
      <c r="BZ122" s="273"/>
      <c r="CA122" s="273"/>
      <c r="CB122" s="273" t="s">
        <v>489</v>
      </c>
      <c r="CC122" s="273"/>
      <c r="CD122" s="273"/>
      <c r="CE122" s="273"/>
      <c r="CF122" s="273"/>
      <c r="CG122" s="273"/>
      <c r="CH122" s="273"/>
      <c r="CI122" s="273"/>
      <c r="CJ122" s="273"/>
      <c r="CK122" s="273"/>
      <c r="CL122" s="273"/>
      <c r="CM122" s="273"/>
      <c r="CN122" s="273"/>
      <c r="CO122" s="273"/>
      <c r="CP122" s="273"/>
      <c r="CQ122" s="273"/>
      <c r="CR122" s="273"/>
      <c r="CS122" s="273"/>
      <c r="CT122" s="273"/>
      <c r="CU122" s="273"/>
      <c r="CV122" s="273" t="s">
        <v>489</v>
      </c>
      <c r="CW122" s="273"/>
      <c r="CX122" s="273"/>
      <c r="CY122" s="273"/>
      <c r="CZ122" s="273"/>
      <c r="DA122" s="273"/>
      <c r="DB122" s="273"/>
      <c r="DC122" s="273"/>
      <c r="DD122" s="273"/>
      <c r="DE122" s="273"/>
      <c r="DF122" s="273"/>
      <c r="DG122" s="273"/>
      <c r="DH122" s="273"/>
      <c r="DI122" s="273"/>
      <c r="DJ122" s="273"/>
      <c r="DK122" s="273"/>
      <c r="DL122" s="273"/>
      <c r="DM122" s="273"/>
      <c r="DN122" s="273"/>
      <c r="DO122" s="273"/>
    </row>
    <row r="123" spans="3:119" ht="13.5" customHeight="1">
      <c r="C123" s="273" t="s">
        <v>427</v>
      </c>
      <c r="D123" s="273"/>
      <c r="E123" s="273"/>
      <c r="F123" s="273"/>
      <c r="G123" s="273"/>
      <c r="H123" s="273"/>
      <c r="I123" s="273"/>
      <c r="J123" s="636" t="s">
        <v>462</v>
      </c>
      <c r="K123" s="636"/>
      <c r="L123" s="636"/>
      <c r="M123" s="636"/>
      <c r="N123" s="636"/>
      <c r="O123" s="636" t="s">
        <v>510</v>
      </c>
      <c r="P123" s="636"/>
      <c r="Q123" s="636"/>
      <c r="R123" s="636"/>
      <c r="S123" s="636"/>
      <c r="T123" s="636" t="s">
        <v>511</v>
      </c>
      <c r="U123" s="636"/>
      <c r="V123" s="636"/>
      <c r="W123" s="636"/>
      <c r="X123" s="636"/>
      <c r="Y123" s="636" t="s">
        <v>512</v>
      </c>
      <c r="Z123" s="636"/>
      <c r="AA123" s="636"/>
      <c r="AB123" s="636"/>
      <c r="AC123" s="636"/>
      <c r="AD123" s="636" t="s">
        <v>489</v>
      </c>
      <c r="AE123" s="636"/>
      <c r="AF123" s="636"/>
      <c r="AG123" s="636"/>
      <c r="AH123" s="636"/>
      <c r="AI123" s="636" t="s">
        <v>485</v>
      </c>
      <c r="AJ123" s="636"/>
      <c r="AK123" s="636"/>
      <c r="AL123" s="636"/>
      <c r="AM123" s="636"/>
      <c r="AN123" s="273" t="s">
        <v>652</v>
      </c>
      <c r="AO123" s="273"/>
      <c r="AP123" s="273"/>
      <c r="AQ123" s="273"/>
      <c r="AR123" s="273"/>
      <c r="AS123" s="273"/>
      <c r="AT123" s="273"/>
      <c r="AU123" s="273"/>
      <c r="AV123" s="273"/>
      <c r="AW123" s="273"/>
      <c r="AX123" s="273"/>
      <c r="AY123" s="273"/>
      <c r="AZ123" s="273"/>
      <c r="BA123" s="273"/>
      <c r="BB123" s="273"/>
      <c r="BC123" s="273"/>
      <c r="BD123" s="273"/>
      <c r="BE123" s="273"/>
      <c r="BF123" s="273"/>
      <c r="BG123" s="273"/>
      <c r="BH123" s="273" t="s">
        <v>653</v>
      </c>
      <c r="BI123" s="273"/>
      <c r="BJ123" s="273"/>
      <c r="BK123" s="273"/>
      <c r="BL123" s="273"/>
      <c r="BM123" s="273"/>
      <c r="BN123" s="273"/>
      <c r="BO123" s="273"/>
      <c r="BP123" s="273"/>
      <c r="BQ123" s="273"/>
      <c r="BR123" s="273"/>
      <c r="BS123" s="273"/>
      <c r="BT123" s="273"/>
      <c r="BU123" s="273"/>
      <c r="BV123" s="273"/>
      <c r="BW123" s="273"/>
      <c r="BX123" s="273"/>
      <c r="BY123" s="273"/>
      <c r="BZ123" s="273"/>
      <c r="CA123" s="273"/>
      <c r="CB123" s="273" t="s">
        <v>654</v>
      </c>
      <c r="CC123" s="273"/>
      <c r="CD123" s="273"/>
      <c r="CE123" s="273"/>
      <c r="CF123" s="273"/>
      <c r="CG123" s="273"/>
      <c r="CH123" s="273"/>
      <c r="CI123" s="273"/>
      <c r="CJ123" s="273"/>
      <c r="CK123" s="273"/>
      <c r="CL123" s="273"/>
      <c r="CM123" s="273"/>
      <c r="CN123" s="273"/>
      <c r="CO123" s="273"/>
      <c r="CP123" s="273"/>
      <c r="CQ123" s="273"/>
      <c r="CR123" s="273"/>
      <c r="CS123" s="273"/>
      <c r="CT123" s="273"/>
      <c r="CU123" s="273"/>
      <c r="CV123" s="273" t="s">
        <v>489</v>
      </c>
      <c r="CW123" s="273"/>
      <c r="CX123" s="273"/>
      <c r="CY123" s="273"/>
      <c r="CZ123" s="273"/>
      <c r="DA123" s="273"/>
      <c r="DB123" s="273"/>
      <c r="DC123" s="273"/>
      <c r="DD123" s="273"/>
      <c r="DE123" s="273"/>
      <c r="DF123" s="273"/>
      <c r="DG123" s="273"/>
      <c r="DH123" s="273"/>
      <c r="DI123" s="273"/>
      <c r="DJ123" s="273"/>
      <c r="DK123" s="273"/>
      <c r="DL123" s="273"/>
      <c r="DM123" s="273"/>
      <c r="DN123" s="273"/>
      <c r="DO123" s="273"/>
    </row>
    <row r="124" spans="3:119" ht="13.5" customHeight="1">
      <c r="C124" s="273" t="s">
        <v>428</v>
      </c>
      <c r="D124" s="273"/>
      <c r="E124" s="273"/>
      <c r="F124" s="273"/>
      <c r="G124" s="273"/>
      <c r="H124" s="273"/>
      <c r="I124" s="273"/>
      <c r="J124" s="636" t="s">
        <v>536</v>
      </c>
      <c r="K124" s="636"/>
      <c r="L124" s="636"/>
      <c r="M124" s="636"/>
      <c r="N124" s="636"/>
      <c r="O124" s="636" t="s">
        <v>510</v>
      </c>
      <c r="P124" s="636"/>
      <c r="Q124" s="636"/>
      <c r="R124" s="636"/>
      <c r="S124" s="636"/>
      <c r="T124" s="636" t="s">
        <v>635</v>
      </c>
      <c r="U124" s="636"/>
      <c r="V124" s="636"/>
      <c r="W124" s="636"/>
      <c r="X124" s="636"/>
      <c r="Y124" s="636" t="s">
        <v>512</v>
      </c>
      <c r="Z124" s="636"/>
      <c r="AA124" s="636"/>
      <c r="AB124" s="636"/>
      <c r="AC124" s="636"/>
      <c r="AD124" s="636" t="s">
        <v>489</v>
      </c>
      <c r="AE124" s="636"/>
      <c r="AF124" s="636"/>
      <c r="AG124" s="636"/>
      <c r="AH124" s="636"/>
      <c r="AI124" s="636" t="s">
        <v>636</v>
      </c>
      <c r="AJ124" s="636"/>
      <c r="AK124" s="636"/>
      <c r="AL124" s="636"/>
      <c r="AM124" s="636"/>
      <c r="AN124" s="273" t="s">
        <v>655</v>
      </c>
      <c r="AO124" s="273"/>
      <c r="AP124" s="273"/>
      <c r="AQ124" s="273"/>
      <c r="AR124" s="273"/>
      <c r="AS124" s="273"/>
      <c r="AT124" s="273"/>
      <c r="AU124" s="273"/>
      <c r="AV124" s="273"/>
      <c r="AW124" s="273"/>
      <c r="AX124" s="273"/>
      <c r="AY124" s="273"/>
      <c r="AZ124" s="273"/>
      <c r="BA124" s="273"/>
      <c r="BB124" s="273"/>
      <c r="BC124" s="273"/>
      <c r="BD124" s="273"/>
      <c r="BE124" s="273"/>
      <c r="BF124" s="273"/>
      <c r="BG124" s="273"/>
      <c r="BH124" s="273" t="s">
        <v>656</v>
      </c>
      <c r="BI124" s="273"/>
      <c r="BJ124" s="273"/>
      <c r="BK124" s="273"/>
      <c r="BL124" s="273"/>
      <c r="BM124" s="273"/>
      <c r="BN124" s="273"/>
      <c r="BO124" s="273"/>
      <c r="BP124" s="273"/>
      <c r="BQ124" s="273"/>
      <c r="BR124" s="273"/>
      <c r="BS124" s="273"/>
      <c r="BT124" s="273"/>
      <c r="BU124" s="273"/>
      <c r="BV124" s="273"/>
      <c r="BW124" s="273"/>
      <c r="BX124" s="273"/>
      <c r="BY124" s="273"/>
      <c r="BZ124" s="273"/>
      <c r="CA124" s="273"/>
      <c r="CB124" s="273" t="s">
        <v>657</v>
      </c>
      <c r="CC124" s="273"/>
      <c r="CD124" s="273"/>
      <c r="CE124" s="273"/>
      <c r="CF124" s="273"/>
      <c r="CG124" s="273"/>
      <c r="CH124" s="273"/>
      <c r="CI124" s="273"/>
      <c r="CJ124" s="273"/>
      <c r="CK124" s="273"/>
      <c r="CL124" s="273"/>
      <c r="CM124" s="273"/>
      <c r="CN124" s="273"/>
      <c r="CO124" s="273"/>
      <c r="CP124" s="273"/>
      <c r="CQ124" s="273"/>
      <c r="CR124" s="273"/>
      <c r="CS124" s="273"/>
      <c r="CT124" s="273"/>
      <c r="CU124" s="273"/>
      <c r="CV124" s="273" t="s">
        <v>658</v>
      </c>
      <c r="CW124" s="273"/>
      <c r="CX124" s="273"/>
      <c r="CY124" s="273"/>
      <c r="CZ124" s="273"/>
      <c r="DA124" s="273"/>
      <c r="DB124" s="273"/>
      <c r="DC124" s="273"/>
      <c r="DD124" s="273"/>
      <c r="DE124" s="273"/>
      <c r="DF124" s="273"/>
      <c r="DG124" s="273"/>
      <c r="DH124" s="273"/>
      <c r="DI124" s="273"/>
      <c r="DJ124" s="273"/>
      <c r="DK124" s="273"/>
      <c r="DL124" s="273"/>
      <c r="DM124" s="273"/>
      <c r="DN124" s="273"/>
      <c r="DO124" s="273"/>
    </row>
    <row r="125" spans="3:119" ht="13.5" customHeight="1">
      <c r="C125" s="273" t="s">
        <v>429</v>
      </c>
      <c r="D125" s="273"/>
      <c r="E125" s="273"/>
      <c r="F125" s="273"/>
      <c r="G125" s="273"/>
      <c r="H125" s="273"/>
      <c r="I125" s="273"/>
      <c r="J125" s="636" t="s">
        <v>536</v>
      </c>
      <c r="K125" s="636"/>
      <c r="L125" s="636"/>
      <c r="M125" s="636"/>
      <c r="N125" s="636"/>
      <c r="O125" s="636" t="s">
        <v>524</v>
      </c>
      <c r="P125" s="636"/>
      <c r="Q125" s="636"/>
      <c r="R125" s="636"/>
      <c r="S125" s="636"/>
      <c r="T125" s="636" t="s">
        <v>511</v>
      </c>
      <c r="U125" s="636"/>
      <c r="V125" s="636"/>
      <c r="W125" s="636"/>
      <c r="X125" s="636"/>
      <c r="Y125" s="636" t="s">
        <v>528</v>
      </c>
      <c r="Z125" s="636"/>
      <c r="AA125" s="636"/>
      <c r="AB125" s="636"/>
      <c r="AC125" s="636"/>
      <c r="AD125" s="636" t="s">
        <v>489</v>
      </c>
      <c r="AE125" s="636"/>
      <c r="AF125" s="636"/>
      <c r="AG125" s="636"/>
      <c r="AH125" s="636"/>
      <c r="AI125" s="636" t="s">
        <v>492</v>
      </c>
      <c r="AJ125" s="636"/>
      <c r="AK125" s="636"/>
      <c r="AL125" s="636"/>
      <c r="AM125" s="636"/>
      <c r="AN125" s="273" t="s">
        <v>659</v>
      </c>
      <c r="AO125" s="273"/>
      <c r="AP125" s="273"/>
      <c r="AQ125" s="273"/>
      <c r="AR125" s="273"/>
      <c r="AS125" s="273"/>
      <c r="AT125" s="273"/>
      <c r="AU125" s="273"/>
      <c r="AV125" s="273"/>
      <c r="AW125" s="273"/>
      <c r="AX125" s="273"/>
      <c r="AY125" s="273"/>
      <c r="AZ125" s="273"/>
      <c r="BA125" s="273"/>
      <c r="BB125" s="273"/>
      <c r="BC125" s="273"/>
      <c r="BD125" s="273"/>
      <c r="BE125" s="273"/>
      <c r="BF125" s="273"/>
      <c r="BG125" s="273"/>
      <c r="BH125" s="273" t="s">
        <v>489</v>
      </c>
      <c r="BI125" s="273"/>
      <c r="BJ125" s="273"/>
      <c r="BK125" s="273"/>
      <c r="BL125" s="273"/>
      <c r="BM125" s="273"/>
      <c r="BN125" s="273"/>
      <c r="BO125" s="273"/>
      <c r="BP125" s="273"/>
      <c r="BQ125" s="273"/>
      <c r="BR125" s="273"/>
      <c r="BS125" s="273"/>
      <c r="BT125" s="273"/>
      <c r="BU125" s="273"/>
      <c r="BV125" s="273"/>
      <c r="BW125" s="273"/>
      <c r="BX125" s="273"/>
      <c r="BY125" s="273"/>
      <c r="BZ125" s="273"/>
      <c r="CA125" s="273"/>
      <c r="CB125" s="273" t="s">
        <v>660</v>
      </c>
      <c r="CC125" s="273"/>
      <c r="CD125" s="273"/>
      <c r="CE125" s="273"/>
      <c r="CF125" s="273"/>
      <c r="CG125" s="273"/>
      <c r="CH125" s="273"/>
      <c r="CI125" s="273"/>
      <c r="CJ125" s="273"/>
      <c r="CK125" s="273"/>
      <c r="CL125" s="273"/>
      <c r="CM125" s="273"/>
      <c r="CN125" s="273"/>
      <c r="CO125" s="273"/>
      <c r="CP125" s="273"/>
      <c r="CQ125" s="273"/>
      <c r="CR125" s="273"/>
      <c r="CS125" s="273"/>
      <c r="CT125" s="273"/>
      <c r="CU125" s="273"/>
      <c r="CV125" s="273" t="s">
        <v>489</v>
      </c>
      <c r="CW125" s="273"/>
      <c r="CX125" s="273"/>
      <c r="CY125" s="273"/>
      <c r="CZ125" s="273"/>
      <c r="DA125" s="273"/>
      <c r="DB125" s="273"/>
      <c r="DC125" s="273"/>
      <c r="DD125" s="273"/>
      <c r="DE125" s="273"/>
      <c r="DF125" s="273"/>
      <c r="DG125" s="273"/>
      <c r="DH125" s="273"/>
      <c r="DI125" s="273"/>
      <c r="DJ125" s="273"/>
      <c r="DK125" s="273"/>
      <c r="DL125" s="273"/>
      <c r="DM125" s="273"/>
      <c r="DN125" s="273"/>
      <c r="DO125" s="273"/>
    </row>
    <row r="126" spans="3:119" ht="13.5" customHeight="1">
      <c r="C126" s="273" t="s">
        <v>430</v>
      </c>
      <c r="D126" s="273"/>
      <c r="E126" s="273"/>
      <c r="F126" s="273"/>
      <c r="G126" s="273"/>
      <c r="H126" s="273"/>
      <c r="I126" s="273"/>
      <c r="J126" s="636" t="s">
        <v>536</v>
      </c>
      <c r="K126" s="636"/>
      <c r="L126" s="636"/>
      <c r="M126" s="636"/>
      <c r="N126" s="636"/>
      <c r="O126" s="636" t="s">
        <v>510</v>
      </c>
      <c r="P126" s="636"/>
      <c r="Q126" s="636"/>
      <c r="R126" s="636"/>
      <c r="S126" s="636"/>
      <c r="T126" s="636" t="s">
        <v>511</v>
      </c>
      <c r="U126" s="636"/>
      <c r="V126" s="636"/>
      <c r="W126" s="636"/>
      <c r="X126" s="636"/>
      <c r="Y126" s="636" t="s">
        <v>512</v>
      </c>
      <c r="Z126" s="636"/>
      <c r="AA126" s="636"/>
      <c r="AB126" s="636"/>
      <c r="AC126" s="636"/>
      <c r="AD126" s="636" t="s">
        <v>489</v>
      </c>
      <c r="AE126" s="636"/>
      <c r="AF126" s="636"/>
      <c r="AG126" s="636"/>
      <c r="AH126" s="636"/>
      <c r="AI126" s="636" t="s">
        <v>492</v>
      </c>
      <c r="AJ126" s="636"/>
      <c r="AK126" s="636"/>
      <c r="AL126" s="636"/>
      <c r="AM126" s="636"/>
      <c r="AN126" s="273" t="s">
        <v>661</v>
      </c>
      <c r="AO126" s="273"/>
      <c r="AP126" s="273"/>
      <c r="AQ126" s="273"/>
      <c r="AR126" s="273"/>
      <c r="AS126" s="273"/>
      <c r="AT126" s="273"/>
      <c r="AU126" s="273"/>
      <c r="AV126" s="273"/>
      <c r="AW126" s="273"/>
      <c r="AX126" s="273"/>
      <c r="AY126" s="273"/>
      <c r="AZ126" s="273"/>
      <c r="BA126" s="273"/>
      <c r="BB126" s="273"/>
      <c r="BC126" s="273"/>
      <c r="BD126" s="273"/>
      <c r="BE126" s="273"/>
      <c r="BF126" s="273"/>
      <c r="BG126" s="273"/>
      <c r="BH126" s="273" t="s">
        <v>662</v>
      </c>
      <c r="BI126" s="273"/>
      <c r="BJ126" s="273"/>
      <c r="BK126" s="273"/>
      <c r="BL126" s="273"/>
      <c r="BM126" s="273"/>
      <c r="BN126" s="273"/>
      <c r="BO126" s="273"/>
      <c r="BP126" s="273"/>
      <c r="BQ126" s="273"/>
      <c r="BR126" s="273"/>
      <c r="BS126" s="273"/>
      <c r="BT126" s="273"/>
      <c r="BU126" s="273"/>
      <c r="BV126" s="273"/>
      <c r="BW126" s="273"/>
      <c r="BX126" s="273"/>
      <c r="BY126" s="273"/>
      <c r="BZ126" s="273"/>
      <c r="CA126" s="273"/>
      <c r="CB126" s="273" t="s">
        <v>663</v>
      </c>
      <c r="CC126" s="273"/>
      <c r="CD126" s="273"/>
      <c r="CE126" s="273"/>
      <c r="CF126" s="273"/>
      <c r="CG126" s="273"/>
      <c r="CH126" s="273"/>
      <c r="CI126" s="273"/>
      <c r="CJ126" s="273"/>
      <c r="CK126" s="273"/>
      <c r="CL126" s="273"/>
      <c r="CM126" s="273"/>
      <c r="CN126" s="273"/>
      <c r="CO126" s="273"/>
      <c r="CP126" s="273"/>
      <c r="CQ126" s="273"/>
      <c r="CR126" s="273"/>
      <c r="CS126" s="273"/>
      <c r="CT126" s="273"/>
      <c r="CU126" s="273"/>
      <c r="CV126" s="273" t="s">
        <v>664</v>
      </c>
      <c r="CW126" s="273"/>
      <c r="CX126" s="273"/>
      <c r="CY126" s="273"/>
      <c r="CZ126" s="273"/>
      <c r="DA126" s="273"/>
      <c r="DB126" s="273"/>
      <c r="DC126" s="273"/>
      <c r="DD126" s="273"/>
      <c r="DE126" s="273"/>
      <c r="DF126" s="273"/>
      <c r="DG126" s="273"/>
      <c r="DH126" s="273"/>
      <c r="DI126" s="273"/>
      <c r="DJ126" s="273"/>
      <c r="DK126" s="273"/>
      <c r="DL126" s="273"/>
      <c r="DM126" s="273"/>
      <c r="DN126" s="273"/>
      <c r="DO126" s="273"/>
    </row>
    <row r="127" spans="3:119" ht="13.5" customHeight="1">
      <c r="C127" s="273" t="s">
        <v>431</v>
      </c>
      <c r="D127" s="273"/>
      <c r="E127" s="273"/>
      <c r="F127" s="273"/>
      <c r="G127" s="273"/>
      <c r="H127" s="273"/>
      <c r="I127" s="273"/>
      <c r="J127" s="636" t="s">
        <v>637</v>
      </c>
      <c r="K127" s="636"/>
      <c r="L127" s="636"/>
      <c r="M127" s="636"/>
      <c r="N127" s="636"/>
      <c r="O127" s="636" t="s">
        <v>490</v>
      </c>
      <c r="P127" s="636"/>
      <c r="Q127" s="636"/>
      <c r="R127" s="636"/>
      <c r="S127" s="636"/>
      <c r="T127" s="636" t="s">
        <v>491</v>
      </c>
      <c r="U127" s="636"/>
      <c r="V127" s="636"/>
      <c r="W127" s="636"/>
      <c r="X127" s="636"/>
      <c r="Y127" s="636" t="s">
        <v>512</v>
      </c>
      <c r="Z127" s="636"/>
      <c r="AA127" s="636"/>
      <c r="AB127" s="636"/>
      <c r="AC127" s="636"/>
      <c r="AD127" s="636" t="s">
        <v>489</v>
      </c>
      <c r="AE127" s="636"/>
      <c r="AF127" s="636"/>
      <c r="AG127" s="636"/>
      <c r="AH127" s="636"/>
      <c r="AI127" s="636" t="s">
        <v>492</v>
      </c>
      <c r="AJ127" s="636"/>
      <c r="AK127" s="636"/>
      <c r="AL127" s="636"/>
      <c r="AM127" s="636"/>
      <c r="AN127" s="273" t="s">
        <v>665</v>
      </c>
      <c r="AO127" s="273"/>
      <c r="AP127" s="273"/>
      <c r="AQ127" s="273"/>
      <c r="AR127" s="273"/>
      <c r="AS127" s="273"/>
      <c r="AT127" s="273"/>
      <c r="AU127" s="273"/>
      <c r="AV127" s="273"/>
      <c r="AW127" s="273"/>
      <c r="AX127" s="273"/>
      <c r="AY127" s="273"/>
      <c r="AZ127" s="273"/>
      <c r="BA127" s="273"/>
      <c r="BB127" s="273"/>
      <c r="BC127" s="273"/>
      <c r="BD127" s="273"/>
      <c r="BE127" s="273"/>
      <c r="BF127" s="273"/>
      <c r="BG127" s="273"/>
      <c r="BH127" s="273" t="s">
        <v>666</v>
      </c>
      <c r="BI127" s="273"/>
      <c r="BJ127" s="273"/>
      <c r="BK127" s="273"/>
      <c r="BL127" s="273"/>
      <c r="BM127" s="273"/>
      <c r="BN127" s="273"/>
      <c r="BO127" s="273"/>
      <c r="BP127" s="273"/>
      <c r="BQ127" s="273"/>
      <c r="BR127" s="273"/>
      <c r="BS127" s="273"/>
      <c r="BT127" s="273"/>
      <c r="BU127" s="273"/>
      <c r="BV127" s="273"/>
      <c r="BW127" s="273"/>
      <c r="BX127" s="273"/>
      <c r="BY127" s="273"/>
      <c r="BZ127" s="273"/>
      <c r="CA127" s="273"/>
      <c r="CB127" s="273" t="s">
        <v>667</v>
      </c>
      <c r="CC127" s="273"/>
      <c r="CD127" s="273"/>
      <c r="CE127" s="273"/>
      <c r="CF127" s="273"/>
      <c r="CG127" s="273"/>
      <c r="CH127" s="273"/>
      <c r="CI127" s="273"/>
      <c r="CJ127" s="273"/>
      <c r="CK127" s="273"/>
      <c r="CL127" s="273"/>
      <c r="CM127" s="273"/>
      <c r="CN127" s="273"/>
      <c r="CO127" s="273"/>
      <c r="CP127" s="273"/>
      <c r="CQ127" s="273"/>
      <c r="CR127" s="273"/>
      <c r="CS127" s="273"/>
      <c r="CT127" s="273"/>
      <c r="CU127" s="273"/>
      <c r="CV127" s="273" t="s">
        <v>668</v>
      </c>
      <c r="CW127" s="273"/>
      <c r="CX127" s="273"/>
      <c r="CY127" s="273"/>
      <c r="CZ127" s="273"/>
      <c r="DA127" s="273"/>
      <c r="DB127" s="273"/>
      <c r="DC127" s="273"/>
      <c r="DD127" s="273"/>
      <c r="DE127" s="273"/>
      <c r="DF127" s="273"/>
      <c r="DG127" s="273"/>
      <c r="DH127" s="273"/>
      <c r="DI127" s="273"/>
      <c r="DJ127" s="273"/>
      <c r="DK127" s="273"/>
      <c r="DL127" s="273"/>
      <c r="DM127" s="273"/>
      <c r="DN127" s="273"/>
      <c r="DO127" s="273"/>
    </row>
    <row r="128" spans="3:119" ht="13.5" customHeight="1">
      <c r="C128" s="273" t="s">
        <v>823</v>
      </c>
      <c r="D128" s="273"/>
      <c r="E128" s="273"/>
      <c r="F128" s="273"/>
      <c r="G128" s="273"/>
      <c r="H128" s="273"/>
      <c r="I128" s="273"/>
      <c r="J128" s="636" t="s">
        <v>489</v>
      </c>
      <c r="K128" s="636"/>
      <c r="L128" s="636"/>
      <c r="M128" s="636"/>
      <c r="N128" s="636"/>
      <c r="O128" s="636" t="s">
        <v>489</v>
      </c>
      <c r="P128" s="636"/>
      <c r="Q128" s="636"/>
      <c r="R128" s="636"/>
      <c r="S128" s="636"/>
      <c r="T128" s="636" t="s">
        <v>489</v>
      </c>
      <c r="U128" s="636"/>
      <c r="V128" s="636"/>
      <c r="W128" s="636"/>
      <c r="X128" s="636"/>
      <c r="Y128" s="636" t="s">
        <v>489</v>
      </c>
      <c r="Z128" s="636"/>
      <c r="AA128" s="636"/>
      <c r="AB128" s="636"/>
      <c r="AC128" s="636"/>
      <c r="AD128" s="636" t="s">
        <v>489</v>
      </c>
      <c r="AE128" s="636"/>
      <c r="AF128" s="636"/>
      <c r="AG128" s="636"/>
      <c r="AH128" s="636"/>
      <c r="AI128" s="636" t="s">
        <v>489</v>
      </c>
      <c r="AJ128" s="636"/>
      <c r="AK128" s="636"/>
      <c r="AL128" s="636"/>
      <c r="AM128" s="636"/>
      <c r="AN128" s="273" t="s">
        <v>824</v>
      </c>
      <c r="AO128" s="273"/>
      <c r="AP128" s="273"/>
      <c r="AQ128" s="273"/>
      <c r="AR128" s="273"/>
      <c r="AS128" s="273"/>
      <c r="AT128" s="273"/>
      <c r="AU128" s="273"/>
      <c r="AV128" s="273"/>
      <c r="AW128" s="273"/>
      <c r="AX128" s="273"/>
      <c r="AY128" s="273"/>
      <c r="AZ128" s="273"/>
      <c r="BA128" s="273"/>
      <c r="BB128" s="273"/>
      <c r="BC128" s="273"/>
      <c r="BD128" s="273"/>
      <c r="BE128" s="273"/>
      <c r="BF128" s="273"/>
      <c r="BG128" s="273"/>
      <c r="BH128" s="273" t="s">
        <v>489</v>
      </c>
      <c r="BI128" s="273"/>
      <c r="BJ128" s="273"/>
      <c r="BK128" s="273"/>
      <c r="BL128" s="273"/>
      <c r="BM128" s="273"/>
      <c r="BN128" s="273"/>
      <c r="BO128" s="273"/>
      <c r="BP128" s="273"/>
      <c r="BQ128" s="273"/>
      <c r="BR128" s="273"/>
      <c r="BS128" s="273"/>
      <c r="BT128" s="273"/>
      <c r="BU128" s="273"/>
      <c r="BV128" s="273"/>
      <c r="BW128" s="273"/>
      <c r="BX128" s="273"/>
      <c r="BY128" s="273"/>
      <c r="BZ128" s="273"/>
      <c r="CA128" s="273"/>
      <c r="CB128" s="273" t="s">
        <v>489</v>
      </c>
      <c r="CC128" s="273"/>
      <c r="CD128" s="273"/>
      <c r="CE128" s="273"/>
      <c r="CF128" s="273"/>
      <c r="CG128" s="273"/>
      <c r="CH128" s="273"/>
      <c r="CI128" s="273"/>
      <c r="CJ128" s="273"/>
      <c r="CK128" s="273"/>
      <c r="CL128" s="273"/>
      <c r="CM128" s="273"/>
      <c r="CN128" s="273"/>
      <c r="CO128" s="273"/>
      <c r="CP128" s="273"/>
      <c r="CQ128" s="273"/>
      <c r="CR128" s="273"/>
      <c r="CS128" s="273"/>
      <c r="CT128" s="273"/>
      <c r="CU128" s="273"/>
      <c r="CV128" s="273" t="s">
        <v>489</v>
      </c>
      <c r="CW128" s="273"/>
      <c r="CX128" s="273"/>
      <c r="CY128" s="273"/>
      <c r="CZ128" s="273"/>
      <c r="DA128" s="273"/>
      <c r="DB128" s="273"/>
      <c r="DC128" s="273"/>
      <c r="DD128" s="273"/>
      <c r="DE128" s="273"/>
      <c r="DF128" s="273"/>
      <c r="DG128" s="273"/>
      <c r="DH128" s="273"/>
      <c r="DI128" s="273"/>
      <c r="DJ128" s="273"/>
      <c r="DK128" s="273"/>
      <c r="DL128" s="273"/>
      <c r="DM128" s="273"/>
      <c r="DN128" s="273"/>
      <c r="DO128" s="273"/>
    </row>
    <row r="129" spans="3:119" ht="13.5" customHeight="1">
      <c r="C129" s="273" t="s">
        <v>432</v>
      </c>
      <c r="D129" s="273"/>
      <c r="E129" s="273"/>
      <c r="F129" s="273"/>
      <c r="G129" s="273"/>
      <c r="H129" s="273"/>
      <c r="I129" s="273"/>
      <c r="J129" s="636" t="s">
        <v>424</v>
      </c>
      <c r="K129" s="636"/>
      <c r="L129" s="636"/>
      <c r="M129" s="636"/>
      <c r="N129" s="636"/>
      <c r="O129" s="636" t="s">
        <v>490</v>
      </c>
      <c r="P129" s="636"/>
      <c r="Q129" s="636"/>
      <c r="R129" s="636"/>
      <c r="S129" s="636"/>
      <c r="T129" s="636" t="s">
        <v>482</v>
      </c>
      <c r="U129" s="636"/>
      <c r="V129" s="636"/>
      <c r="W129" s="636"/>
      <c r="X129" s="636"/>
      <c r="Y129" s="636" t="s">
        <v>483</v>
      </c>
      <c r="Z129" s="636"/>
      <c r="AA129" s="636"/>
      <c r="AB129" s="636"/>
      <c r="AC129" s="636"/>
      <c r="AD129" s="636" t="s">
        <v>127</v>
      </c>
      <c r="AE129" s="636"/>
      <c r="AF129" s="636"/>
      <c r="AG129" s="636"/>
      <c r="AH129" s="636"/>
      <c r="AI129" s="636" t="s">
        <v>485</v>
      </c>
      <c r="AJ129" s="636"/>
      <c r="AK129" s="636"/>
      <c r="AL129" s="636"/>
      <c r="AM129" s="636"/>
      <c r="AN129" s="273" t="s">
        <v>669</v>
      </c>
      <c r="AO129" s="273"/>
      <c r="AP129" s="273"/>
      <c r="AQ129" s="273"/>
      <c r="AR129" s="273"/>
      <c r="AS129" s="273"/>
      <c r="AT129" s="273"/>
      <c r="AU129" s="273"/>
      <c r="AV129" s="273"/>
      <c r="AW129" s="273"/>
      <c r="AX129" s="273"/>
      <c r="AY129" s="273"/>
      <c r="AZ129" s="273"/>
      <c r="BA129" s="273"/>
      <c r="BB129" s="273"/>
      <c r="BC129" s="273"/>
      <c r="BD129" s="273"/>
      <c r="BE129" s="273"/>
      <c r="BF129" s="273"/>
      <c r="BG129" s="273"/>
      <c r="BH129" s="273" t="s">
        <v>489</v>
      </c>
      <c r="BI129" s="273"/>
      <c r="BJ129" s="273"/>
      <c r="BK129" s="273"/>
      <c r="BL129" s="273"/>
      <c r="BM129" s="273"/>
      <c r="BN129" s="273"/>
      <c r="BO129" s="273"/>
      <c r="BP129" s="273"/>
      <c r="BQ129" s="273"/>
      <c r="BR129" s="273"/>
      <c r="BS129" s="273"/>
      <c r="BT129" s="273"/>
      <c r="BU129" s="273"/>
      <c r="BV129" s="273"/>
      <c r="BW129" s="273"/>
      <c r="BX129" s="273"/>
      <c r="BY129" s="273"/>
      <c r="BZ129" s="273"/>
      <c r="CA129" s="273"/>
      <c r="CB129" s="273" t="s">
        <v>489</v>
      </c>
      <c r="CC129" s="273"/>
      <c r="CD129" s="273"/>
      <c r="CE129" s="273"/>
      <c r="CF129" s="273"/>
      <c r="CG129" s="273"/>
      <c r="CH129" s="273"/>
      <c r="CI129" s="273"/>
      <c r="CJ129" s="273"/>
      <c r="CK129" s="273"/>
      <c r="CL129" s="273"/>
      <c r="CM129" s="273"/>
      <c r="CN129" s="273"/>
      <c r="CO129" s="273"/>
      <c r="CP129" s="273"/>
      <c r="CQ129" s="273"/>
      <c r="CR129" s="273"/>
      <c r="CS129" s="273"/>
      <c r="CT129" s="273"/>
      <c r="CU129" s="273"/>
      <c r="CV129" s="273" t="s">
        <v>489</v>
      </c>
      <c r="CW129" s="273"/>
      <c r="CX129" s="273"/>
      <c r="CY129" s="273"/>
      <c r="CZ129" s="273"/>
      <c r="DA129" s="273"/>
      <c r="DB129" s="273"/>
      <c r="DC129" s="273"/>
      <c r="DD129" s="273"/>
      <c r="DE129" s="273"/>
      <c r="DF129" s="273"/>
      <c r="DG129" s="273"/>
      <c r="DH129" s="273"/>
      <c r="DI129" s="273"/>
      <c r="DJ129" s="273"/>
      <c r="DK129" s="273"/>
      <c r="DL129" s="273"/>
      <c r="DM129" s="273"/>
      <c r="DN129" s="273"/>
      <c r="DO129" s="273"/>
    </row>
    <row r="130" spans="3:119" ht="13.5" customHeight="1">
      <c r="C130" s="273" t="s">
        <v>433</v>
      </c>
      <c r="D130" s="273"/>
      <c r="E130" s="273"/>
      <c r="F130" s="273"/>
      <c r="G130" s="273"/>
      <c r="H130" s="273"/>
      <c r="I130" s="273"/>
      <c r="J130" s="636" t="s">
        <v>424</v>
      </c>
      <c r="K130" s="636"/>
      <c r="L130" s="636"/>
      <c r="M130" s="636"/>
      <c r="N130" s="636"/>
      <c r="O130" s="636" t="s">
        <v>490</v>
      </c>
      <c r="P130" s="636"/>
      <c r="Q130" s="636"/>
      <c r="R130" s="636"/>
      <c r="S130" s="636"/>
      <c r="T130" s="636" t="s">
        <v>491</v>
      </c>
      <c r="U130" s="636"/>
      <c r="V130" s="636"/>
      <c r="W130" s="636"/>
      <c r="X130" s="636"/>
      <c r="Y130" s="636" t="s">
        <v>483</v>
      </c>
      <c r="Z130" s="636"/>
      <c r="AA130" s="636"/>
      <c r="AB130" s="636"/>
      <c r="AC130" s="636"/>
      <c r="AD130" s="636" t="s">
        <v>484</v>
      </c>
      <c r="AE130" s="636"/>
      <c r="AF130" s="636"/>
      <c r="AG130" s="636"/>
      <c r="AH130" s="636"/>
      <c r="AI130" s="636" t="s">
        <v>492</v>
      </c>
      <c r="AJ130" s="636"/>
      <c r="AK130" s="636"/>
      <c r="AL130" s="636"/>
      <c r="AM130" s="636"/>
      <c r="AN130" s="273" t="s">
        <v>672</v>
      </c>
      <c r="AO130" s="273"/>
      <c r="AP130" s="273"/>
      <c r="AQ130" s="273"/>
      <c r="AR130" s="273"/>
      <c r="AS130" s="273"/>
      <c r="AT130" s="273"/>
      <c r="AU130" s="273"/>
      <c r="AV130" s="273"/>
      <c r="AW130" s="273"/>
      <c r="AX130" s="273"/>
      <c r="AY130" s="273"/>
      <c r="AZ130" s="273"/>
      <c r="BA130" s="273"/>
      <c r="BB130" s="273"/>
      <c r="BC130" s="273"/>
      <c r="BD130" s="273"/>
      <c r="BE130" s="273"/>
      <c r="BF130" s="273"/>
      <c r="BG130" s="273"/>
      <c r="BH130" s="273" t="s">
        <v>489</v>
      </c>
      <c r="BI130" s="273"/>
      <c r="BJ130" s="273"/>
      <c r="BK130" s="273"/>
      <c r="BL130" s="273"/>
      <c r="BM130" s="273"/>
      <c r="BN130" s="273"/>
      <c r="BO130" s="273"/>
      <c r="BP130" s="273"/>
      <c r="BQ130" s="273"/>
      <c r="BR130" s="273"/>
      <c r="BS130" s="273"/>
      <c r="BT130" s="273"/>
      <c r="BU130" s="273"/>
      <c r="BV130" s="273"/>
      <c r="BW130" s="273"/>
      <c r="BX130" s="273"/>
      <c r="BY130" s="273"/>
      <c r="BZ130" s="273"/>
      <c r="CA130" s="273"/>
      <c r="CB130" s="273" t="s">
        <v>489</v>
      </c>
      <c r="CC130" s="273"/>
      <c r="CD130" s="273"/>
      <c r="CE130" s="273"/>
      <c r="CF130" s="273"/>
      <c r="CG130" s="273"/>
      <c r="CH130" s="273"/>
      <c r="CI130" s="273"/>
      <c r="CJ130" s="273"/>
      <c r="CK130" s="273"/>
      <c r="CL130" s="273"/>
      <c r="CM130" s="273"/>
      <c r="CN130" s="273"/>
      <c r="CO130" s="273"/>
      <c r="CP130" s="273"/>
      <c r="CQ130" s="273"/>
      <c r="CR130" s="273"/>
      <c r="CS130" s="273"/>
      <c r="CT130" s="273"/>
      <c r="CU130" s="273"/>
      <c r="CV130" s="273" t="s">
        <v>489</v>
      </c>
      <c r="CW130" s="273"/>
      <c r="CX130" s="273"/>
      <c r="CY130" s="273"/>
      <c r="CZ130" s="273"/>
      <c r="DA130" s="273"/>
      <c r="DB130" s="273"/>
      <c r="DC130" s="273"/>
      <c r="DD130" s="273"/>
      <c r="DE130" s="273"/>
      <c r="DF130" s="273"/>
      <c r="DG130" s="273"/>
      <c r="DH130" s="273"/>
      <c r="DI130" s="273"/>
      <c r="DJ130" s="273"/>
      <c r="DK130" s="273"/>
      <c r="DL130" s="273"/>
      <c r="DM130" s="273"/>
      <c r="DN130" s="273"/>
      <c r="DO130" s="273"/>
    </row>
    <row r="131" spans="3:119" ht="13.5" customHeight="1">
      <c r="C131" s="273" t="s">
        <v>434</v>
      </c>
      <c r="D131" s="273"/>
      <c r="E131" s="273"/>
      <c r="F131" s="273"/>
      <c r="G131" s="273"/>
      <c r="H131" s="273"/>
      <c r="I131" s="273"/>
      <c r="J131" s="636" t="s">
        <v>527</v>
      </c>
      <c r="K131" s="636"/>
      <c r="L131" s="636"/>
      <c r="M131" s="636"/>
      <c r="N131" s="636"/>
      <c r="O131" s="636" t="s">
        <v>490</v>
      </c>
      <c r="P131" s="636"/>
      <c r="Q131" s="636"/>
      <c r="R131" s="636"/>
      <c r="S131" s="636"/>
      <c r="T131" s="636" t="s">
        <v>491</v>
      </c>
      <c r="U131" s="636"/>
      <c r="V131" s="636"/>
      <c r="W131" s="636"/>
      <c r="X131" s="636"/>
      <c r="Y131" s="636" t="s">
        <v>483</v>
      </c>
      <c r="Z131" s="636"/>
      <c r="AA131" s="636"/>
      <c r="AB131" s="636"/>
      <c r="AC131" s="636"/>
      <c r="AD131" s="636" t="s">
        <v>489</v>
      </c>
      <c r="AE131" s="636"/>
      <c r="AF131" s="636"/>
      <c r="AG131" s="636"/>
      <c r="AH131" s="636"/>
      <c r="AI131" s="636" t="s">
        <v>485</v>
      </c>
      <c r="AJ131" s="636"/>
      <c r="AK131" s="636"/>
      <c r="AL131" s="636"/>
      <c r="AM131" s="636"/>
      <c r="AN131" s="273" t="s">
        <v>674</v>
      </c>
      <c r="AO131" s="273"/>
      <c r="AP131" s="273"/>
      <c r="AQ131" s="273"/>
      <c r="AR131" s="273"/>
      <c r="AS131" s="273"/>
      <c r="AT131" s="273"/>
      <c r="AU131" s="273"/>
      <c r="AV131" s="273"/>
      <c r="AW131" s="273"/>
      <c r="AX131" s="273"/>
      <c r="AY131" s="273"/>
      <c r="AZ131" s="273"/>
      <c r="BA131" s="273"/>
      <c r="BB131" s="273"/>
      <c r="BC131" s="273"/>
      <c r="BD131" s="273"/>
      <c r="BE131" s="273"/>
      <c r="BF131" s="273"/>
      <c r="BG131" s="273"/>
      <c r="BH131" s="273" t="s">
        <v>675</v>
      </c>
      <c r="BI131" s="273"/>
      <c r="BJ131" s="273"/>
      <c r="BK131" s="273"/>
      <c r="BL131" s="273"/>
      <c r="BM131" s="273"/>
      <c r="BN131" s="273"/>
      <c r="BO131" s="273"/>
      <c r="BP131" s="273"/>
      <c r="BQ131" s="273"/>
      <c r="BR131" s="273"/>
      <c r="BS131" s="273"/>
      <c r="BT131" s="273"/>
      <c r="BU131" s="273"/>
      <c r="BV131" s="273"/>
      <c r="BW131" s="273"/>
      <c r="BX131" s="273"/>
      <c r="BY131" s="273"/>
      <c r="BZ131" s="273"/>
      <c r="CA131" s="273"/>
      <c r="CB131" s="273" t="s">
        <v>489</v>
      </c>
      <c r="CC131" s="273"/>
      <c r="CD131" s="273"/>
      <c r="CE131" s="273"/>
      <c r="CF131" s="273"/>
      <c r="CG131" s="273"/>
      <c r="CH131" s="273"/>
      <c r="CI131" s="273"/>
      <c r="CJ131" s="273"/>
      <c r="CK131" s="273"/>
      <c r="CL131" s="273"/>
      <c r="CM131" s="273"/>
      <c r="CN131" s="273"/>
      <c r="CO131" s="273"/>
      <c r="CP131" s="273"/>
      <c r="CQ131" s="273"/>
      <c r="CR131" s="273"/>
      <c r="CS131" s="273"/>
      <c r="CT131" s="273"/>
      <c r="CU131" s="273"/>
      <c r="CV131" s="273" t="s">
        <v>489</v>
      </c>
      <c r="CW131" s="273"/>
      <c r="CX131" s="273"/>
      <c r="CY131" s="273"/>
      <c r="CZ131" s="273"/>
      <c r="DA131" s="273"/>
      <c r="DB131" s="273"/>
      <c r="DC131" s="273"/>
      <c r="DD131" s="273"/>
      <c r="DE131" s="273"/>
      <c r="DF131" s="273"/>
      <c r="DG131" s="273"/>
      <c r="DH131" s="273"/>
      <c r="DI131" s="273"/>
      <c r="DJ131" s="273"/>
      <c r="DK131" s="273"/>
      <c r="DL131" s="273"/>
      <c r="DM131" s="273"/>
      <c r="DN131" s="273"/>
      <c r="DO131" s="273"/>
    </row>
    <row r="132" spans="3:119" ht="13.5" customHeight="1">
      <c r="C132" s="273" t="s">
        <v>435</v>
      </c>
      <c r="D132" s="273"/>
      <c r="E132" s="273"/>
      <c r="F132" s="273"/>
      <c r="G132" s="273"/>
      <c r="H132" s="273"/>
      <c r="I132" s="273"/>
      <c r="J132" s="636" t="s">
        <v>637</v>
      </c>
      <c r="K132" s="636"/>
      <c r="L132" s="636"/>
      <c r="M132" s="636"/>
      <c r="N132" s="636"/>
      <c r="O132" s="636" t="s">
        <v>490</v>
      </c>
      <c r="P132" s="636"/>
      <c r="Q132" s="636"/>
      <c r="R132" s="636"/>
      <c r="S132" s="636"/>
      <c r="T132" s="636" t="s">
        <v>482</v>
      </c>
      <c r="U132" s="636"/>
      <c r="V132" s="636"/>
      <c r="W132" s="636"/>
      <c r="X132" s="636"/>
      <c r="Y132" s="636" t="s">
        <v>512</v>
      </c>
      <c r="Z132" s="636"/>
      <c r="AA132" s="636"/>
      <c r="AB132" s="636"/>
      <c r="AC132" s="636"/>
      <c r="AD132" s="636" t="s">
        <v>489</v>
      </c>
      <c r="AE132" s="636"/>
      <c r="AF132" s="636"/>
      <c r="AG132" s="636"/>
      <c r="AH132" s="636"/>
      <c r="AI132" s="636" t="s">
        <v>643</v>
      </c>
      <c r="AJ132" s="636"/>
      <c r="AK132" s="636"/>
      <c r="AL132" s="636"/>
      <c r="AM132" s="636"/>
      <c r="AN132" s="273" t="s">
        <v>673</v>
      </c>
      <c r="AO132" s="273"/>
      <c r="AP132" s="273"/>
      <c r="AQ132" s="273"/>
      <c r="AR132" s="273"/>
      <c r="AS132" s="273"/>
      <c r="AT132" s="273"/>
      <c r="AU132" s="273"/>
      <c r="AV132" s="273"/>
      <c r="AW132" s="273"/>
      <c r="AX132" s="273"/>
      <c r="AY132" s="273"/>
      <c r="AZ132" s="273"/>
      <c r="BA132" s="273"/>
      <c r="BB132" s="273"/>
      <c r="BC132" s="273"/>
      <c r="BD132" s="273"/>
      <c r="BE132" s="273"/>
      <c r="BF132" s="273"/>
      <c r="BG132" s="273"/>
      <c r="BH132" s="273" t="s">
        <v>489</v>
      </c>
      <c r="BI132" s="273"/>
      <c r="BJ132" s="273"/>
      <c r="BK132" s="273"/>
      <c r="BL132" s="273"/>
      <c r="BM132" s="273"/>
      <c r="BN132" s="273"/>
      <c r="BO132" s="273"/>
      <c r="BP132" s="273"/>
      <c r="BQ132" s="273"/>
      <c r="BR132" s="273"/>
      <c r="BS132" s="273"/>
      <c r="BT132" s="273"/>
      <c r="BU132" s="273"/>
      <c r="BV132" s="273"/>
      <c r="BW132" s="273"/>
      <c r="BX132" s="273"/>
      <c r="BY132" s="273"/>
      <c r="BZ132" s="273"/>
      <c r="CA132" s="273"/>
      <c r="CB132" s="273" t="s">
        <v>489</v>
      </c>
      <c r="CC132" s="273"/>
      <c r="CD132" s="273"/>
      <c r="CE132" s="273"/>
      <c r="CF132" s="273"/>
      <c r="CG132" s="273"/>
      <c r="CH132" s="273"/>
      <c r="CI132" s="273"/>
      <c r="CJ132" s="273"/>
      <c r="CK132" s="273"/>
      <c r="CL132" s="273"/>
      <c r="CM132" s="273"/>
      <c r="CN132" s="273"/>
      <c r="CO132" s="273"/>
      <c r="CP132" s="273"/>
      <c r="CQ132" s="273"/>
      <c r="CR132" s="273"/>
      <c r="CS132" s="273"/>
      <c r="CT132" s="273"/>
      <c r="CU132" s="273"/>
      <c r="CV132" s="273" t="s">
        <v>489</v>
      </c>
      <c r="CW132" s="273"/>
      <c r="CX132" s="273"/>
      <c r="CY132" s="273"/>
      <c r="CZ132" s="273"/>
      <c r="DA132" s="273"/>
      <c r="DB132" s="273"/>
      <c r="DC132" s="273"/>
      <c r="DD132" s="273"/>
      <c r="DE132" s="273"/>
      <c r="DF132" s="273"/>
      <c r="DG132" s="273"/>
      <c r="DH132" s="273"/>
      <c r="DI132" s="273"/>
      <c r="DJ132" s="273"/>
      <c r="DK132" s="273"/>
      <c r="DL132" s="273"/>
      <c r="DM132" s="273"/>
      <c r="DN132" s="273"/>
      <c r="DO132" s="273"/>
    </row>
    <row r="133" spans="3:119" ht="13.5" customHeight="1">
      <c r="C133" s="273" t="s">
        <v>436</v>
      </c>
      <c r="D133" s="273"/>
      <c r="E133" s="273"/>
      <c r="F133" s="273"/>
      <c r="G133" s="273"/>
      <c r="H133" s="273"/>
      <c r="I133" s="273"/>
      <c r="J133" s="636" t="s">
        <v>637</v>
      </c>
      <c r="K133" s="636"/>
      <c r="L133" s="636"/>
      <c r="M133" s="636"/>
      <c r="N133" s="636"/>
      <c r="O133" s="636" t="s">
        <v>490</v>
      </c>
      <c r="P133" s="636"/>
      <c r="Q133" s="636"/>
      <c r="R133" s="636"/>
      <c r="S133" s="636"/>
      <c r="T133" s="636" t="s">
        <v>212</v>
      </c>
      <c r="U133" s="636"/>
      <c r="V133" s="636"/>
      <c r="W133" s="636"/>
      <c r="X133" s="636"/>
      <c r="Y133" s="636" t="s">
        <v>512</v>
      </c>
      <c r="Z133" s="636"/>
      <c r="AA133" s="636"/>
      <c r="AB133" s="636"/>
      <c r="AC133" s="636"/>
      <c r="AD133" s="636" t="s">
        <v>28</v>
      </c>
      <c r="AE133" s="636"/>
      <c r="AF133" s="636"/>
      <c r="AG133" s="636"/>
      <c r="AH133" s="636"/>
      <c r="AI133" s="636" t="s">
        <v>492</v>
      </c>
      <c r="AJ133" s="636"/>
      <c r="AK133" s="636"/>
      <c r="AL133" s="636"/>
      <c r="AM133" s="636"/>
      <c r="AN133" s="273" t="s">
        <v>670</v>
      </c>
      <c r="AO133" s="273"/>
      <c r="AP133" s="273"/>
      <c r="AQ133" s="273"/>
      <c r="AR133" s="273"/>
      <c r="AS133" s="273"/>
      <c r="AT133" s="273"/>
      <c r="AU133" s="273"/>
      <c r="AV133" s="273"/>
      <c r="AW133" s="273"/>
      <c r="AX133" s="273"/>
      <c r="AY133" s="273"/>
      <c r="AZ133" s="273"/>
      <c r="BA133" s="273"/>
      <c r="BB133" s="273"/>
      <c r="BC133" s="273"/>
      <c r="BD133" s="273"/>
      <c r="BE133" s="273"/>
      <c r="BF133" s="273"/>
      <c r="BG133" s="273"/>
      <c r="BH133" s="273" t="s">
        <v>489</v>
      </c>
      <c r="BI133" s="273"/>
      <c r="BJ133" s="273"/>
      <c r="BK133" s="273"/>
      <c r="BL133" s="273"/>
      <c r="BM133" s="273"/>
      <c r="BN133" s="273"/>
      <c r="BO133" s="273"/>
      <c r="BP133" s="273"/>
      <c r="BQ133" s="273"/>
      <c r="BR133" s="273"/>
      <c r="BS133" s="273"/>
      <c r="BT133" s="273"/>
      <c r="BU133" s="273"/>
      <c r="BV133" s="273"/>
      <c r="BW133" s="273"/>
      <c r="BX133" s="273"/>
      <c r="BY133" s="273"/>
      <c r="BZ133" s="273"/>
      <c r="CA133" s="273"/>
      <c r="CB133" s="273" t="s">
        <v>489</v>
      </c>
      <c r="CC133" s="273"/>
      <c r="CD133" s="273"/>
      <c r="CE133" s="273"/>
      <c r="CF133" s="273"/>
      <c r="CG133" s="273"/>
      <c r="CH133" s="273"/>
      <c r="CI133" s="273"/>
      <c r="CJ133" s="273"/>
      <c r="CK133" s="273"/>
      <c r="CL133" s="273"/>
      <c r="CM133" s="273"/>
      <c r="CN133" s="273"/>
      <c r="CO133" s="273"/>
      <c r="CP133" s="273"/>
      <c r="CQ133" s="273"/>
      <c r="CR133" s="273"/>
      <c r="CS133" s="273"/>
      <c r="CT133" s="273"/>
      <c r="CU133" s="273"/>
      <c r="CV133" s="273" t="s">
        <v>489</v>
      </c>
      <c r="CW133" s="273"/>
      <c r="CX133" s="273"/>
      <c r="CY133" s="273"/>
      <c r="CZ133" s="273"/>
      <c r="DA133" s="273"/>
      <c r="DB133" s="273"/>
      <c r="DC133" s="273"/>
      <c r="DD133" s="273"/>
      <c r="DE133" s="273"/>
      <c r="DF133" s="273"/>
      <c r="DG133" s="273"/>
      <c r="DH133" s="273"/>
      <c r="DI133" s="273"/>
      <c r="DJ133" s="273"/>
      <c r="DK133" s="273"/>
      <c r="DL133" s="273"/>
      <c r="DM133" s="273"/>
      <c r="DN133" s="273"/>
      <c r="DO133" s="273"/>
    </row>
    <row r="134" spans="3:119" ht="13.5" customHeight="1">
      <c r="C134" s="273" t="s">
        <v>437</v>
      </c>
      <c r="D134" s="273"/>
      <c r="E134" s="273"/>
      <c r="F134" s="273"/>
      <c r="G134" s="273"/>
      <c r="H134" s="273"/>
      <c r="I134" s="273"/>
      <c r="J134" s="636" t="s">
        <v>518</v>
      </c>
      <c r="K134" s="636"/>
      <c r="L134" s="636"/>
      <c r="M134" s="636"/>
      <c r="N134" s="636"/>
      <c r="O134" s="636" t="s">
        <v>510</v>
      </c>
      <c r="P134" s="636"/>
      <c r="Q134" s="636"/>
      <c r="R134" s="636"/>
      <c r="S134" s="636"/>
      <c r="T134" s="636" t="s">
        <v>511</v>
      </c>
      <c r="U134" s="636"/>
      <c r="V134" s="636"/>
      <c r="W134" s="636"/>
      <c r="X134" s="636"/>
      <c r="Y134" s="636" t="s">
        <v>512</v>
      </c>
      <c r="Z134" s="636"/>
      <c r="AA134" s="636"/>
      <c r="AB134" s="636"/>
      <c r="AC134" s="636"/>
      <c r="AD134" s="636" t="s">
        <v>489</v>
      </c>
      <c r="AE134" s="636"/>
      <c r="AF134" s="636"/>
      <c r="AG134" s="636"/>
      <c r="AH134" s="636"/>
      <c r="AI134" s="636" t="s">
        <v>485</v>
      </c>
      <c r="AJ134" s="636"/>
      <c r="AK134" s="636"/>
      <c r="AL134" s="636"/>
      <c r="AM134" s="636"/>
      <c r="AN134" s="273" t="s">
        <v>683</v>
      </c>
      <c r="AO134" s="273"/>
      <c r="AP134" s="273"/>
      <c r="AQ134" s="273"/>
      <c r="AR134" s="273"/>
      <c r="AS134" s="273"/>
      <c r="AT134" s="273"/>
      <c r="AU134" s="273"/>
      <c r="AV134" s="273"/>
      <c r="AW134" s="273"/>
      <c r="AX134" s="273"/>
      <c r="AY134" s="273"/>
      <c r="AZ134" s="273"/>
      <c r="BA134" s="273"/>
      <c r="BB134" s="273"/>
      <c r="BC134" s="273"/>
      <c r="BD134" s="273"/>
      <c r="BE134" s="273"/>
      <c r="BF134" s="273"/>
      <c r="BG134" s="273"/>
      <c r="BH134" s="273" t="s">
        <v>489</v>
      </c>
      <c r="BI134" s="273"/>
      <c r="BJ134" s="273"/>
      <c r="BK134" s="273"/>
      <c r="BL134" s="273"/>
      <c r="BM134" s="273"/>
      <c r="BN134" s="273"/>
      <c r="BO134" s="273"/>
      <c r="BP134" s="273"/>
      <c r="BQ134" s="273"/>
      <c r="BR134" s="273"/>
      <c r="BS134" s="273"/>
      <c r="BT134" s="273"/>
      <c r="BU134" s="273"/>
      <c r="BV134" s="273"/>
      <c r="BW134" s="273"/>
      <c r="BX134" s="273"/>
      <c r="BY134" s="273"/>
      <c r="BZ134" s="273"/>
      <c r="CA134" s="273"/>
      <c r="CB134" s="273" t="s">
        <v>489</v>
      </c>
      <c r="CC134" s="273"/>
      <c r="CD134" s="273"/>
      <c r="CE134" s="273"/>
      <c r="CF134" s="273"/>
      <c r="CG134" s="273"/>
      <c r="CH134" s="273"/>
      <c r="CI134" s="273"/>
      <c r="CJ134" s="273"/>
      <c r="CK134" s="273"/>
      <c r="CL134" s="273"/>
      <c r="CM134" s="273"/>
      <c r="CN134" s="273"/>
      <c r="CO134" s="273"/>
      <c r="CP134" s="273"/>
      <c r="CQ134" s="273"/>
      <c r="CR134" s="273"/>
      <c r="CS134" s="273"/>
      <c r="CT134" s="273"/>
      <c r="CU134" s="273"/>
      <c r="CV134" s="273" t="s">
        <v>489</v>
      </c>
      <c r="CW134" s="273"/>
      <c r="CX134" s="273"/>
      <c r="CY134" s="273"/>
      <c r="CZ134" s="273"/>
      <c r="DA134" s="273"/>
      <c r="DB134" s="273"/>
      <c r="DC134" s="273"/>
      <c r="DD134" s="273"/>
      <c r="DE134" s="273"/>
      <c r="DF134" s="273"/>
      <c r="DG134" s="273"/>
      <c r="DH134" s="273"/>
      <c r="DI134" s="273"/>
      <c r="DJ134" s="273"/>
      <c r="DK134" s="273"/>
      <c r="DL134" s="273"/>
      <c r="DM134" s="273"/>
      <c r="DN134" s="273"/>
      <c r="DO134" s="273"/>
    </row>
    <row r="135" spans="3:119" ht="13.5" customHeight="1">
      <c r="C135" s="273" t="s">
        <v>412</v>
      </c>
      <c r="D135" s="273"/>
      <c r="E135" s="273"/>
      <c r="F135" s="273"/>
      <c r="G135" s="273"/>
      <c r="H135" s="273"/>
      <c r="I135" s="273"/>
      <c r="J135" s="636" t="s">
        <v>518</v>
      </c>
      <c r="K135" s="636"/>
      <c r="L135" s="636"/>
      <c r="M135" s="636"/>
      <c r="N135" s="636"/>
      <c r="O135" s="636" t="s">
        <v>510</v>
      </c>
      <c r="P135" s="636"/>
      <c r="Q135" s="636"/>
      <c r="R135" s="636"/>
      <c r="S135" s="636"/>
      <c r="T135" s="636" t="s">
        <v>511</v>
      </c>
      <c r="U135" s="636"/>
      <c r="V135" s="636"/>
      <c r="W135" s="636"/>
      <c r="X135" s="636"/>
      <c r="Y135" s="636" t="s">
        <v>512</v>
      </c>
      <c r="Z135" s="636"/>
      <c r="AA135" s="636"/>
      <c r="AB135" s="636"/>
      <c r="AC135" s="636"/>
      <c r="AD135" s="636" t="s">
        <v>489</v>
      </c>
      <c r="AE135" s="636"/>
      <c r="AF135" s="636"/>
      <c r="AG135" s="636"/>
      <c r="AH135" s="636"/>
      <c r="AI135" s="636" t="s">
        <v>634</v>
      </c>
      <c r="AJ135" s="636"/>
      <c r="AK135" s="636"/>
      <c r="AL135" s="636"/>
      <c r="AM135" s="636"/>
      <c r="AN135" s="273" t="s">
        <v>671</v>
      </c>
      <c r="AO135" s="273"/>
      <c r="AP135" s="273"/>
      <c r="AQ135" s="273"/>
      <c r="AR135" s="273"/>
      <c r="AS135" s="273"/>
      <c r="AT135" s="273"/>
      <c r="AU135" s="273"/>
      <c r="AV135" s="273"/>
      <c r="AW135" s="273"/>
      <c r="AX135" s="273"/>
      <c r="AY135" s="273"/>
      <c r="AZ135" s="273"/>
      <c r="BA135" s="273"/>
      <c r="BB135" s="273"/>
      <c r="BC135" s="273"/>
      <c r="BD135" s="273"/>
      <c r="BE135" s="273"/>
      <c r="BF135" s="273"/>
      <c r="BG135" s="273"/>
      <c r="BH135" s="273" t="s">
        <v>489</v>
      </c>
      <c r="BI135" s="273"/>
      <c r="BJ135" s="273"/>
      <c r="BK135" s="273"/>
      <c r="BL135" s="273"/>
      <c r="BM135" s="273"/>
      <c r="BN135" s="273"/>
      <c r="BO135" s="273"/>
      <c r="BP135" s="273"/>
      <c r="BQ135" s="273"/>
      <c r="BR135" s="273"/>
      <c r="BS135" s="273"/>
      <c r="BT135" s="273"/>
      <c r="BU135" s="273"/>
      <c r="BV135" s="273"/>
      <c r="BW135" s="273"/>
      <c r="BX135" s="273"/>
      <c r="BY135" s="273"/>
      <c r="BZ135" s="273"/>
      <c r="CA135" s="273"/>
      <c r="CB135" s="273" t="s">
        <v>489</v>
      </c>
      <c r="CC135" s="273"/>
      <c r="CD135" s="273"/>
      <c r="CE135" s="273"/>
      <c r="CF135" s="273"/>
      <c r="CG135" s="273"/>
      <c r="CH135" s="273"/>
      <c r="CI135" s="273"/>
      <c r="CJ135" s="273"/>
      <c r="CK135" s="273"/>
      <c r="CL135" s="273"/>
      <c r="CM135" s="273"/>
      <c r="CN135" s="273"/>
      <c r="CO135" s="273"/>
      <c r="CP135" s="273"/>
      <c r="CQ135" s="273"/>
      <c r="CR135" s="273"/>
      <c r="CS135" s="273"/>
      <c r="CT135" s="273"/>
      <c r="CU135" s="273"/>
      <c r="CV135" s="273" t="s">
        <v>489</v>
      </c>
      <c r="CW135" s="273"/>
      <c r="CX135" s="273"/>
      <c r="CY135" s="273"/>
      <c r="CZ135" s="273"/>
      <c r="DA135" s="273"/>
      <c r="DB135" s="273"/>
      <c r="DC135" s="273"/>
      <c r="DD135" s="273"/>
      <c r="DE135" s="273"/>
      <c r="DF135" s="273"/>
      <c r="DG135" s="273"/>
      <c r="DH135" s="273"/>
      <c r="DI135" s="273"/>
      <c r="DJ135" s="273"/>
      <c r="DK135" s="273"/>
      <c r="DL135" s="273"/>
      <c r="DM135" s="273"/>
      <c r="DN135" s="273"/>
      <c r="DO135" s="273"/>
    </row>
    <row r="136" spans="3:119" ht="13.5" customHeight="1">
      <c r="C136" s="273" t="s">
        <v>438</v>
      </c>
      <c r="D136" s="273"/>
      <c r="E136" s="273"/>
      <c r="F136" s="273"/>
      <c r="G136" s="273"/>
      <c r="H136" s="273"/>
      <c r="I136" s="273"/>
      <c r="J136" s="636" t="s">
        <v>424</v>
      </c>
      <c r="K136" s="636"/>
      <c r="L136" s="636"/>
      <c r="M136" s="636"/>
      <c r="N136" s="636"/>
      <c r="O136" s="636" t="s">
        <v>638</v>
      </c>
      <c r="P136" s="636"/>
      <c r="Q136" s="636"/>
      <c r="R136" s="636"/>
      <c r="S136" s="636"/>
      <c r="T136" s="636" t="s">
        <v>482</v>
      </c>
      <c r="U136" s="636"/>
      <c r="V136" s="636"/>
      <c r="W136" s="636"/>
      <c r="X136" s="636"/>
      <c r="Y136" s="636" t="s">
        <v>483</v>
      </c>
      <c r="Z136" s="636"/>
      <c r="AA136" s="636"/>
      <c r="AB136" s="636"/>
      <c r="AC136" s="636"/>
      <c r="AD136" s="636" t="s">
        <v>127</v>
      </c>
      <c r="AE136" s="636"/>
      <c r="AF136" s="636"/>
      <c r="AG136" s="636"/>
      <c r="AH136" s="636"/>
      <c r="AI136" s="636" t="s">
        <v>636</v>
      </c>
      <c r="AJ136" s="636"/>
      <c r="AK136" s="636"/>
      <c r="AL136" s="636"/>
      <c r="AM136" s="636"/>
      <c r="AN136" s="273" t="s">
        <v>684</v>
      </c>
      <c r="AO136" s="273"/>
      <c r="AP136" s="273"/>
      <c r="AQ136" s="273"/>
      <c r="AR136" s="273"/>
      <c r="AS136" s="273"/>
      <c r="AT136" s="273"/>
      <c r="AU136" s="273"/>
      <c r="AV136" s="273"/>
      <c r="AW136" s="273"/>
      <c r="AX136" s="273"/>
      <c r="AY136" s="273"/>
      <c r="AZ136" s="273"/>
      <c r="BA136" s="273"/>
      <c r="BB136" s="273"/>
      <c r="BC136" s="273"/>
      <c r="BD136" s="273"/>
      <c r="BE136" s="273"/>
      <c r="BF136" s="273"/>
      <c r="BG136" s="273"/>
      <c r="BH136" s="273" t="s">
        <v>489</v>
      </c>
      <c r="BI136" s="273"/>
      <c r="BJ136" s="273"/>
      <c r="BK136" s="273"/>
      <c r="BL136" s="273"/>
      <c r="BM136" s="273"/>
      <c r="BN136" s="273"/>
      <c r="BO136" s="273"/>
      <c r="BP136" s="273"/>
      <c r="BQ136" s="273"/>
      <c r="BR136" s="273"/>
      <c r="BS136" s="273"/>
      <c r="BT136" s="273"/>
      <c r="BU136" s="273"/>
      <c r="BV136" s="273"/>
      <c r="BW136" s="273"/>
      <c r="BX136" s="273"/>
      <c r="BY136" s="273"/>
      <c r="BZ136" s="273"/>
      <c r="CA136" s="273"/>
      <c r="CB136" s="273" t="s">
        <v>489</v>
      </c>
      <c r="CC136" s="273"/>
      <c r="CD136" s="273"/>
      <c r="CE136" s="273"/>
      <c r="CF136" s="273"/>
      <c r="CG136" s="273"/>
      <c r="CH136" s="273"/>
      <c r="CI136" s="273"/>
      <c r="CJ136" s="273"/>
      <c r="CK136" s="273"/>
      <c r="CL136" s="273"/>
      <c r="CM136" s="273"/>
      <c r="CN136" s="273"/>
      <c r="CO136" s="273"/>
      <c r="CP136" s="273"/>
      <c r="CQ136" s="273"/>
      <c r="CR136" s="273"/>
      <c r="CS136" s="273"/>
      <c r="CT136" s="273"/>
      <c r="CU136" s="273"/>
      <c r="CV136" s="273" t="s">
        <v>489</v>
      </c>
      <c r="CW136" s="273"/>
      <c r="CX136" s="273"/>
      <c r="CY136" s="273"/>
      <c r="CZ136" s="273"/>
      <c r="DA136" s="273"/>
      <c r="DB136" s="273"/>
      <c r="DC136" s="273"/>
      <c r="DD136" s="273"/>
      <c r="DE136" s="273"/>
      <c r="DF136" s="273"/>
      <c r="DG136" s="273"/>
      <c r="DH136" s="273"/>
      <c r="DI136" s="273"/>
      <c r="DJ136" s="273"/>
      <c r="DK136" s="273"/>
      <c r="DL136" s="273"/>
      <c r="DM136" s="273"/>
      <c r="DN136" s="273"/>
      <c r="DO136" s="273"/>
    </row>
    <row r="137" spans="3:119" ht="13.5" customHeight="1">
      <c r="C137" s="273" t="s">
        <v>439</v>
      </c>
      <c r="D137" s="273"/>
      <c r="E137" s="273"/>
      <c r="F137" s="273"/>
      <c r="G137" s="273"/>
      <c r="H137" s="273"/>
      <c r="I137" s="273"/>
      <c r="J137" s="636" t="s">
        <v>424</v>
      </c>
      <c r="K137" s="636"/>
      <c r="L137" s="636"/>
      <c r="M137" s="636"/>
      <c r="N137" s="636"/>
      <c r="O137" s="636" t="s">
        <v>490</v>
      </c>
      <c r="P137" s="636"/>
      <c r="Q137" s="636"/>
      <c r="R137" s="636"/>
      <c r="S137" s="636"/>
      <c r="T137" s="636" t="s">
        <v>491</v>
      </c>
      <c r="U137" s="636"/>
      <c r="V137" s="636"/>
      <c r="W137" s="636"/>
      <c r="X137" s="636"/>
      <c r="Y137" s="636" t="s">
        <v>483</v>
      </c>
      <c r="Z137" s="636"/>
      <c r="AA137" s="636"/>
      <c r="AB137" s="636"/>
      <c r="AC137" s="636"/>
      <c r="AD137" s="636" t="s">
        <v>127</v>
      </c>
      <c r="AE137" s="636"/>
      <c r="AF137" s="636"/>
      <c r="AG137" s="636"/>
      <c r="AH137" s="636"/>
      <c r="AI137" s="636" t="s">
        <v>492</v>
      </c>
      <c r="AJ137" s="636"/>
      <c r="AK137" s="636"/>
      <c r="AL137" s="636"/>
      <c r="AM137" s="636"/>
      <c r="AN137" s="273" t="s">
        <v>685</v>
      </c>
      <c r="AO137" s="273"/>
      <c r="AP137" s="273"/>
      <c r="AQ137" s="273"/>
      <c r="AR137" s="273"/>
      <c r="AS137" s="273"/>
      <c r="AT137" s="273"/>
      <c r="AU137" s="273"/>
      <c r="AV137" s="273"/>
      <c r="AW137" s="273"/>
      <c r="AX137" s="273"/>
      <c r="AY137" s="273"/>
      <c r="AZ137" s="273"/>
      <c r="BA137" s="273"/>
      <c r="BB137" s="273"/>
      <c r="BC137" s="273"/>
      <c r="BD137" s="273"/>
      <c r="BE137" s="273"/>
      <c r="BF137" s="273"/>
      <c r="BG137" s="273"/>
      <c r="BH137" s="273" t="s">
        <v>489</v>
      </c>
      <c r="BI137" s="273"/>
      <c r="BJ137" s="273"/>
      <c r="BK137" s="273"/>
      <c r="BL137" s="273"/>
      <c r="BM137" s="273"/>
      <c r="BN137" s="273"/>
      <c r="BO137" s="273"/>
      <c r="BP137" s="273"/>
      <c r="BQ137" s="273"/>
      <c r="BR137" s="273"/>
      <c r="BS137" s="273"/>
      <c r="BT137" s="273"/>
      <c r="BU137" s="273"/>
      <c r="BV137" s="273"/>
      <c r="BW137" s="273"/>
      <c r="BX137" s="273"/>
      <c r="BY137" s="273"/>
      <c r="BZ137" s="273"/>
      <c r="CA137" s="273"/>
      <c r="CB137" s="273" t="s">
        <v>489</v>
      </c>
      <c r="CC137" s="273"/>
      <c r="CD137" s="273"/>
      <c r="CE137" s="273"/>
      <c r="CF137" s="273"/>
      <c r="CG137" s="273"/>
      <c r="CH137" s="273"/>
      <c r="CI137" s="273"/>
      <c r="CJ137" s="273"/>
      <c r="CK137" s="273"/>
      <c r="CL137" s="273"/>
      <c r="CM137" s="273"/>
      <c r="CN137" s="273"/>
      <c r="CO137" s="273"/>
      <c r="CP137" s="273"/>
      <c r="CQ137" s="273"/>
      <c r="CR137" s="273"/>
      <c r="CS137" s="273"/>
      <c r="CT137" s="273"/>
      <c r="CU137" s="273"/>
      <c r="CV137" s="273" t="s">
        <v>489</v>
      </c>
      <c r="CW137" s="273"/>
      <c r="CX137" s="273"/>
      <c r="CY137" s="273"/>
      <c r="CZ137" s="273"/>
      <c r="DA137" s="273"/>
      <c r="DB137" s="273"/>
      <c r="DC137" s="273"/>
      <c r="DD137" s="273"/>
      <c r="DE137" s="273"/>
      <c r="DF137" s="273"/>
      <c r="DG137" s="273"/>
      <c r="DH137" s="273"/>
      <c r="DI137" s="273"/>
      <c r="DJ137" s="273"/>
      <c r="DK137" s="273"/>
      <c r="DL137" s="273"/>
      <c r="DM137" s="273"/>
      <c r="DN137" s="273"/>
      <c r="DO137" s="273"/>
    </row>
    <row r="138" spans="3:119" ht="13.5" customHeight="1">
      <c r="C138" s="273" t="s">
        <v>921</v>
      </c>
      <c r="D138" s="273"/>
      <c r="E138" s="273"/>
      <c r="F138" s="273"/>
      <c r="G138" s="273"/>
      <c r="H138" s="273"/>
      <c r="I138" s="273"/>
      <c r="J138" s="636" t="s">
        <v>518</v>
      </c>
      <c r="K138" s="636"/>
      <c r="L138" s="636"/>
      <c r="M138" s="636"/>
      <c r="N138" s="636"/>
      <c r="O138" s="636" t="s">
        <v>510</v>
      </c>
      <c r="P138" s="636"/>
      <c r="Q138" s="636"/>
      <c r="R138" s="636"/>
      <c r="S138" s="636"/>
      <c r="T138" s="636" t="s">
        <v>511</v>
      </c>
      <c r="U138" s="636"/>
      <c r="V138" s="636"/>
      <c r="W138" s="636"/>
      <c r="X138" s="636"/>
      <c r="Y138" s="636" t="s">
        <v>512</v>
      </c>
      <c r="Z138" s="636"/>
      <c r="AA138" s="636"/>
      <c r="AB138" s="636"/>
      <c r="AC138" s="636"/>
      <c r="AD138" s="636" t="s">
        <v>489</v>
      </c>
      <c r="AE138" s="636"/>
      <c r="AF138" s="636"/>
      <c r="AG138" s="636"/>
      <c r="AH138" s="636"/>
      <c r="AI138" s="636" t="s">
        <v>485</v>
      </c>
      <c r="AJ138" s="636"/>
      <c r="AK138" s="636"/>
      <c r="AL138" s="636"/>
      <c r="AM138" s="636"/>
      <c r="AN138" s="273" t="s">
        <v>923</v>
      </c>
      <c r="AO138" s="273"/>
      <c r="AP138" s="273"/>
      <c r="AQ138" s="273"/>
      <c r="AR138" s="273"/>
      <c r="AS138" s="273"/>
      <c r="AT138" s="273"/>
      <c r="AU138" s="273"/>
      <c r="AV138" s="273"/>
      <c r="AW138" s="273"/>
      <c r="AX138" s="273"/>
      <c r="AY138" s="273"/>
      <c r="AZ138" s="273"/>
      <c r="BA138" s="273"/>
      <c r="BB138" s="273"/>
      <c r="BC138" s="273"/>
      <c r="BD138" s="273"/>
      <c r="BE138" s="273"/>
      <c r="BF138" s="273"/>
      <c r="BG138" s="273"/>
      <c r="BH138" s="273" t="s">
        <v>489</v>
      </c>
      <c r="BI138" s="273"/>
      <c r="BJ138" s="273"/>
      <c r="BK138" s="273"/>
      <c r="BL138" s="273"/>
      <c r="BM138" s="273"/>
      <c r="BN138" s="273"/>
      <c r="BO138" s="273"/>
      <c r="BP138" s="273"/>
      <c r="BQ138" s="273"/>
      <c r="BR138" s="273"/>
      <c r="BS138" s="273"/>
      <c r="BT138" s="273"/>
      <c r="BU138" s="273"/>
      <c r="BV138" s="273"/>
      <c r="BW138" s="273"/>
      <c r="BX138" s="273"/>
      <c r="BY138" s="273"/>
      <c r="BZ138" s="273"/>
      <c r="CA138" s="273"/>
      <c r="CB138" s="273" t="s">
        <v>550</v>
      </c>
      <c r="CC138" s="273"/>
      <c r="CD138" s="273"/>
      <c r="CE138" s="273"/>
      <c r="CF138" s="273"/>
      <c r="CG138" s="273"/>
      <c r="CH138" s="273"/>
      <c r="CI138" s="273"/>
      <c r="CJ138" s="273"/>
      <c r="CK138" s="273"/>
      <c r="CL138" s="273"/>
      <c r="CM138" s="273"/>
      <c r="CN138" s="273"/>
      <c r="CO138" s="273"/>
      <c r="CP138" s="273"/>
      <c r="CQ138" s="273"/>
      <c r="CR138" s="273"/>
      <c r="CS138" s="273"/>
      <c r="CT138" s="273"/>
      <c r="CU138" s="273"/>
      <c r="CV138" s="273" t="s">
        <v>551</v>
      </c>
      <c r="CW138" s="273"/>
      <c r="CX138" s="273"/>
      <c r="CY138" s="273"/>
      <c r="CZ138" s="273"/>
      <c r="DA138" s="273"/>
      <c r="DB138" s="273"/>
      <c r="DC138" s="273"/>
      <c r="DD138" s="273"/>
      <c r="DE138" s="273"/>
      <c r="DF138" s="273"/>
      <c r="DG138" s="273"/>
      <c r="DH138" s="273"/>
      <c r="DI138" s="273"/>
      <c r="DJ138" s="273"/>
      <c r="DK138" s="273"/>
      <c r="DL138" s="273"/>
      <c r="DM138" s="273"/>
      <c r="DN138" s="273"/>
      <c r="DO138" s="273"/>
    </row>
    <row r="139" spans="3:119" ht="13.5" customHeight="1">
      <c r="C139" s="273" t="s">
        <v>440</v>
      </c>
      <c r="D139" s="273"/>
      <c r="E139" s="273"/>
      <c r="F139" s="273"/>
      <c r="G139" s="273"/>
      <c r="H139" s="273"/>
      <c r="I139" s="273"/>
      <c r="J139" s="636" t="s">
        <v>518</v>
      </c>
      <c r="K139" s="636"/>
      <c r="L139" s="636"/>
      <c r="M139" s="636"/>
      <c r="N139" s="636"/>
      <c r="O139" s="636" t="s">
        <v>510</v>
      </c>
      <c r="P139" s="636"/>
      <c r="Q139" s="636"/>
      <c r="R139" s="636"/>
      <c r="S139" s="636"/>
      <c r="T139" s="636" t="s">
        <v>511</v>
      </c>
      <c r="U139" s="636"/>
      <c r="V139" s="636"/>
      <c r="W139" s="636"/>
      <c r="X139" s="636"/>
      <c r="Y139" s="636" t="s">
        <v>512</v>
      </c>
      <c r="Z139" s="636"/>
      <c r="AA139" s="636"/>
      <c r="AB139" s="636"/>
      <c r="AC139" s="636"/>
      <c r="AD139" s="636" t="s">
        <v>489</v>
      </c>
      <c r="AE139" s="636"/>
      <c r="AF139" s="636"/>
      <c r="AG139" s="636"/>
      <c r="AH139" s="636"/>
      <c r="AI139" s="636" t="s">
        <v>549</v>
      </c>
      <c r="AJ139" s="636"/>
      <c r="AK139" s="636"/>
      <c r="AL139" s="636"/>
      <c r="AM139" s="636"/>
      <c r="AN139" s="273" t="s">
        <v>552</v>
      </c>
      <c r="AO139" s="273"/>
      <c r="AP139" s="273"/>
      <c r="AQ139" s="273"/>
      <c r="AR139" s="273"/>
      <c r="AS139" s="273"/>
      <c r="AT139" s="273"/>
      <c r="AU139" s="273"/>
      <c r="AV139" s="273"/>
      <c r="AW139" s="273"/>
      <c r="AX139" s="273"/>
      <c r="AY139" s="273"/>
      <c r="AZ139" s="273"/>
      <c r="BA139" s="273"/>
      <c r="BB139" s="273"/>
      <c r="BC139" s="273"/>
      <c r="BD139" s="273"/>
      <c r="BE139" s="273"/>
      <c r="BF139" s="273"/>
      <c r="BG139" s="273"/>
      <c r="BH139" s="273" t="s">
        <v>489</v>
      </c>
      <c r="BI139" s="273"/>
      <c r="BJ139" s="273"/>
      <c r="BK139" s="273"/>
      <c r="BL139" s="273"/>
      <c r="BM139" s="273"/>
      <c r="BN139" s="273"/>
      <c r="BO139" s="273"/>
      <c r="BP139" s="273"/>
      <c r="BQ139" s="273"/>
      <c r="BR139" s="273"/>
      <c r="BS139" s="273"/>
      <c r="BT139" s="273"/>
      <c r="BU139" s="273"/>
      <c r="BV139" s="273"/>
      <c r="BW139" s="273"/>
      <c r="BX139" s="273"/>
      <c r="BY139" s="273"/>
      <c r="BZ139" s="273"/>
      <c r="CA139" s="273"/>
      <c r="CB139" s="273" t="s">
        <v>550</v>
      </c>
      <c r="CC139" s="273"/>
      <c r="CD139" s="273"/>
      <c r="CE139" s="273"/>
      <c r="CF139" s="273"/>
      <c r="CG139" s="273"/>
      <c r="CH139" s="273"/>
      <c r="CI139" s="273"/>
      <c r="CJ139" s="273"/>
      <c r="CK139" s="273"/>
      <c r="CL139" s="273"/>
      <c r="CM139" s="273"/>
      <c r="CN139" s="273"/>
      <c r="CO139" s="273"/>
      <c r="CP139" s="273"/>
      <c r="CQ139" s="273"/>
      <c r="CR139" s="273"/>
      <c r="CS139" s="273"/>
      <c r="CT139" s="273"/>
      <c r="CU139" s="273"/>
      <c r="CV139" s="273" t="s">
        <v>551</v>
      </c>
      <c r="CW139" s="273"/>
      <c r="CX139" s="273"/>
      <c r="CY139" s="273"/>
      <c r="CZ139" s="273"/>
      <c r="DA139" s="273"/>
      <c r="DB139" s="273"/>
      <c r="DC139" s="273"/>
      <c r="DD139" s="273"/>
      <c r="DE139" s="273"/>
      <c r="DF139" s="273"/>
      <c r="DG139" s="273"/>
      <c r="DH139" s="273"/>
      <c r="DI139" s="273"/>
      <c r="DJ139" s="273"/>
      <c r="DK139" s="273"/>
      <c r="DL139" s="273"/>
      <c r="DM139" s="273"/>
      <c r="DN139" s="273"/>
      <c r="DO139" s="273"/>
    </row>
    <row r="140" spans="3:119" ht="13.5" customHeight="1">
      <c r="C140" s="273" t="s">
        <v>541</v>
      </c>
      <c r="D140" s="273"/>
      <c r="E140" s="273"/>
      <c r="F140" s="273"/>
      <c r="G140" s="273"/>
      <c r="H140" s="273"/>
      <c r="I140" s="273"/>
      <c r="J140" s="636" t="s">
        <v>518</v>
      </c>
      <c r="K140" s="636"/>
      <c r="L140" s="636"/>
      <c r="M140" s="636"/>
      <c r="N140" s="636"/>
      <c r="O140" s="636" t="s">
        <v>510</v>
      </c>
      <c r="P140" s="636"/>
      <c r="Q140" s="636"/>
      <c r="R140" s="636"/>
      <c r="S140" s="636"/>
      <c r="T140" s="636" t="s">
        <v>511</v>
      </c>
      <c r="U140" s="636"/>
      <c r="V140" s="636"/>
      <c r="W140" s="636"/>
      <c r="X140" s="636"/>
      <c r="Y140" s="636" t="s">
        <v>512</v>
      </c>
      <c r="Z140" s="636"/>
      <c r="AA140" s="636"/>
      <c r="AB140" s="636"/>
      <c r="AC140" s="636"/>
      <c r="AD140" s="636" t="s">
        <v>489</v>
      </c>
      <c r="AE140" s="636"/>
      <c r="AF140" s="636"/>
      <c r="AG140" s="636"/>
      <c r="AH140" s="636"/>
      <c r="AI140" s="636" t="s">
        <v>492</v>
      </c>
      <c r="AJ140" s="636"/>
      <c r="AK140" s="636"/>
      <c r="AL140" s="636"/>
      <c r="AM140" s="636"/>
      <c r="AN140" s="273" t="s">
        <v>782</v>
      </c>
      <c r="AO140" s="273"/>
      <c r="AP140" s="273"/>
      <c r="AQ140" s="273"/>
      <c r="AR140" s="273"/>
      <c r="AS140" s="273"/>
      <c r="AT140" s="273"/>
      <c r="AU140" s="273"/>
      <c r="AV140" s="273"/>
      <c r="AW140" s="273"/>
      <c r="AX140" s="273"/>
      <c r="AY140" s="273"/>
      <c r="AZ140" s="273"/>
      <c r="BA140" s="273"/>
      <c r="BB140" s="273"/>
      <c r="BC140" s="273"/>
      <c r="BD140" s="273"/>
      <c r="BE140" s="273"/>
      <c r="BF140" s="273"/>
      <c r="BG140" s="273"/>
      <c r="BH140" s="273" t="s">
        <v>489</v>
      </c>
      <c r="BI140" s="273"/>
      <c r="BJ140" s="273"/>
      <c r="BK140" s="273"/>
      <c r="BL140" s="273"/>
      <c r="BM140" s="273"/>
      <c r="BN140" s="273"/>
      <c r="BO140" s="273"/>
      <c r="BP140" s="273"/>
      <c r="BQ140" s="273"/>
      <c r="BR140" s="273"/>
      <c r="BS140" s="273"/>
      <c r="BT140" s="273"/>
      <c r="BU140" s="273"/>
      <c r="BV140" s="273"/>
      <c r="BW140" s="273"/>
      <c r="BX140" s="273"/>
      <c r="BY140" s="273"/>
      <c r="BZ140" s="273"/>
      <c r="CA140" s="273"/>
      <c r="CB140" s="273" t="s">
        <v>550</v>
      </c>
      <c r="CC140" s="273"/>
      <c r="CD140" s="273"/>
      <c r="CE140" s="273"/>
      <c r="CF140" s="273"/>
      <c r="CG140" s="273"/>
      <c r="CH140" s="273"/>
      <c r="CI140" s="273"/>
      <c r="CJ140" s="273"/>
      <c r="CK140" s="273"/>
      <c r="CL140" s="273"/>
      <c r="CM140" s="273"/>
      <c r="CN140" s="273"/>
      <c r="CO140" s="273"/>
      <c r="CP140" s="273"/>
      <c r="CQ140" s="273"/>
      <c r="CR140" s="273"/>
      <c r="CS140" s="273"/>
      <c r="CT140" s="273"/>
      <c r="CU140" s="273"/>
      <c r="CV140" s="273" t="s">
        <v>551</v>
      </c>
      <c r="CW140" s="273"/>
      <c r="CX140" s="273"/>
      <c r="CY140" s="273"/>
      <c r="CZ140" s="273"/>
      <c r="DA140" s="273"/>
      <c r="DB140" s="273"/>
      <c r="DC140" s="273"/>
      <c r="DD140" s="273"/>
      <c r="DE140" s="273"/>
      <c r="DF140" s="273"/>
      <c r="DG140" s="273"/>
      <c r="DH140" s="273"/>
      <c r="DI140" s="273"/>
      <c r="DJ140" s="273"/>
      <c r="DK140" s="273"/>
      <c r="DL140" s="273"/>
      <c r="DM140" s="273"/>
      <c r="DN140" s="273"/>
      <c r="DO140" s="273"/>
    </row>
    <row r="141" spans="3:119" ht="13.5" customHeight="1">
      <c r="C141" s="273" t="s">
        <v>542</v>
      </c>
      <c r="D141" s="273"/>
      <c r="E141" s="273"/>
      <c r="F141" s="273"/>
      <c r="G141" s="273"/>
      <c r="H141" s="273"/>
      <c r="I141" s="273"/>
      <c r="J141" s="636" t="s">
        <v>518</v>
      </c>
      <c r="K141" s="636"/>
      <c r="L141" s="636"/>
      <c r="M141" s="636"/>
      <c r="N141" s="636"/>
      <c r="O141" s="636" t="s">
        <v>510</v>
      </c>
      <c r="P141" s="636"/>
      <c r="Q141" s="636"/>
      <c r="R141" s="636"/>
      <c r="S141" s="636"/>
      <c r="T141" s="636" t="s">
        <v>511</v>
      </c>
      <c r="U141" s="636"/>
      <c r="V141" s="636"/>
      <c r="W141" s="636"/>
      <c r="X141" s="636"/>
      <c r="Y141" s="636" t="s">
        <v>512</v>
      </c>
      <c r="Z141" s="636"/>
      <c r="AA141" s="636"/>
      <c r="AB141" s="636"/>
      <c r="AC141" s="636"/>
      <c r="AD141" s="636" t="s">
        <v>489</v>
      </c>
      <c r="AE141" s="636"/>
      <c r="AF141" s="636"/>
      <c r="AG141" s="636"/>
      <c r="AH141" s="636"/>
      <c r="AI141" s="636" t="s">
        <v>492</v>
      </c>
      <c r="AJ141" s="636"/>
      <c r="AK141" s="636"/>
      <c r="AL141" s="636"/>
      <c r="AM141" s="636"/>
      <c r="AN141" s="273" t="s">
        <v>676</v>
      </c>
      <c r="AO141" s="273"/>
      <c r="AP141" s="273"/>
      <c r="AQ141" s="273"/>
      <c r="AR141" s="273"/>
      <c r="AS141" s="273"/>
      <c r="AT141" s="273"/>
      <c r="AU141" s="273"/>
      <c r="AV141" s="273"/>
      <c r="AW141" s="273"/>
      <c r="AX141" s="273"/>
      <c r="AY141" s="273"/>
      <c r="AZ141" s="273"/>
      <c r="BA141" s="273"/>
      <c r="BB141" s="273"/>
      <c r="BC141" s="273"/>
      <c r="BD141" s="273"/>
      <c r="BE141" s="273"/>
      <c r="BF141" s="273"/>
      <c r="BG141" s="273"/>
      <c r="BH141" s="273" t="s">
        <v>489</v>
      </c>
      <c r="BI141" s="273"/>
      <c r="BJ141" s="273"/>
      <c r="BK141" s="273"/>
      <c r="BL141" s="273"/>
      <c r="BM141" s="273"/>
      <c r="BN141" s="273"/>
      <c r="BO141" s="273"/>
      <c r="BP141" s="273"/>
      <c r="BQ141" s="273"/>
      <c r="BR141" s="273"/>
      <c r="BS141" s="273"/>
      <c r="BT141" s="273"/>
      <c r="BU141" s="273"/>
      <c r="BV141" s="273"/>
      <c r="BW141" s="273"/>
      <c r="BX141" s="273"/>
      <c r="BY141" s="273"/>
      <c r="BZ141" s="273"/>
      <c r="CA141" s="273"/>
      <c r="CB141" s="273" t="s">
        <v>550</v>
      </c>
      <c r="CC141" s="273"/>
      <c r="CD141" s="273"/>
      <c r="CE141" s="273"/>
      <c r="CF141" s="273"/>
      <c r="CG141" s="273"/>
      <c r="CH141" s="273"/>
      <c r="CI141" s="273"/>
      <c r="CJ141" s="273"/>
      <c r="CK141" s="273"/>
      <c r="CL141" s="273"/>
      <c r="CM141" s="273"/>
      <c r="CN141" s="273"/>
      <c r="CO141" s="273"/>
      <c r="CP141" s="273"/>
      <c r="CQ141" s="273"/>
      <c r="CR141" s="273"/>
      <c r="CS141" s="273"/>
      <c r="CT141" s="273"/>
      <c r="CU141" s="273"/>
      <c r="CV141" s="273" t="s">
        <v>551</v>
      </c>
      <c r="CW141" s="273"/>
      <c r="CX141" s="273"/>
      <c r="CY141" s="273"/>
      <c r="CZ141" s="273"/>
      <c r="DA141" s="273"/>
      <c r="DB141" s="273"/>
      <c r="DC141" s="273"/>
      <c r="DD141" s="273"/>
      <c r="DE141" s="273"/>
      <c r="DF141" s="273"/>
      <c r="DG141" s="273"/>
      <c r="DH141" s="273"/>
      <c r="DI141" s="273"/>
      <c r="DJ141" s="273"/>
      <c r="DK141" s="273"/>
      <c r="DL141" s="273"/>
      <c r="DM141" s="273"/>
      <c r="DN141" s="273"/>
      <c r="DO141" s="273"/>
    </row>
    <row r="142" spans="3:119" ht="13.5" customHeight="1">
      <c r="C142" s="273" t="s">
        <v>543</v>
      </c>
      <c r="D142" s="273"/>
      <c r="E142" s="273"/>
      <c r="F142" s="273"/>
      <c r="G142" s="273"/>
      <c r="H142" s="273"/>
      <c r="I142" s="273"/>
      <c r="J142" s="636" t="s">
        <v>518</v>
      </c>
      <c r="K142" s="636"/>
      <c r="L142" s="636"/>
      <c r="M142" s="636"/>
      <c r="N142" s="636"/>
      <c r="O142" s="636" t="s">
        <v>510</v>
      </c>
      <c r="P142" s="636"/>
      <c r="Q142" s="636"/>
      <c r="R142" s="636"/>
      <c r="S142" s="636"/>
      <c r="T142" s="636" t="s">
        <v>511</v>
      </c>
      <c r="U142" s="636"/>
      <c r="V142" s="636"/>
      <c r="W142" s="636"/>
      <c r="X142" s="636"/>
      <c r="Y142" s="636" t="s">
        <v>512</v>
      </c>
      <c r="Z142" s="636"/>
      <c r="AA142" s="636"/>
      <c r="AB142" s="636"/>
      <c r="AC142" s="636"/>
      <c r="AD142" s="636" t="s">
        <v>489</v>
      </c>
      <c r="AE142" s="636"/>
      <c r="AF142" s="636"/>
      <c r="AG142" s="636"/>
      <c r="AH142" s="636"/>
      <c r="AI142" s="636" t="s">
        <v>492</v>
      </c>
      <c r="AJ142" s="636"/>
      <c r="AK142" s="636"/>
      <c r="AL142" s="636"/>
      <c r="AM142" s="636"/>
      <c r="AN142" s="273" t="s">
        <v>677</v>
      </c>
      <c r="AO142" s="273"/>
      <c r="AP142" s="273"/>
      <c r="AQ142" s="273"/>
      <c r="AR142" s="273"/>
      <c r="AS142" s="273"/>
      <c r="AT142" s="273"/>
      <c r="AU142" s="273"/>
      <c r="AV142" s="273"/>
      <c r="AW142" s="273"/>
      <c r="AX142" s="273"/>
      <c r="AY142" s="273"/>
      <c r="AZ142" s="273"/>
      <c r="BA142" s="273"/>
      <c r="BB142" s="273"/>
      <c r="BC142" s="273"/>
      <c r="BD142" s="273"/>
      <c r="BE142" s="273"/>
      <c r="BF142" s="273"/>
      <c r="BG142" s="273"/>
      <c r="BH142" s="273" t="s">
        <v>489</v>
      </c>
      <c r="BI142" s="273"/>
      <c r="BJ142" s="273"/>
      <c r="BK142" s="273"/>
      <c r="BL142" s="273"/>
      <c r="BM142" s="273"/>
      <c r="BN142" s="273"/>
      <c r="BO142" s="273"/>
      <c r="BP142" s="273"/>
      <c r="BQ142" s="273"/>
      <c r="BR142" s="273"/>
      <c r="BS142" s="273"/>
      <c r="BT142" s="273"/>
      <c r="BU142" s="273"/>
      <c r="BV142" s="273"/>
      <c r="BW142" s="273"/>
      <c r="BX142" s="273"/>
      <c r="BY142" s="273"/>
      <c r="BZ142" s="273"/>
      <c r="CA142" s="273"/>
      <c r="CB142" s="273" t="s">
        <v>550</v>
      </c>
      <c r="CC142" s="273"/>
      <c r="CD142" s="273"/>
      <c r="CE142" s="273"/>
      <c r="CF142" s="273"/>
      <c r="CG142" s="273"/>
      <c r="CH142" s="273"/>
      <c r="CI142" s="273"/>
      <c r="CJ142" s="273"/>
      <c r="CK142" s="273"/>
      <c r="CL142" s="273"/>
      <c r="CM142" s="273"/>
      <c r="CN142" s="273"/>
      <c r="CO142" s="273"/>
      <c r="CP142" s="273"/>
      <c r="CQ142" s="273"/>
      <c r="CR142" s="273"/>
      <c r="CS142" s="273"/>
      <c r="CT142" s="273"/>
      <c r="CU142" s="273"/>
      <c r="CV142" s="273" t="s">
        <v>551</v>
      </c>
      <c r="CW142" s="273"/>
      <c r="CX142" s="273"/>
      <c r="CY142" s="273"/>
      <c r="CZ142" s="273"/>
      <c r="DA142" s="273"/>
      <c r="DB142" s="273"/>
      <c r="DC142" s="273"/>
      <c r="DD142" s="273"/>
      <c r="DE142" s="273"/>
      <c r="DF142" s="273"/>
      <c r="DG142" s="273"/>
      <c r="DH142" s="273"/>
      <c r="DI142" s="273"/>
      <c r="DJ142" s="273"/>
      <c r="DK142" s="273"/>
      <c r="DL142" s="273"/>
      <c r="DM142" s="273"/>
      <c r="DN142" s="273"/>
      <c r="DO142" s="273"/>
    </row>
    <row r="143" spans="3:119" ht="13.5" customHeight="1">
      <c r="C143" s="273" t="s">
        <v>544</v>
      </c>
      <c r="D143" s="273"/>
      <c r="E143" s="273"/>
      <c r="F143" s="273"/>
      <c r="G143" s="273"/>
      <c r="H143" s="273"/>
      <c r="I143" s="273"/>
      <c r="J143" s="636" t="s">
        <v>518</v>
      </c>
      <c r="K143" s="636"/>
      <c r="L143" s="636"/>
      <c r="M143" s="636"/>
      <c r="N143" s="636"/>
      <c r="O143" s="636" t="s">
        <v>510</v>
      </c>
      <c r="P143" s="636"/>
      <c r="Q143" s="636"/>
      <c r="R143" s="636"/>
      <c r="S143" s="636"/>
      <c r="T143" s="636" t="s">
        <v>511</v>
      </c>
      <c r="U143" s="636"/>
      <c r="V143" s="636"/>
      <c r="W143" s="636"/>
      <c r="X143" s="636"/>
      <c r="Y143" s="636" t="s">
        <v>512</v>
      </c>
      <c r="Z143" s="636"/>
      <c r="AA143" s="636"/>
      <c r="AB143" s="636"/>
      <c r="AC143" s="636"/>
      <c r="AD143" s="636" t="s">
        <v>489</v>
      </c>
      <c r="AE143" s="636"/>
      <c r="AF143" s="636"/>
      <c r="AG143" s="636"/>
      <c r="AH143" s="636"/>
      <c r="AI143" s="636" t="s">
        <v>492</v>
      </c>
      <c r="AJ143" s="636"/>
      <c r="AK143" s="636"/>
      <c r="AL143" s="636"/>
      <c r="AM143" s="636"/>
      <c r="AN143" s="273" t="s">
        <v>678</v>
      </c>
      <c r="AO143" s="273"/>
      <c r="AP143" s="273"/>
      <c r="AQ143" s="273"/>
      <c r="AR143" s="273"/>
      <c r="AS143" s="273"/>
      <c r="AT143" s="273"/>
      <c r="AU143" s="273"/>
      <c r="AV143" s="273"/>
      <c r="AW143" s="273"/>
      <c r="AX143" s="273"/>
      <c r="AY143" s="273"/>
      <c r="AZ143" s="273"/>
      <c r="BA143" s="273"/>
      <c r="BB143" s="273"/>
      <c r="BC143" s="273"/>
      <c r="BD143" s="273"/>
      <c r="BE143" s="273"/>
      <c r="BF143" s="273"/>
      <c r="BG143" s="273"/>
      <c r="BH143" s="273" t="s">
        <v>489</v>
      </c>
      <c r="BI143" s="273"/>
      <c r="BJ143" s="273"/>
      <c r="BK143" s="273"/>
      <c r="BL143" s="273"/>
      <c r="BM143" s="273"/>
      <c r="BN143" s="273"/>
      <c r="BO143" s="273"/>
      <c r="BP143" s="273"/>
      <c r="BQ143" s="273"/>
      <c r="BR143" s="273"/>
      <c r="BS143" s="273"/>
      <c r="BT143" s="273"/>
      <c r="BU143" s="273"/>
      <c r="BV143" s="273"/>
      <c r="BW143" s="273"/>
      <c r="BX143" s="273"/>
      <c r="BY143" s="273"/>
      <c r="BZ143" s="273"/>
      <c r="CA143" s="273"/>
      <c r="CB143" s="273" t="s">
        <v>550</v>
      </c>
      <c r="CC143" s="273"/>
      <c r="CD143" s="273"/>
      <c r="CE143" s="273"/>
      <c r="CF143" s="273"/>
      <c r="CG143" s="273"/>
      <c r="CH143" s="273"/>
      <c r="CI143" s="273"/>
      <c r="CJ143" s="273"/>
      <c r="CK143" s="273"/>
      <c r="CL143" s="273"/>
      <c r="CM143" s="273"/>
      <c r="CN143" s="273"/>
      <c r="CO143" s="273"/>
      <c r="CP143" s="273"/>
      <c r="CQ143" s="273"/>
      <c r="CR143" s="273"/>
      <c r="CS143" s="273"/>
      <c r="CT143" s="273"/>
      <c r="CU143" s="273"/>
      <c r="CV143" s="273" t="s">
        <v>551</v>
      </c>
      <c r="CW143" s="273"/>
      <c r="CX143" s="273"/>
      <c r="CY143" s="273"/>
      <c r="CZ143" s="273"/>
      <c r="DA143" s="273"/>
      <c r="DB143" s="273"/>
      <c r="DC143" s="273"/>
      <c r="DD143" s="273"/>
      <c r="DE143" s="273"/>
      <c r="DF143" s="273"/>
      <c r="DG143" s="273"/>
      <c r="DH143" s="273"/>
      <c r="DI143" s="273"/>
      <c r="DJ143" s="273"/>
      <c r="DK143" s="273"/>
      <c r="DL143" s="273"/>
      <c r="DM143" s="273"/>
      <c r="DN143" s="273"/>
      <c r="DO143" s="273"/>
    </row>
    <row r="144" spans="3:119" ht="13.5" customHeight="1">
      <c r="C144" s="273" t="s">
        <v>545</v>
      </c>
      <c r="D144" s="273"/>
      <c r="E144" s="273"/>
      <c r="F144" s="273"/>
      <c r="G144" s="273"/>
      <c r="H144" s="273"/>
      <c r="I144" s="273"/>
      <c r="J144" s="636" t="s">
        <v>518</v>
      </c>
      <c r="K144" s="636"/>
      <c r="L144" s="636"/>
      <c r="M144" s="636"/>
      <c r="N144" s="636"/>
      <c r="O144" s="636" t="s">
        <v>510</v>
      </c>
      <c r="P144" s="636"/>
      <c r="Q144" s="636"/>
      <c r="R144" s="636"/>
      <c r="S144" s="636"/>
      <c r="T144" s="636" t="s">
        <v>511</v>
      </c>
      <c r="U144" s="636"/>
      <c r="V144" s="636"/>
      <c r="W144" s="636"/>
      <c r="X144" s="636"/>
      <c r="Y144" s="636" t="s">
        <v>512</v>
      </c>
      <c r="Z144" s="636"/>
      <c r="AA144" s="636"/>
      <c r="AB144" s="636"/>
      <c r="AC144" s="636"/>
      <c r="AD144" s="636" t="s">
        <v>489</v>
      </c>
      <c r="AE144" s="636"/>
      <c r="AF144" s="636"/>
      <c r="AG144" s="636"/>
      <c r="AH144" s="636"/>
      <c r="AI144" s="636" t="s">
        <v>492</v>
      </c>
      <c r="AJ144" s="636"/>
      <c r="AK144" s="636"/>
      <c r="AL144" s="636"/>
      <c r="AM144" s="636"/>
      <c r="AN144" s="273" t="s">
        <v>679</v>
      </c>
      <c r="AO144" s="273"/>
      <c r="AP144" s="273"/>
      <c r="AQ144" s="273"/>
      <c r="AR144" s="273"/>
      <c r="AS144" s="273"/>
      <c r="AT144" s="273"/>
      <c r="AU144" s="273"/>
      <c r="AV144" s="273"/>
      <c r="AW144" s="273"/>
      <c r="AX144" s="273"/>
      <c r="AY144" s="273"/>
      <c r="AZ144" s="273"/>
      <c r="BA144" s="273"/>
      <c r="BB144" s="273"/>
      <c r="BC144" s="273"/>
      <c r="BD144" s="273"/>
      <c r="BE144" s="273"/>
      <c r="BF144" s="273"/>
      <c r="BG144" s="273"/>
      <c r="BH144" s="273" t="s">
        <v>489</v>
      </c>
      <c r="BI144" s="273"/>
      <c r="BJ144" s="273"/>
      <c r="BK144" s="273"/>
      <c r="BL144" s="273"/>
      <c r="BM144" s="273"/>
      <c r="BN144" s="273"/>
      <c r="BO144" s="273"/>
      <c r="BP144" s="273"/>
      <c r="BQ144" s="273"/>
      <c r="BR144" s="273"/>
      <c r="BS144" s="273"/>
      <c r="BT144" s="273"/>
      <c r="BU144" s="273"/>
      <c r="BV144" s="273"/>
      <c r="BW144" s="273"/>
      <c r="BX144" s="273"/>
      <c r="BY144" s="273"/>
      <c r="BZ144" s="273"/>
      <c r="CA144" s="273"/>
      <c r="CB144" s="273" t="s">
        <v>550</v>
      </c>
      <c r="CC144" s="273"/>
      <c r="CD144" s="273"/>
      <c r="CE144" s="273"/>
      <c r="CF144" s="273"/>
      <c r="CG144" s="273"/>
      <c r="CH144" s="273"/>
      <c r="CI144" s="273"/>
      <c r="CJ144" s="273"/>
      <c r="CK144" s="273"/>
      <c r="CL144" s="273"/>
      <c r="CM144" s="273"/>
      <c r="CN144" s="273"/>
      <c r="CO144" s="273"/>
      <c r="CP144" s="273"/>
      <c r="CQ144" s="273"/>
      <c r="CR144" s="273"/>
      <c r="CS144" s="273"/>
      <c r="CT144" s="273"/>
      <c r="CU144" s="273"/>
      <c r="CV144" s="273" t="s">
        <v>551</v>
      </c>
      <c r="CW144" s="273"/>
      <c r="CX144" s="273"/>
      <c r="CY144" s="273"/>
      <c r="CZ144" s="273"/>
      <c r="DA144" s="273"/>
      <c r="DB144" s="273"/>
      <c r="DC144" s="273"/>
      <c r="DD144" s="273"/>
      <c r="DE144" s="273"/>
      <c r="DF144" s="273"/>
      <c r="DG144" s="273"/>
      <c r="DH144" s="273"/>
      <c r="DI144" s="273"/>
      <c r="DJ144" s="273"/>
      <c r="DK144" s="273"/>
      <c r="DL144" s="273"/>
      <c r="DM144" s="273"/>
      <c r="DN144" s="273"/>
      <c r="DO144" s="273"/>
    </row>
    <row r="145" spans="3:119" ht="13.5" customHeight="1">
      <c r="C145" s="273" t="s">
        <v>546</v>
      </c>
      <c r="D145" s="273"/>
      <c r="E145" s="273"/>
      <c r="F145" s="273"/>
      <c r="G145" s="273"/>
      <c r="H145" s="273"/>
      <c r="I145" s="273"/>
      <c r="J145" s="636" t="s">
        <v>518</v>
      </c>
      <c r="K145" s="636"/>
      <c r="L145" s="636"/>
      <c r="M145" s="636"/>
      <c r="N145" s="636"/>
      <c r="O145" s="636" t="s">
        <v>510</v>
      </c>
      <c r="P145" s="636"/>
      <c r="Q145" s="636"/>
      <c r="R145" s="636"/>
      <c r="S145" s="636"/>
      <c r="T145" s="636" t="s">
        <v>511</v>
      </c>
      <c r="U145" s="636"/>
      <c r="V145" s="636"/>
      <c r="W145" s="636"/>
      <c r="X145" s="636"/>
      <c r="Y145" s="636" t="s">
        <v>512</v>
      </c>
      <c r="Z145" s="636"/>
      <c r="AA145" s="636"/>
      <c r="AB145" s="636"/>
      <c r="AC145" s="636"/>
      <c r="AD145" s="636" t="s">
        <v>489</v>
      </c>
      <c r="AE145" s="636"/>
      <c r="AF145" s="636"/>
      <c r="AG145" s="636"/>
      <c r="AH145" s="636"/>
      <c r="AI145" s="636" t="s">
        <v>492</v>
      </c>
      <c r="AJ145" s="636"/>
      <c r="AK145" s="636"/>
      <c r="AL145" s="636"/>
      <c r="AM145" s="636"/>
      <c r="AN145" s="273" t="s">
        <v>680</v>
      </c>
      <c r="AO145" s="273"/>
      <c r="AP145" s="273"/>
      <c r="AQ145" s="273"/>
      <c r="AR145" s="273"/>
      <c r="AS145" s="273"/>
      <c r="AT145" s="273"/>
      <c r="AU145" s="273"/>
      <c r="AV145" s="273"/>
      <c r="AW145" s="273"/>
      <c r="AX145" s="273"/>
      <c r="AY145" s="273"/>
      <c r="AZ145" s="273"/>
      <c r="BA145" s="273"/>
      <c r="BB145" s="273"/>
      <c r="BC145" s="273"/>
      <c r="BD145" s="273"/>
      <c r="BE145" s="273"/>
      <c r="BF145" s="273"/>
      <c r="BG145" s="273"/>
      <c r="BH145" s="273" t="s">
        <v>489</v>
      </c>
      <c r="BI145" s="273"/>
      <c r="BJ145" s="273"/>
      <c r="BK145" s="273"/>
      <c r="BL145" s="273"/>
      <c r="BM145" s="273"/>
      <c r="BN145" s="273"/>
      <c r="BO145" s="273"/>
      <c r="BP145" s="273"/>
      <c r="BQ145" s="273"/>
      <c r="BR145" s="273"/>
      <c r="BS145" s="273"/>
      <c r="BT145" s="273"/>
      <c r="BU145" s="273"/>
      <c r="BV145" s="273"/>
      <c r="BW145" s="273"/>
      <c r="BX145" s="273"/>
      <c r="BY145" s="273"/>
      <c r="BZ145" s="273"/>
      <c r="CA145" s="273"/>
      <c r="CB145" s="273" t="s">
        <v>550</v>
      </c>
      <c r="CC145" s="273"/>
      <c r="CD145" s="273"/>
      <c r="CE145" s="273"/>
      <c r="CF145" s="273"/>
      <c r="CG145" s="273"/>
      <c r="CH145" s="273"/>
      <c r="CI145" s="273"/>
      <c r="CJ145" s="273"/>
      <c r="CK145" s="273"/>
      <c r="CL145" s="273"/>
      <c r="CM145" s="273"/>
      <c r="CN145" s="273"/>
      <c r="CO145" s="273"/>
      <c r="CP145" s="273"/>
      <c r="CQ145" s="273"/>
      <c r="CR145" s="273"/>
      <c r="CS145" s="273"/>
      <c r="CT145" s="273"/>
      <c r="CU145" s="273"/>
      <c r="CV145" s="273" t="s">
        <v>551</v>
      </c>
      <c r="CW145" s="273"/>
      <c r="CX145" s="273"/>
      <c r="CY145" s="273"/>
      <c r="CZ145" s="273"/>
      <c r="DA145" s="273"/>
      <c r="DB145" s="273"/>
      <c r="DC145" s="273"/>
      <c r="DD145" s="273"/>
      <c r="DE145" s="273"/>
      <c r="DF145" s="273"/>
      <c r="DG145" s="273"/>
      <c r="DH145" s="273"/>
      <c r="DI145" s="273"/>
      <c r="DJ145" s="273"/>
      <c r="DK145" s="273"/>
      <c r="DL145" s="273"/>
      <c r="DM145" s="273"/>
      <c r="DN145" s="273"/>
      <c r="DO145" s="273"/>
    </row>
    <row r="146" spans="3:119" ht="13.5" customHeight="1">
      <c r="C146" s="273" t="s">
        <v>547</v>
      </c>
      <c r="D146" s="273"/>
      <c r="E146" s="273"/>
      <c r="F146" s="273"/>
      <c r="G146" s="273"/>
      <c r="H146" s="273"/>
      <c r="I146" s="273"/>
      <c r="J146" s="636" t="s">
        <v>518</v>
      </c>
      <c r="K146" s="636"/>
      <c r="L146" s="636"/>
      <c r="M146" s="636"/>
      <c r="N146" s="636"/>
      <c r="O146" s="636" t="s">
        <v>510</v>
      </c>
      <c r="P146" s="636"/>
      <c r="Q146" s="636"/>
      <c r="R146" s="636"/>
      <c r="S146" s="636"/>
      <c r="T146" s="636" t="s">
        <v>511</v>
      </c>
      <c r="U146" s="636"/>
      <c r="V146" s="636"/>
      <c r="W146" s="636"/>
      <c r="X146" s="636"/>
      <c r="Y146" s="636" t="s">
        <v>512</v>
      </c>
      <c r="Z146" s="636"/>
      <c r="AA146" s="636"/>
      <c r="AB146" s="636"/>
      <c r="AC146" s="636"/>
      <c r="AD146" s="636" t="s">
        <v>489</v>
      </c>
      <c r="AE146" s="636"/>
      <c r="AF146" s="636"/>
      <c r="AG146" s="636"/>
      <c r="AH146" s="636"/>
      <c r="AI146" s="636" t="s">
        <v>492</v>
      </c>
      <c r="AJ146" s="636"/>
      <c r="AK146" s="636"/>
      <c r="AL146" s="636"/>
      <c r="AM146" s="636"/>
      <c r="AN146" s="273" t="s">
        <v>681</v>
      </c>
      <c r="AO146" s="273"/>
      <c r="AP146" s="273"/>
      <c r="AQ146" s="273"/>
      <c r="AR146" s="273"/>
      <c r="AS146" s="273"/>
      <c r="AT146" s="273"/>
      <c r="AU146" s="273"/>
      <c r="AV146" s="273"/>
      <c r="AW146" s="273"/>
      <c r="AX146" s="273"/>
      <c r="AY146" s="273"/>
      <c r="AZ146" s="273"/>
      <c r="BA146" s="273"/>
      <c r="BB146" s="273"/>
      <c r="BC146" s="273"/>
      <c r="BD146" s="273"/>
      <c r="BE146" s="273"/>
      <c r="BF146" s="273"/>
      <c r="BG146" s="273"/>
      <c r="BH146" s="273" t="s">
        <v>489</v>
      </c>
      <c r="BI146" s="273"/>
      <c r="BJ146" s="273"/>
      <c r="BK146" s="273"/>
      <c r="BL146" s="273"/>
      <c r="BM146" s="273"/>
      <c r="BN146" s="273"/>
      <c r="BO146" s="273"/>
      <c r="BP146" s="273"/>
      <c r="BQ146" s="273"/>
      <c r="BR146" s="273"/>
      <c r="BS146" s="273"/>
      <c r="BT146" s="273"/>
      <c r="BU146" s="273"/>
      <c r="BV146" s="273"/>
      <c r="BW146" s="273"/>
      <c r="BX146" s="273"/>
      <c r="BY146" s="273"/>
      <c r="BZ146" s="273"/>
      <c r="CA146" s="273"/>
      <c r="CB146" s="273" t="s">
        <v>550</v>
      </c>
      <c r="CC146" s="273"/>
      <c r="CD146" s="273"/>
      <c r="CE146" s="273"/>
      <c r="CF146" s="273"/>
      <c r="CG146" s="273"/>
      <c r="CH146" s="273"/>
      <c r="CI146" s="273"/>
      <c r="CJ146" s="273"/>
      <c r="CK146" s="273"/>
      <c r="CL146" s="273"/>
      <c r="CM146" s="273"/>
      <c r="CN146" s="273"/>
      <c r="CO146" s="273"/>
      <c r="CP146" s="273"/>
      <c r="CQ146" s="273"/>
      <c r="CR146" s="273"/>
      <c r="CS146" s="273"/>
      <c r="CT146" s="273"/>
      <c r="CU146" s="273"/>
      <c r="CV146" s="273" t="s">
        <v>551</v>
      </c>
      <c r="CW146" s="273"/>
      <c r="CX146" s="273"/>
      <c r="CY146" s="273"/>
      <c r="CZ146" s="273"/>
      <c r="DA146" s="273"/>
      <c r="DB146" s="273"/>
      <c r="DC146" s="273"/>
      <c r="DD146" s="273"/>
      <c r="DE146" s="273"/>
      <c r="DF146" s="273"/>
      <c r="DG146" s="273"/>
      <c r="DH146" s="273"/>
      <c r="DI146" s="273"/>
      <c r="DJ146" s="273"/>
      <c r="DK146" s="273"/>
      <c r="DL146" s="273"/>
      <c r="DM146" s="273"/>
      <c r="DN146" s="273"/>
      <c r="DO146" s="273"/>
    </row>
    <row r="147" spans="3:119" ht="13.5" customHeight="1">
      <c r="C147" s="273" t="s">
        <v>548</v>
      </c>
      <c r="D147" s="273"/>
      <c r="E147" s="273"/>
      <c r="F147" s="273"/>
      <c r="G147" s="273"/>
      <c r="H147" s="273"/>
      <c r="I147" s="273"/>
      <c r="J147" s="636" t="s">
        <v>518</v>
      </c>
      <c r="K147" s="636"/>
      <c r="L147" s="636"/>
      <c r="M147" s="636"/>
      <c r="N147" s="636"/>
      <c r="O147" s="636" t="s">
        <v>510</v>
      </c>
      <c r="P147" s="636"/>
      <c r="Q147" s="636"/>
      <c r="R147" s="636"/>
      <c r="S147" s="636"/>
      <c r="T147" s="636" t="s">
        <v>511</v>
      </c>
      <c r="U147" s="636"/>
      <c r="V147" s="636"/>
      <c r="W147" s="636"/>
      <c r="X147" s="636"/>
      <c r="Y147" s="636" t="s">
        <v>512</v>
      </c>
      <c r="Z147" s="636"/>
      <c r="AA147" s="636"/>
      <c r="AB147" s="636"/>
      <c r="AC147" s="636"/>
      <c r="AD147" s="636" t="s">
        <v>489</v>
      </c>
      <c r="AE147" s="636"/>
      <c r="AF147" s="636"/>
      <c r="AG147" s="636"/>
      <c r="AH147" s="636"/>
      <c r="AI147" s="636" t="s">
        <v>492</v>
      </c>
      <c r="AJ147" s="636"/>
      <c r="AK147" s="636"/>
      <c r="AL147" s="636"/>
      <c r="AM147" s="636"/>
      <c r="AN147" s="273" t="s">
        <v>682</v>
      </c>
      <c r="AO147" s="273"/>
      <c r="AP147" s="273"/>
      <c r="AQ147" s="273"/>
      <c r="AR147" s="273"/>
      <c r="AS147" s="273"/>
      <c r="AT147" s="273"/>
      <c r="AU147" s="273"/>
      <c r="AV147" s="273"/>
      <c r="AW147" s="273"/>
      <c r="AX147" s="273"/>
      <c r="AY147" s="273"/>
      <c r="AZ147" s="273"/>
      <c r="BA147" s="273"/>
      <c r="BB147" s="273"/>
      <c r="BC147" s="273"/>
      <c r="BD147" s="273"/>
      <c r="BE147" s="273"/>
      <c r="BF147" s="273"/>
      <c r="BG147" s="273"/>
      <c r="BH147" s="273" t="s">
        <v>489</v>
      </c>
      <c r="BI147" s="273"/>
      <c r="BJ147" s="273"/>
      <c r="BK147" s="273"/>
      <c r="BL147" s="273"/>
      <c r="BM147" s="273"/>
      <c r="BN147" s="273"/>
      <c r="BO147" s="273"/>
      <c r="BP147" s="273"/>
      <c r="BQ147" s="273"/>
      <c r="BR147" s="273"/>
      <c r="BS147" s="273"/>
      <c r="BT147" s="273"/>
      <c r="BU147" s="273"/>
      <c r="BV147" s="273"/>
      <c r="BW147" s="273"/>
      <c r="BX147" s="273"/>
      <c r="BY147" s="273"/>
      <c r="BZ147" s="273"/>
      <c r="CA147" s="273"/>
      <c r="CB147" s="273" t="s">
        <v>550</v>
      </c>
      <c r="CC147" s="273"/>
      <c r="CD147" s="273"/>
      <c r="CE147" s="273"/>
      <c r="CF147" s="273"/>
      <c r="CG147" s="273"/>
      <c r="CH147" s="273"/>
      <c r="CI147" s="273"/>
      <c r="CJ147" s="273"/>
      <c r="CK147" s="273"/>
      <c r="CL147" s="273"/>
      <c r="CM147" s="273"/>
      <c r="CN147" s="273"/>
      <c r="CO147" s="273"/>
      <c r="CP147" s="273"/>
      <c r="CQ147" s="273"/>
      <c r="CR147" s="273"/>
      <c r="CS147" s="273"/>
      <c r="CT147" s="273"/>
      <c r="CU147" s="273"/>
      <c r="CV147" s="273" t="s">
        <v>551</v>
      </c>
      <c r="CW147" s="273"/>
      <c r="CX147" s="273"/>
      <c r="CY147" s="273"/>
      <c r="CZ147" s="273"/>
      <c r="DA147" s="273"/>
      <c r="DB147" s="273"/>
      <c r="DC147" s="273"/>
      <c r="DD147" s="273"/>
      <c r="DE147" s="273"/>
      <c r="DF147" s="273"/>
      <c r="DG147" s="273"/>
      <c r="DH147" s="273"/>
      <c r="DI147" s="273"/>
      <c r="DJ147" s="273"/>
      <c r="DK147" s="273"/>
      <c r="DL147" s="273"/>
      <c r="DM147" s="273"/>
      <c r="DN147" s="273"/>
      <c r="DO147" s="273"/>
    </row>
    <row r="148" spans="3:119" ht="13.5" customHeight="1">
      <c r="C148" s="273" t="s">
        <v>757</v>
      </c>
      <c r="D148" s="273"/>
      <c r="E148" s="273"/>
      <c r="F148" s="273"/>
      <c r="G148" s="273"/>
      <c r="H148" s="273"/>
      <c r="I148" s="273"/>
      <c r="J148" s="636" t="s">
        <v>518</v>
      </c>
      <c r="K148" s="636"/>
      <c r="L148" s="636"/>
      <c r="M148" s="636"/>
      <c r="N148" s="636"/>
      <c r="O148" s="636" t="s">
        <v>510</v>
      </c>
      <c r="P148" s="636"/>
      <c r="Q148" s="636"/>
      <c r="R148" s="636"/>
      <c r="S148" s="636"/>
      <c r="T148" s="636" t="s">
        <v>511</v>
      </c>
      <c r="U148" s="636"/>
      <c r="V148" s="636"/>
      <c r="W148" s="636"/>
      <c r="X148" s="636"/>
      <c r="Y148" s="636" t="s">
        <v>512</v>
      </c>
      <c r="Z148" s="636"/>
      <c r="AA148" s="636"/>
      <c r="AB148" s="636"/>
      <c r="AC148" s="636"/>
      <c r="AD148" s="636" t="s">
        <v>489</v>
      </c>
      <c r="AE148" s="636"/>
      <c r="AF148" s="636"/>
      <c r="AG148" s="636"/>
      <c r="AH148" s="636"/>
      <c r="AI148" s="636" t="s">
        <v>485</v>
      </c>
      <c r="AJ148" s="636"/>
      <c r="AK148" s="636"/>
      <c r="AL148" s="636"/>
      <c r="AM148" s="636"/>
      <c r="AN148" s="273" t="s">
        <v>756</v>
      </c>
      <c r="AO148" s="273"/>
      <c r="AP148" s="273"/>
      <c r="AQ148" s="273"/>
      <c r="AR148" s="273"/>
      <c r="AS148" s="273"/>
      <c r="AT148" s="273"/>
      <c r="AU148" s="273"/>
      <c r="AV148" s="273"/>
      <c r="AW148" s="273"/>
      <c r="AX148" s="273"/>
      <c r="AY148" s="273"/>
      <c r="AZ148" s="273"/>
      <c r="BA148" s="273"/>
      <c r="BB148" s="273"/>
      <c r="BC148" s="273"/>
      <c r="BD148" s="273"/>
      <c r="BE148" s="273"/>
      <c r="BF148" s="273"/>
      <c r="BG148" s="273"/>
      <c r="BH148" s="273" t="s">
        <v>489</v>
      </c>
      <c r="BI148" s="273"/>
      <c r="BJ148" s="273"/>
      <c r="BK148" s="273"/>
      <c r="BL148" s="273"/>
      <c r="BM148" s="273"/>
      <c r="BN148" s="273"/>
      <c r="BO148" s="273"/>
      <c r="BP148" s="273"/>
      <c r="BQ148" s="273"/>
      <c r="BR148" s="273"/>
      <c r="BS148" s="273"/>
      <c r="BT148" s="273"/>
      <c r="BU148" s="273"/>
      <c r="BV148" s="273"/>
      <c r="BW148" s="273"/>
      <c r="BX148" s="273"/>
      <c r="BY148" s="273"/>
      <c r="BZ148" s="273"/>
      <c r="CA148" s="273"/>
      <c r="CB148" s="273" t="s">
        <v>550</v>
      </c>
      <c r="CC148" s="273"/>
      <c r="CD148" s="273"/>
      <c r="CE148" s="273"/>
      <c r="CF148" s="273"/>
      <c r="CG148" s="273"/>
      <c r="CH148" s="273"/>
      <c r="CI148" s="273"/>
      <c r="CJ148" s="273"/>
      <c r="CK148" s="273"/>
      <c r="CL148" s="273"/>
      <c r="CM148" s="273"/>
      <c r="CN148" s="273"/>
      <c r="CO148" s="273"/>
      <c r="CP148" s="273"/>
      <c r="CQ148" s="273"/>
      <c r="CR148" s="273"/>
      <c r="CS148" s="273"/>
      <c r="CT148" s="273"/>
      <c r="CU148" s="273"/>
      <c r="CV148" s="273" t="s">
        <v>551</v>
      </c>
      <c r="CW148" s="273"/>
      <c r="CX148" s="273"/>
      <c r="CY148" s="273"/>
      <c r="CZ148" s="273"/>
      <c r="DA148" s="273"/>
      <c r="DB148" s="273"/>
      <c r="DC148" s="273"/>
      <c r="DD148" s="273"/>
      <c r="DE148" s="273"/>
      <c r="DF148" s="273"/>
      <c r="DG148" s="273"/>
      <c r="DH148" s="273"/>
      <c r="DI148" s="273"/>
      <c r="DJ148" s="273"/>
      <c r="DK148" s="273"/>
      <c r="DL148" s="273"/>
      <c r="DM148" s="273"/>
      <c r="DN148" s="273"/>
      <c r="DO148" s="273"/>
    </row>
    <row r="149" spans="3:119" ht="13.5" customHeight="1">
      <c r="C149" s="273" t="s">
        <v>771</v>
      </c>
      <c r="D149" s="273"/>
      <c r="E149" s="273"/>
      <c r="F149" s="273"/>
      <c r="G149" s="273"/>
      <c r="H149" s="273"/>
      <c r="I149" s="273"/>
      <c r="J149" s="636" t="s">
        <v>518</v>
      </c>
      <c r="K149" s="636"/>
      <c r="L149" s="636"/>
      <c r="M149" s="636"/>
      <c r="N149" s="636"/>
      <c r="O149" s="636" t="s">
        <v>510</v>
      </c>
      <c r="P149" s="636"/>
      <c r="Q149" s="636"/>
      <c r="R149" s="636"/>
      <c r="S149" s="636"/>
      <c r="T149" s="636" t="s">
        <v>511</v>
      </c>
      <c r="U149" s="636"/>
      <c r="V149" s="636"/>
      <c r="W149" s="636"/>
      <c r="X149" s="636"/>
      <c r="Y149" s="636" t="s">
        <v>512</v>
      </c>
      <c r="Z149" s="636"/>
      <c r="AA149" s="636"/>
      <c r="AB149" s="636"/>
      <c r="AC149" s="636"/>
      <c r="AD149" s="636" t="s">
        <v>489</v>
      </c>
      <c r="AE149" s="636"/>
      <c r="AF149" s="636"/>
      <c r="AG149" s="636"/>
      <c r="AH149" s="636"/>
      <c r="AI149" s="636" t="s">
        <v>485</v>
      </c>
      <c r="AJ149" s="636"/>
      <c r="AK149" s="636"/>
      <c r="AL149" s="636"/>
      <c r="AM149" s="636"/>
      <c r="AN149" s="273" t="s">
        <v>774</v>
      </c>
      <c r="AO149" s="273"/>
      <c r="AP149" s="273"/>
      <c r="AQ149" s="273"/>
      <c r="AR149" s="273"/>
      <c r="AS149" s="273"/>
      <c r="AT149" s="273"/>
      <c r="AU149" s="273"/>
      <c r="AV149" s="273"/>
      <c r="AW149" s="273"/>
      <c r="AX149" s="273"/>
      <c r="AY149" s="273"/>
      <c r="AZ149" s="273"/>
      <c r="BA149" s="273"/>
      <c r="BB149" s="273"/>
      <c r="BC149" s="273"/>
      <c r="BD149" s="273"/>
      <c r="BE149" s="273"/>
      <c r="BF149" s="273"/>
      <c r="BG149" s="273"/>
      <c r="BH149" s="273" t="s">
        <v>489</v>
      </c>
      <c r="BI149" s="273"/>
      <c r="BJ149" s="273"/>
      <c r="BK149" s="273"/>
      <c r="BL149" s="273"/>
      <c r="BM149" s="273"/>
      <c r="BN149" s="273"/>
      <c r="BO149" s="273"/>
      <c r="BP149" s="273"/>
      <c r="BQ149" s="273"/>
      <c r="BR149" s="273"/>
      <c r="BS149" s="273"/>
      <c r="BT149" s="273"/>
      <c r="BU149" s="273"/>
      <c r="BV149" s="273"/>
      <c r="BW149" s="273"/>
      <c r="BX149" s="273"/>
      <c r="BY149" s="273"/>
      <c r="BZ149" s="273"/>
      <c r="CA149" s="273"/>
      <c r="CB149" s="273" t="s">
        <v>550</v>
      </c>
      <c r="CC149" s="273"/>
      <c r="CD149" s="273"/>
      <c r="CE149" s="273"/>
      <c r="CF149" s="273"/>
      <c r="CG149" s="273"/>
      <c r="CH149" s="273"/>
      <c r="CI149" s="273"/>
      <c r="CJ149" s="273"/>
      <c r="CK149" s="273"/>
      <c r="CL149" s="273"/>
      <c r="CM149" s="273"/>
      <c r="CN149" s="273"/>
      <c r="CO149" s="273"/>
      <c r="CP149" s="273"/>
      <c r="CQ149" s="273"/>
      <c r="CR149" s="273"/>
      <c r="CS149" s="273"/>
      <c r="CT149" s="273"/>
      <c r="CU149" s="273"/>
      <c r="CV149" s="273" t="s">
        <v>551</v>
      </c>
      <c r="CW149" s="273"/>
      <c r="CX149" s="273"/>
      <c r="CY149" s="273"/>
      <c r="CZ149" s="273"/>
      <c r="DA149" s="273"/>
      <c r="DB149" s="273"/>
      <c r="DC149" s="273"/>
      <c r="DD149" s="273"/>
      <c r="DE149" s="273"/>
      <c r="DF149" s="273"/>
      <c r="DG149" s="273"/>
      <c r="DH149" s="273"/>
      <c r="DI149" s="273"/>
      <c r="DJ149" s="273"/>
      <c r="DK149" s="273"/>
      <c r="DL149" s="273"/>
      <c r="DM149" s="273"/>
      <c r="DN149" s="273"/>
      <c r="DO149" s="273"/>
    </row>
    <row r="150" spans="3:119" ht="13.5" customHeight="1">
      <c r="C150" s="273" t="s">
        <v>772</v>
      </c>
      <c r="D150" s="273"/>
      <c r="E150" s="273"/>
      <c r="F150" s="273"/>
      <c r="G150" s="273"/>
      <c r="H150" s="273"/>
      <c r="I150" s="273"/>
      <c r="J150" s="636" t="s">
        <v>518</v>
      </c>
      <c r="K150" s="636"/>
      <c r="L150" s="636"/>
      <c r="M150" s="636"/>
      <c r="N150" s="636"/>
      <c r="O150" s="636" t="s">
        <v>510</v>
      </c>
      <c r="P150" s="636"/>
      <c r="Q150" s="636"/>
      <c r="R150" s="636"/>
      <c r="S150" s="636"/>
      <c r="T150" s="636" t="s">
        <v>511</v>
      </c>
      <c r="U150" s="636"/>
      <c r="V150" s="636"/>
      <c r="W150" s="636"/>
      <c r="X150" s="636"/>
      <c r="Y150" s="636" t="s">
        <v>512</v>
      </c>
      <c r="Z150" s="636"/>
      <c r="AA150" s="636"/>
      <c r="AB150" s="636"/>
      <c r="AC150" s="636"/>
      <c r="AD150" s="636" t="s">
        <v>489</v>
      </c>
      <c r="AE150" s="636"/>
      <c r="AF150" s="636"/>
      <c r="AG150" s="636"/>
      <c r="AH150" s="636"/>
      <c r="AI150" s="636" t="s">
        <v>485</v>
      </c>
      <c r="AJ150" s="636"/>
      <c r="AK150" s="636"/>
      <c r="AL150" s="636"/>
      <c r="AM150" s="636"/>
      <c r="AN150" s="273" t="s">
        <v>775</v>
      </c>
      <c r="AO150" s="273"/>
      <c r="AP150" s="273"/>
      <c r="AQ150" s="273"/>
      <c r="AR150" s="273"/>
      <c r="AS150" s="273"/>
      <c r="AT150" s="273"/>
      <c r="AU150" s="273"/>
      <c r="AV150" s="273"/>
      <c r="AW150" s="273"/>
      <c r="AX150" s="273"/>
      <c r="AY150" s="273"/>
      <c r="AZ150" s="273"/>
      <c r="BA150" s="273"/>
      <c r="BB150" s="273"/>
      <c r="BC150" s="273"/>
      <c r="BD150" s="273"/>
      <c r="BE150" s="273"/>
      <c r="BF150" s="273"/>
      <c r="BG150" s="273"/>
      <c r="BH150" s="273" t="s">
        <v>489</v>
      </c>
      <c r="BI150" s="273"/>
      <c r="BJ150" s="273"/>
      <c r="BK150" s="273"/>
      <c r="BL150" s="273"/>
      <c r="BM150" s="273"/>
      <c r="BN150" s="273"/>
      <c r="BO150" s="273"/>
      <c r="BP150" s="273"/>
      <c r="BQ150" s="273"/>
      <c r="BR150" s="273"/>
      <c r="BS150" s="273"/>
      <c r="BT150" s="273"/>
      <c r="BU150" s="273"/>
      <c r="BV150" s="273"/>
      <c r="BW150" s="273"/>
      <c r="BX150" s="273"/>
      <c r="BY150" s="273"/>
      <c r="BZ150" s="273"/>
      <c r="CA150" s="273"/>
      <c r="CB150" s="273" t="s">
        <v>550</v>
      </c>
      <c r="CC150" s="273"/>
      <c r="CD150" s="273"/>
      <c r="CE150" s="273"/>
      <c r="CF150" s="273"/>
      <c r="CG150" s="273"/>
      <c r="CH150" s="273"/>
      <c r="CI150" s="273"/>
      <c r="CJ150" s="273"/>
      <c r="CK150" s="273"/>
      <c r="CL150" s="273"/>
      <c r="CM150" s="273"/>
      <c r="CN150" s="273"/>
      <c r="CO150" s="273"/>
      <c r="CP150" s="273"/>
      <c r="CQ150" s="273"/>
      <c r="CR150" s="273"/>
      <c r="CS150" s="273"/>
      <c r="CT150" s="273"/>
      <c r="CU150" s="273"/>
      <c r="CV150" s="273" t="s">
        <v>551</v>
      </c>
      <c r="CW150" s="273"/>
      <c r="CX150" s="273"/>
      <c r="CY150" s="273"/>
      <c r="CZ150" s="273"/>
      <c r="DA150" s="273"/>
      <c r="DB150" s="273"/>
      <c r="DC150" s="273"/>
      <c r="DD150" s="273"/>
      <c r="DE150" s="273"/>
      <c r="DF150" s="273"/>
      <c r="DG150" s="273"/>
      <c r="DH150" s="273"/>
      <c r="DI150" s="273"/>
      <c r="DJ150" s="273"/>
      <c r="DK150" s="273"/>
      <c r="DL150" s="273"/>
      <c r="DM150" s="273"/>
      <c r="DN150" s="273"/>
      <c r="DO150" s="273"/>
    </row>
    <row r="151" spans="3:119" ht="13.5" customHeight="1">
      <c r="C151" s="273" t="s">
        <v>773</v>
      </c>
      <c r="D151" s="273"/>
      <c r="E151" s="273"/>
      <c r="F151" s="273"/>
      <c r="G151" s="273"/>
      <c r="H151" s="273"/>
      <c r="I151" s="273"/>
      <c r="J151" s="636" t="s">
        <v>518</v>
      </c>
      <c r="K151" s="636"/>
      <c r="L151" s="636"/>
      <c r="M151" s="636"/>
      <c r="N151" s="636"/>
      <c r="O151" s="636" t="s">
        <v>510</v>
      </c>
      <c r="P151" s="636"/>
      <c r="Q151" s="636"/>
      <c r="R151" s="636"/>
      <c r="S151" s="636"/>
      <c r="T151" s="636" t="s">
        <v>511</v>
      </c>
      <c r="U151" s="636"/>
      <c r="V151" s="636"/>
      <c r="W151" s="636"/>
      <c r="X151" s="636"/>
      <c r="Y151" s="636" t="s">
        <v>512</v>
      </c>
      <c r="Z151" s="636"/>
      <c r="AA151" s="636"/>
      <c r="AB151" s="636"/>
      <c r="AC151" s="636"/>
      <c r="AD151" s="636" t="s">
        <v>489</v>
      </c>
      <c r="AE151" s="636"/>
      <c r="AF151" s="636"/>
      <c r="AG151" s="636"/>
      <c r="AH151" s="636"/>
      <c r="AI151" s="636" t="s">
        <v>485</v>
      </c>
      <c r="AJ151" s="636"/>
      <c r="AK151" s="636"/>
      <c r="AL151" s="636"/>
      <c r="AM151" s="636"/>
      <c r="AN151" s="273" t="s">
        <v>776</v>
      </c>
      <c r="AO151" s="273"/>
      <c r="AP151" s="273"/>
      <c r="AQ151" s="273"/>
      <c r="AR151" s="273"/>
      <c r="AS151" s="273"/>
      <c r="AT151" s="273"/>
      <c r="AU151" s="273"/>
      <c r="AV151" s="273"/>
      <c r="AW151" s="273"/>
      <c r="AX151" s="273"/>
      <c r="AY151" s="273"/>
      <c r="AZ151" s="273"/>
      <c r="BA151" s="273"/>
      <c r="BB151" s="273"/>
      <c r="BC151" s="273"/>
      <c r="BD151" s="273"/>
      <c r="BE151" s="273"/>
      <c r="BF151" s="273"/>
      <c r="BG151" s="273"/>
      <c r="BH151" s="273" t="s">
        <v>489</v>
      </c>
      <c r="BI151" s="273"/>
      <c r="BJ151" s="273"/>
      <c r="BK151" s="273"/>
      <c r="BL151" s="273"/>
      <c r="BM151" s="273"/>
      <c r="BN151" s="273"/>
      <c r="BO151" s="273"/>
      <c r="BP151" s="273"/>
      <c r="BQ151" s="273"/>
      <c r="BR151" s="273"/>
      <c r="BS151" s="273"/>
      <c r="BT151" s="273"/>
      <c r="BU151" s="273"/>
      <c r="BV151" s="273"/>
      <c r="BW151" s="273"/>
      <c r="BX151" s="273"/>
      <c r="BY151" s="273"/>
      <c r="BZ151" s="273"/>
      <c r="CA151" s="273"/>
      <c r="CB151" s="273" t="s">
        <v>550</v>
      </c>
      <c r="CC151" s="273"/>
      <c r="CD151" s="273"/>
      <c r="CE151" s="273"/>
      <c r="CF151" s="273"/>
      <c r="CG151" s="273"/>
      <c r="CH151" s="273"/>
      <c r="CI151" s="273"/>
      <c r="CJ151" s="273"/>
      <c r="CK151" s="273"/>
      <c r="CL151" s="273"/>
      <c r="CM151" s="273"/>
      <c r="CN151" s="273"/>
      <c r="CO151" s="273"/>
      <c r="CP151" s="273"/>
      <c r="CQ151" s="273"/>
      <c r="CR151" s="273"/>
      <c r="CS151" s="273"/>
      <c r="CT151" s="273"/>
      <c r="CU151" s="273"/>
      <c r="CV151" s="273" t="s">
        <v>551</v>
      </c>
      <c r="CW151" s="273"/>
      <c r="CX151" s="273"/>
      <c r="CY151" s="273"/>
      <c r="CZ151" s="273"/>
      <c r="DA151" s="273"/>
      <c r="DB151" s="273"/>
      <c r="DC151" s="273"/>
      <c r="DD151" s="273"/>
      <c r="DE151" s="273"/>
      <c r="DF151" s="273"/>
      <c r="DG151" s="273"/>
      <c r="DH151" s="273"/>
      <c r="DI151" s="273"/>
      <c r="DJ151" s="273"/>
      <c r="DK151" s="273"/>
      <c r="DL151" s="273"/>
      <c r="DM151" s="273"/>
      <c r="DN151" s="273"/>
      <c r="DO151" s="273"/>
    </row>
    <row r="152" spans="3:119" ht="13.5" customHeight="1">
      <c r="C152" s="273" t="s">
        <v>781</v>
      </c>
      <c r="D152" s="273"/>
      <c r="E152" s="273"/>
      <c r="F152" s="273"/>
      <c r="G152" s="273"/>
      <c r="H152" s="273"/>
      <c r="I152" s="273"/>
      <c r="J152" s="636" t="s">
        <v>518</v>
      </c>
      <c r="K152" s="636"/>
      <c r="L152" s="636"/>
      <c r="M152" s="636"/>
      <c r="N152" s="636"/>
      <c r="O152" s="636" t="s">
        <v>510</v>
      </c>
      <c r="P152" s="636"/>
      <c r="Q152" s="636"/>
      <c r="R152" s="636"/>
      <c r="S152" s="636"/>
      <c r="T152" s="636" t="s">
        <v>511</v>
      </c>
      <c r="U152" s="636"/>
      <c r="V152" s="636"/>
      <c r="W152" s="636"/>
      <c r="X152" s="636"/>
      <c r="Y152" s="636" t="s">
        <v>512</v>
      </c>
      <c r="Z152" s="636"/>
      <c r="AA152" s="636"/>
      <c r="AB152" s="636"/>
      <c r="AC152" s="636"/>
      <c r="AD152" s="636" t="s">
        <v>489</v>
      </c>
      <c r="AE152" s="636"/>
      <c r="AF152" s="636"/>
      <c r="AG152" s="636"/>
      <c r="AH152" s="636"/>
      <c r="AI152" s="636" t="s">
        <v>485</v>
      </c>
      <c r="AJ152" s="636"/>
      <c r="AK152" s="636"/>
      <c r="AL152" s="636"/>
      <c r="AM152" s="636"/>
      <c r="AN152" s="273" t="s">
        <v>899</v>
      </c>
      <c r="AO152" s="273"/>
      <c r="AP152" s="273"/>
      <c r="AQ152" s="273"/>
      <c r="AR152" s="273"/>
      <c r="AS152" s="273"/>
      <c r="AT152" s="273"/>
      <c r="AU152" s="273"/>
      <c r="AV152" s="273"/>
      <c r="AW152" s="273"/>
      <c r="AX152" s="273"/>
      <c r="AY152" s="273"/>
      <c r="AZ152" s="273"/>
      <c r="BA152" s="273"/>
      <c r="BB152" s="273"/>
      <c r="BC152" s="273"/>
      <c r="BD152" s="273"/>
      <c r="BE152" s="273"/>
      <c r="BF152" s="273"/>
      <c r="BG152" s="273"/>
      <c r="BH152" s="273" t="s">
        <v>489</v>
      </c>
      <c r="BI152" s="273"/>
      <c r="BJ152" s="273"/>
      <c r="BK152" s="273"/>
      <c r="BL152" s="273"/>
      <c r="BM152" s="273"/>
      <c r="BN152" s="273"/>
      <c r="BO152" s="273"/>
      <c r="BP152" s="273"/>
      <c r="BQ152" s="273"/>
      <c r="BR152" s="273"/>
      <c r="BS152" s="273"/>
      <c r="BT152" s="273"/>
      <c r="BU152" s="273"/>
      <c r="BV152" s="273"/>
      <c r="BW152" s="273"/>
      <c r="BX152" s="273"/>
      <c r="BY152" s="273"/>
      <c r="BZ152" s="273"/>
      <c r="CA152" s="273"/>
      <c r="CB152" s="273" t="s">
        <v>550</v>
      </c>
      <c r="CC152" s="273"/>
      <c r="CD152" s="273"/>
      <c r="CE152" s="273"/>
      <c r="CF152" s="273"/>
      <c r="CG152" s="273"/>
      <c r="CH152" s="273"/>
      <c r="CI152" s="273"/>
      <c r="CJ152" s="273"/>
      <c r="CK152" s="273"/>
      <c r="CL152" s="273"/>
      <c r="CM152" s="273"/>
      <c r="CN152" s="273"/>
      <c r="CO152" s="273"/>
      <c r="CP152" s="273"/>
      <c r="CQ152" s="273"/>
      <c r="CR152" s="273"/>
      <c r="CS152" s="273"/>
      <c r="CT152" s="273"/>
      <c r="CU152" s="273"/>
      <c r="CV152" s="273" t="s">
        <v>551</v>
      </c>
      <c r="CW152" s="273"/>
      <c r="CX152" s="273"/>
      <c r="CY152" s="273"/>
      <c r="CZ152" s="273"/>
      <c r="DA152" s="273"/>
      <c r="DB152" s="273"/>
      <c r="DC152" s="273"/>
      <c r="DD152" s="273"/>
      <c r="DE152" s="273"/>
      <c r="DF152" s="273"/>
      <c r="DG152" s="273"/>
      <c r="DH152" s="273"/>
      <c r="DI152" s="273"/>
      <c r="DJ152" s="273"/>
      <c r="DK152" s="273"/>
      <c r="DL152" s="273"/>
      <c r="DM152" s="273"/>
      <c r="DN152" s="273"/>
      <c r="DO152" s="273"/>
    </row>
    <row r="153" spans="3:119" ht="13.5" customHeight="1">
      <c r="C153" s="273" t="s">
        <v>441</v>
      </c>
      <c r="D153" s="273"/>
      <c r="E153" s="273"/>
      <c r="F153" s="273"/>
      <c r="G153" s="273"/>
      <c r="H153" s="273"/>
      <c r="I153" s="273"/>
      <c r="J153" s="636" t="s">
        <v>637</v>
      </c>
      <c r="K153" s="636"/>
      <c r="L153" s="636"/>
      <c r="M153" s="636"/>
      <c r="N153" s="636"/>
      <c r="O153" s="636" t="s">
        <v>490</v>
      </c>
      <c r="P153" s="636"/>
      <c r="Q153" s="636"/>
      <c r="R153" s="636"/>
      <c r="S153" s="636"/>
      <c r="T153" s="636" t="s">
        <v>635</v>
      </c>
      <c r="U153" s="636"/>
      <c r="V153" s="636"/>
      <c r="W153" s="636"/>
      <c r="X153" s="636"/>
      <c r="Y153" s="636" t="s">
        <v>512</v>
      </c>
      <c r="Z153" s="636"/>
      <c r="AA153" s="636"/>
      <c r="AB153" s="636"/>
      <c r="AC153" s="636"/>
      <c r="AD153" s="636" t="s">
        <v>489</v>
      </c>
      <c r="AE153" s="636"/>
      <c r="AF153" s="636"/>
      <c r="AG153" s="636"/>
      <c r="AH153" s="636"/>
      <c r="AI153" s="636" t="s">
        <v>639</v>
      </c>
      <c r="AJ153" s="636"/>
      <c r="AK153" s="636"/>
      <c r="AL153" s="636"/>
      <c r="AM153" s="636"/>
      <c r="AN153" s="273" t="s">
        <v>686</v>
      </c>
      <c r="AO153" s="273"/>
      <c r="AP153" s="273"/>
      <c r="AQ153" s="273"/>
      <c r="AR153" s="273"/>
      <c r="AS153" s="273"/>
      <c r="AT153" s="273"/>
      <c r="AU153" s="273"/>
      <c r="AV153" s="273"/>
      <c r="AW153" s="273"/>
      <c r="AX153" s="273"/>
      <c r="AY153" s="273"/>
      <c r="AZ153" s="273"/>
      <c r="BA153" s="273"/>
      <c r="BB153" s="273"/>
      <c r="BC153" s="273"/>
      <c r="BD153" s="273"/>
      <c r="BE153" s="273"/>
      <c r="BF153" s="273"/>
      <c r="BG153" s="273"/>
      <c r="BH153" s="273" t="s">
        <v>687</v>
      </c>
      <c r="BI153" s="273"/>
      <c r="BJ153" s="273"/>
      <c r="BK153" s="273"/>
      <c r="BL153" s="273"/>
      <c r="BM153" s="273"/>
      <c r="BN153" s="273"/>
      <c r="BO153" s="273"/>
      <c r="BP153" s="273"/>
      <c r="BQ153" s="273"/>
      <c r="BR153" s="273"/>
      <c r="BS153" s="273"/>
      <c r="BT153" s="273"/>
      <c r="BU153" s="273"/>
      <c r="BV153" s="273"/>
      <c r="BW153" s="273"/>
      <c r="BX153" s="273"/>
      <c r="BY153" s="273"/>
      <c r="BZ153" s="273"/>
      <c r="CA153" s="273"/>
      <c r="CB153" s="273" t="s">
        <v>489</v>
      </c>
      <c r="CC153" s="273"/>
      <c r="CD153" s="273"/>
      <c r="CE153" s="273"/>
      <c r="CF153" s="273"/>
      <c r="CG153" s="273"/>
      <c r="CH153" s="273"/>
      <c r="CI153" s="273"/>
      <c r="CJ153" s="273"/>
      <c r="CK153" s="273"/>
      <c r="CL153" s="273"/>
      <c r="CM153" s="273"/>
      <c r="CN153" s="273"/>
      <c r="CO153" s="273"/>
      <c r="CP153" s="273"/>
      <c r="CQ153" s="273"/>
      <c r="CR153" s="273"/>
      <c r="CS153" s="273"/>
      <c r="CT153" s="273"/>
      <c r="CU153" s="273"/>
      <c r="CV153" s="273" t="s">
        <v>489</v>
      </c>
      <c r="CW153" s="273"/>
      <c r="CX153" s="273"/>
      <c r="CY153" s="273"/>
      <c r="CZ153" s="273"/>
      <c r="DA153" s="273"/>
      <c r="DB153" s="273"/>
      <c r="DC153" s="273"/>
      <c r="DD153" s="273"/>
      <c r="DE153" s="273"/>
      <c r="DF153" s="273"/>
      <c r="DG153" s="273"/>
      <c r="DH153" s="273"/>
      <c r="DI153" s="273"/>
      <c r="DJ153" s="273"/>
      <c r="DK153" s="273"/>
      <c r="DL153" s="273"/>
      <c r="DM153" s="273"/>
      <c r="DN153" s="273"/>
      <c r="DO153" s="273"/>
    </row>
    <row r="154" spans="3:119" ht="13.5" customHeight="1">
      <c r="C154" s="273" t="s">
        <v>442</v>
      </c>
      <c r="D154" s="273"/>
      <c r="E154" s="273"/>
      <c r="F154" s="273"/>
      <c r="G154" s="273"/>
      <c r="H154" s="273"/>
      <c r="I154" s="273"/>
      <c r="J154" s="636" t="s">
        <v>518</v>
      </c>
      <c r="K154" s="636"/>
      <c r="L154" s="636"/>
      <c r="M154" s="636"/>
      <c r="N154" s="636"/>
      <c r="O154" s="636" t="s">
        <v>524</v>
      </c>
      <c r="P154" s="636"/>
      <c r="Q154" s="636"/>
      <c r="R154" s="636"/>
      <c r="S154" s="636"/>
      <c r="T154" s="636" t="s">
        <v>511</v>
      </c>
      <c r="U154" s="636"/>
      <c r="V154" s="636"/>
      <c r="W154" s="636"/>
      <c r="X154" s="636"/>
      <c r="Y154" s="636" t="s">
        <v>528</v>
      </c>
      <c r="Z154" s="636"/>
      <c r="AA154" s="636"/>
      <c r="AB154" s="636"/>
      <c r="AC154" s="636"/>
      <c r="AD154" s="636" t="s">
        <v>489</v>
      </c>
      <c r="AE154" s="636"/>
      <c r="AF154" s="636"/>
      <c r="AG154" s="636"/>
      <c r="AH154" s="636"/>
      <c r="AI154" s="636" t="s">
        <v>485</v>
      </c>
      <c r="AJ154" s="636"/>
      <c r="AK154" s="636"/>
      <c r="AL154" s="636"/>
      <c r="AM154" s="636"/>
      <c r="AN154" s="273" t="s">
        <v>688</v>
      </c>
      <c r="AO154" s="273"/>
      <c r="AP154" s="273"/>
      <c r="AQ154" s="273"/>
      <c r="AR154" s="273"/>
      <c r="AS154" s="273"/>
      <c r="AT154" s="273"/>
      <c r="AU154" s="273"/>
      <c r="AV154" s="273"/>
      <c r="AW154" s="273"/>
      <c r="AX154" s="273"/>
      <c r="AY154" s="273"/>
      <c r="AZ154" s="273"/>
      <c r="BA154" s="273"/>
      <c r="BB154" s="273"/>
      <c r="BC154" s="273"/>
      <c r="BD154" s="273"/>
      <c r="BE154" s="273"/>
      <c r="BF154" s="273"/>
      <c r="BG154" s="273"/>
      <c r="BH154" s="273" t="s">
        <v>689</v>
      </c>
      <c r="BI154" s="273"/>
      <c r="BJ154" s="273"/>
      <c r="BK154" s="273"/>
      <c r="BL154" s="273"/>
      <c r="BM154" s="273"/>
      <c r="BN154" s="273"/>
      <c r="BO154" s="273"/>
      <c r="BP154" s="273"/>
      <c r="BQ154" s="273"/>
      <c r="BR154" s="273"/>
      <c r="BS154" s="273"/>
      <c r="BT154" s="273"/>
      <c r="BU154" s="273"/>
      <c r="BV154" s="273"/>
      <c r="BW154" s="273"/>
      <c r="BX154" s="273"/>
      <c r="BY154" s="273"/>
      <c r="BZ154" s="273"/>
      <c r="CA154" s="273"/>
      <c r="CB154" s="273" t="s">
        <v>690</v>
      </c>
      <c r="CC154" s="273"/>
      <c r="CD154" s="273"/>
      <c r="CE154" s="273"/>
      <c r="CF154" s="273"/>
      <c r="CG154" s="273"/>
      <c r="CH154" s="273"/>
      <c r="CI154" s="273"/>
      <c r="CJ154" s="273"/>
      <c r="CK154" s="273"/>
      <c r="CL154" s="273"/>
      <c r="CM154" s="273"/>
      <c r="CN154" s="273"/>
      <c r="CO154" s="273"/>
      <c r="CP154" s="273"/>
      <c r="CQ154" s="273"/>
      <c r="CR154" s="273"/>
      <c r="CS154" s="273"/>
      <c r="CT154" s="273"/>
      <c r="CU154" s="273"/>
      <c r="CV154" s="273" t="s">
        <v>489</v>
      </c>
      <c r="CW154" s="273"/>
      <c r="CX154" s="273"/>
      <c r="CY154" s="273"/>
      <c r="CZ154" s="273"/>
      <c r="DA154" s="273"/>
      <c r="DB154" s="273"/>
      <c r="DC154" s="273"/>
      <c r="DD154" s="273"/>
      <c r="DE154" s="273"/>
      <c r="DF154" s="273"/>
      <c r="DG154" s="273"/>
      <c r="DH154" s="273"/>
      <c r="DI154" s="273"/>
      <c r="DJ154" s="273"/>
      <c r="DK154" s="273"/>
      <c r="DL154" s="273"/>
      <c r="DM154" s="273"/>
      <c r="DN154" s="273"/>
      <c r="DO154" s="273"/>
    </row>
    <row r="155" spans="3:119" ht="13.5" customHeight="1">
      <c r="C155" s="273" t="s">
        <v>443</v>
      </c>
      <c r="D155" s="273"/>
      <c r="E155" s="273"/>
      <c r="F155" s="273"/>
      <c r="G155" s="273"/>
      <c r="H155" s="273"/>
      <c r="I155" s="273"/>
      <c r="J155" s="636" t="s">
        <v>518</v>
      </c>
      <c r="K155" s="636"/>
      <c r="L155" s="636"/>
      <c r="M155" s="636"/>
      <c r="N155" s="636"/>
      <c r="O155" s="636" t="s">
        <v>524</v>
      </c>
      <c r="P155" s="636"/>
      <c r="Q155" s="636"/>
      <c r="R155" s="636"/>
      <c r="S155" s="636"/>
      <c r="T155" s="636" t="s">
        <v>511</v>
      </c>
      <c r="U155" s="636"/>
      <c r="V155" s="636"/>
      <c r="W155" s="636"/>
      <c r="X155" s="636"/>
      <c r="Y155" s="636" t="s">
        <v>528</v>
      </c>
      <c r="Z155" s="636"/>
      <c r="AA155" s="636"/>
      <c r="AB155" s="636"/>
      <c r="AC155" s="636"/>
      <c r="AD155" s="636" t="s">
        <v>489</v>
      </c>
      <c r="AE155" s="636"/>
      <c r="AF155" s="636"/>
      <c r="AG155" s="636"/>
      <c r="AH155" s="636"/>
      <c r="AI155" s="636" t="s">
        <v>485</v>
      </c>
      <c r="AJ155" s="636"/>
      <c r="AK155" s="636"/>
      <c r="AL155" s="636"/>
      <c r="AM155" s="636"/>
      <c r="AN155" s="273" t="s">
        <v>691</v>
      </c>
      <c r="AO155" s="273"/>
      <c r="AP155" s="273"/>
      <c r="AQ155" s="273"/>
      <c r="AR155" s="273"/>
      <c r="AS155" s="273"/>
      <c r="AT155" s="273"/>
      <c r="AU155" s="273"/>
      <c r="AV155" s="273"/>
      <c r="AW155" s="273"/>
      <c r="AX155" s="273"/>
      <c r="AY155" s="273"/>
      <c r="AZ155" s="273"/>
      <c r="BA155" s="273"/>
      <c r="BB155" s="273"/>
      <c r="BC155" s="273"/>
      <c r="BD155" s="273"/>
      <c r="BE155" s="273"/>
      <c r="BF155" s="273"/>
      <c r="BG155" s="273"/>
      <c r="BH155" s="273" t="s">
        <v>489</v>
      </c>
      <c r="BI155" s="273"/>
      <c r="BJ155" s="273"/>
      <c r="BK155" s="273"/>
      <c r="BL155" s="273"/>
      <c r="BM155" s="273"/>
      <c r="BN155" s="273"/>
      <c r="BO155" s="273"/>
      <c r="BP155" s="273"/>
      <c r="BQ155" s="273"/>
      <c r="BR155" s="273"/>
      <c r="BS155" s="273"/>
      <c r="BT155" s="273"/>
      <c r="BU155" s="273"/>
      <c r="BV155" s="273"/>
      <c r="BW155" s="273"/>
      <c r="BX155" s="273"/>
      <c r="BY155" s="273"/>
      <c r="BZ155" s="273"/>
      <c r="CA155" s="273"/>
      <c r="CB155" s="273" t="s">
        <v>489</v>
      </c>
      <c r="CC155" s="273"/>
      <c r="CD155" s="273"/>
      <c r="CE155" s="273"/>
      <c r="CF155" s="273"/>
      <c r="CG155" s="273"/>
      <c r="CH155" s="273"/>
      <c r="CI155" s="273"/>
      <c r="CJ155" s="273"/>
      <c r="CK155" s="273"/>
      <c r="CL155" s="273"/>
      <c r="CM155" s="273"/>
      <c r="CN155" s="273"/>
      <c r="CO155" s="273"/>
      <c r="CP155" s="273"/>
      <c r="CQ155" s="273"/>
      <c r="CR155" s="273"/>
      <c r="CS155" s="273"/>
      <c r="CT155" s="273"/>
      <c r="CU155" s="273"/>
      <c r="CV155" s="273" t="s">
        <v>489</v>
      </c>
      <c r="CW155" s="273"/>
      <c r="CX155" s="273"/>
      <c r="CY155" s="273"/>
      <c r="CZ155" s="273"/>
      <c r="DA155" s="273"/>
      <c r="DB155" s="273"/>
      <c r="DC155" s="273"/>
      <c r="DD155" s="273"/>
      <c r="DE155" s="273"/>
      <c r="DF155" s="273"/>
      <c r="DG155" s="273"/>
      <c r="DH155" s="273"/>
      <c r="DI155" s="273"/>
      <c r="DJ155" s="273"/>
      <c r="DK155" s="273"/>
      <c r="DL155" s="273"/>
      <c r="DM155" s="273"/>
      <c r="DN155" s="273"/>
      <c r="DO155" s="273"/>
    </row>
    <row r="156" spans="3:119" ht="13.5" customHeight="1">
      <c r="C156" s="273" t="s">
        <v>444</v>
      </c>
      <c r="D156" s="273"/>
      <c r="E156" s="273"/>
      <c r="F156" s="273"/>
      <c r="G156" s="273"/>
      <c r="H156" s="273"/>
      <c r="I156" s="273"/>
      <c r="J156" s="636" t="s">
        <v>462</v>
      </c>
      <c r="K156" s="636"/>
      <c r="L156" s="636"/>
      <c r="M156" s="636"/>
      <c r="N156" s="636"/>
      <c r="O156" s="636" t="s">
        <v>510</v>
      </c>
      <c r="P156" s="636"/>
      <c r="Q156" s="636"/>
      <c r="R156" s="636"/>
      <c r="S156" s="636"/>
      <c r="T156" s="636" t="s">
        <v>511</v>
      </c>
      <c r="U156" s="636"/>
      <c r="V156" s="636"/>
      <c r="W156" s="636"/>
      <c r="X156" s="636"/>
      <c r="Y156" s="636" t="s">
        <v>512</v>
      </c>
      <c r="Z156" s="636"/>
      <c r="AA156" s="636"/>
      <c r="AB156" s="636"/>
      <c r="AC156" s="636"/>
      <c r="AD156" s="636" t="s">
        <v>489</v>
      </c>
      <c r="AE156" s="636"/>
      <c r="AF156" s="636"/>
      <c r="AG156" s="636"/>
      <c r="AH156" s="636"/>
      <c r="AI156" s="636" t="s">
        <v>492</v>
      </c>
      <c r="AJ156" s="636"/>
      <c r="AK156" s="636"/>
      <c r="AL156" s="636"/>
      <c r="AM156" s="636"/>
      <c r="AN156" s="273" t="s">
        <v>513</v>
      </c>
      <c r="AO156" s="273"/>
      <c r="AP156" s="273"/>
      <c r="AQ156" s="273"/>
      <c r="AR156" s="273"/>
      <c r="AS156" s="273"/>
      <c r="AT156" s="273"/>
      <c r="AU156" s="273"/>
      <c r="AV156" s="273"/>
      <c r="AW156" s="273"/>
      <c r="AX156" s="273"/>
      <c r="AY156" s="273"/>
      <c r="AZ156" s="273"/>
      <c r="BA156" s="273"/>
      <c r="BB156" s="273"/>
      <c r="BC156" s="273"/>
      <c r="BD156" s="273"/>
      <c r="BE156" s="273"/>
      <c r="BF156" s="273"/>
      <c r="BG156" s="273"/>
      <c r="BH156" s="273" t="s">
        <v>514</v>
      </c>
      <c r="BI156" s="273"/>
      <c r="BJ156" s="273"/>
      <c r="BK156" s="273"/>
      <c r="BL156" s="273"/>
      <c r="BM156" s="273"/>
      <c r="BN156" s="273"/>
      <c r="BO156" s="273"/>
      <c r="BP156" s="273"/>
      <c r="BQ156" s="273"/>
      <c r="BR156" s="273"/>
      <c r="BS156" s="273"/>
      <c r="BT156" s="273"/>
      <c r="BU156" s="273"/>
      <c r="BV156" s="273"/>
      <c r="BW156" s="273"/>
      <c r="BX156" s="273"/>
      <c r="BY156" s="273"/>
      <c r="BZ156" s="273"/>
      <c r="CA156" s="273"/>
      <c r="CB156" s="273" t="s">
        <v>516</v>
      </c>
      <c r="CC156" s="273"/>
      <c r="CD156" s="273"/>
      <c r="CE156" s="273"/>
      <c r="CF156" s="273"/>
      <c r="CG156" s="273"/>
      <c r="CH156" s="273"/>
      <c r="CI156" s="273"/>
      <c r="CJ156" s="273"/>
      <c r="CK156" s="273"/>
      <c r="CL156" s="273"/>
      <c r="CM156" s="273"/>
      <c r="CN156" s="273"/>
      <c r="CO156" s="273"/>
      <c r="CP156" s="273"/>
      <c r="CQ156" s="273"/>
      <c r="CR156" s="273"/>
      <c r="CS156" s="273"/>
      <c r="CT156" s="273"/>
      <c r="CU156" s="273"/>
      <c r="CV156" s="273" t="s">
        <v>515</v>
      </c>
      <c r="CW156" s="273"/>
      <c r="CX156" s="273"/>
      <c r="CY156" s="273"/>
      <c r="CZ156" s="273"/>
      <c r="DA156" s="273"/>
      <c r="DB156" s="273"/>
      <c r="DC156" s="273"/>
      <c r="DD156" s="273"/>
      <c r="DE156" s="273"/>
      <c r="DF156" s="273"/>
      <c r="DG156" s="273"/>
      <c r="DH156" s="273"/>
      <c r="DI156" s="273"/>
      <c r="DJ156" s="273"/>
      <c r="DK156" s="273"/>
      <c r="DL156" s="273"/>
      <c r="DM156" s="273"/>
      <c r="DN156" s="273"/>
      <c r="DO156" s="273"/>
    </row>
    <row r="157" spans="3:119" ht="13.5" customHeight="1">
      <c r="C157" s="273" t="s">
        <v>445</v>
      </c>
      <c r="D157" s="273"/>
      <c r="E157" s="273"/>
      <c r="F157" s="273"/>
      <c r="G157" s="273"/>
      <c r="H157" s="273"/>
      <c r="I157" s="273"/>
      <c r="J157" s="636" t="s">
        <v>527</v>
      </c>
      <c r="K157" s="636"/>
      <c r="L157" s="636"/>
      <c r="M157" s="636"/>
      <c r="N157" s="636"/>
      <c r="O157" s="636" t="s">
        <v>510</v>
      </c>
      <c r="P157" s="636"/>
      <c r="Q157" s="636"/>
      <c r="R157" s="636"/>
      <c r="S157" s="636"/>
      <c r="T157" s="636" t="s">
        <v>511</v>
      </c>
      <c r="U157" s="636"/>
      <c r="V157" s="636"/>
      <c r="W157" s="636"/>
      <c r="X157" s="636"/>
      <c r="Y157" s="636" t="s">
        <v>512</v>
      </c>
      <c r="Z157" s="636"/>
      <c r="AA157" s="636"/>
      <c r="AB157" s="636"/>
      <c r="AC157" s="636"/>
      <c r="AD157" s="636" t="s">
        <v>489</v>
      </c>
      <c r="AE157" s="636"/>
      <c r="AF157" s="636"/>
      <c r="AG157" s="636"/>
      <c r="AH157" s="636"/>
      <c r="AI157" s="636" t="s">
        <v>485</v>
      </c>
      <c r="AJ157" s="636"/>
      <c r="AK157" s="636"/>
      <c r="AL157" s="636"/>
      <c r="AM157" s="636"/>
      <c r="AN157" s="273" t="s">
        <v>692</v>
      </c>
      <c r="AO157" s="273"/>
      <c r="AP157" s="273"/>
      <c r="AQ157" s="273"/>
      <c r="AR157" s="273"/>
      <c r="AS157" s="273"/>
      <c r="AT157" s="273"/>
      <c r="AU157" s="273"/>
      <c r="AV157" s="273"/>
      <c r="AW157" s="273"/>
      <c r="AX157" s="273"/>
      <c r="AY157" s="273"/>
      <c r="AZ157" s="273"/>
      <c r="BA157" s="273"/>
      <c r="BB157" s="273"/>
      <c r="BC157" s="273"/>
      <c r="BD157" s="273"/>
      <c r="BE157" s="273"/>
      <c r="BF157" s="273"/>
      <c r="BG157" s="273"/>
      <c r="BH157" s="273" t="s">
        <v>489</v>
      </c>
      <c r="BI157" s="273"/>
      <c r="BJ157" s="273"/>
      <c r="BK157" s="273"/>
      <c r="BL157" s="273"/>
      <c r="BM157" s="273"/>
      <c r="BN157" s="273"/>
      <c r="BO157" s="273"/>
      <c r="BP157" s="273"/>
      <c r="BQ157" s="273"/>
      <c r="BR157" s="273"/>
      <c r="BS157" s="273"/>
      <c r="BT157" s="273"/>
      <c r="BU157" s="273"/>
      <c r="BV157" s="273"/>
      <c r="BW157" s="273"/>
      <c r="BX157" s="273"/>
      <c r="BY157" s="273"/>
      <c r="BZ157" s="273"/>
      <c r="CA157" s="273"/>
      <c r="CB157" s="273" t="s">
        <v>489</v>
      </c>
      <c r="CC157" s="273"/>
      <c r="CD157" s="273"/>
      <c r="CE157" s="273"/>
      <c r="CF157" s="273"/>
      <c r="CG157" s="273"/>
      <c r="CH157" s="273"/>
      <c r="CI157" s="273"/>
      <c r="CJ157" s="273"/>
      <c r="CK157" s="273"/>
      <c r="CL157" s="273"/>
      <c r="CM157" s="273"/>
      <c r="CN157" s="273"/>
      <c r="CO157" s="273"/>
      <c r="CP157" s="273"/>
      <c r="CQ157" s="273"/>
      <c r="CR157" s="273"/>
      <c r="CS157" s="273"/>
      <c r="CT157" s="273"/>
      <c r="CU157" s="273"/>
      <c r="CV157" s="273" t="s">
        <v>489</v>
      </c>
      <c r="CW157" s="273"/>
      <c r="CX157" s="273"/>
      <c r="CY157" s="273"/>
      <c r="CZ157" s="273"/>
      <c r="DA157" s="273"/>
      <c r="DB157" s="273"/>
      <c r="DC157" s="273"/>
      <c r="DD157" s="273"/>
      <c r="DE157" s="273"/>
      <c r="DF157" s="273"/>
      <c r="DG157" s="273"/>
      <c r="DH157" s="273"/>
      <c r="DI157" s="273"/>
      <c r="DJ157" s="273"/>
      <c r="DK157" s="273"/>
      <c r="DL157" s="273"/>
      <c r="DM157" s="273"/>
      <c r="DN157" s="273"/>
      <c r="DO157" s="273"/>
    </row>
    <row r="158" spans="3:119" ht="13.5" customHeight="1">
      <c r="C158" s="273" t="s">
        <v>446</v>
      </c>
      <c r="D158" s="273"/>
      <c r="E158" s="273"/>
      <c r="F158" s="273"/>
      <c r="G158" s="273"/>
      <c r="H158" s="273"/>
      <c r="I158" s="273"/>
      <c r="J158" s="636" t="s">
        <v>518</v>
      </c>
      <c r="K158" s="636"/>
      <c r="L158" s="636"/>
      <c r="M158" s="636"/>
      <c r="N158" s="636"/>
      <c r="O158" s="636" t="s">
        <v>510</v>
      </c>
      <c r="P158" s="636"/>
      <c r="Q158" s="636"/>
      <c r="R158" s="636"/>
      <c r="S158" s="636"/>
      <c r="T158" s="636" t="s">
        <v>511</v>
      </c>
      <c r="U158" s="636"/>
      <c r="V158" s="636"/>
      <c r="W158" s="636"/>
      <c r="X158" s="636"/>
      <c r="Y158" s="636" t="s">
        <v>512</v>
      </c>
      <c r="Z158" s="636"/>
      <c r="AA158" s="636"/>
      <c r="AB158" s="636"/>
      <c r="AC158" s="636"/>
      <c r="AD158" s="636" t="s">
        <v>489</v>
      </c>
      <c r="AE158" s="636"/>
      <c r="AF158" s="636"/>
      <c r="AG158" s="636"/>
      <c r="AH158" s="636"/>
      <c r="AI158" s="636" t="s">
        <v>492</v>
      </c>
      <c r="AJ158" s="636"/>
      <c r="AK158" s="636"/>
      <c r="AL158" s="636"/>
      <c r="AM158" s="636"/>
      <c r="AN158" s="273" t="s">
        <v>693</v>
      </c>
      <c r="AO158" s="273"/>
      <c r="AP158" s="273"/>
      <c r="AQ158" s="273"/>
      <c r="AR158" s="273"/>
      <c r="AS158" s="273"/>
      <c r="AT158" s="273"/>
      <c r="AU158" s="273"/>
      <c r="AV158" s="273"/>
      <c r="AW158" s="273"/>
      <c r="AX158" s="273"/>
      <c r="AY158" s="273"/>
      <c r="AZ158" s="273"/>
      <c r="BA158" s="273"/>
      <c r="BB158" s="273"/>
      <c r="BC158" s="273"/>
      <c r="BD158" s="273"/>
      <c r="BE158" s="273"/>
      <c r="BF158" s="273"/>
      <c r="BG158" s="273"/>
      <c r="BH158" s="273" t="s">
        <v>694</v>
      </c>
      <c r="BI158" s="273"/>
      <c r="BJ158" s="273"/>
      <c r="BK158" s="273"/>
      <c r="BL158" s="273"/>
      <c r="BM158" s="273"/>
      <c r="BN158" s="273"/>
      <c r="BO158" s="273"/>
      <c r="BP158" s="273"/>
      <c r="BQ158" s="273"/>
      <c r="BR158" s="273"/>
      <c r="BS158" s="273"/>
      <c r="BT158" s="273"/>
      <c r="BU158" s="273"/>
      <c r="BV158" s="273"/>
      <c r="BW158" s="273"/>
      <c r="BX158" s="273"/>
      <c r="BY158" s="273"/>
      <c r="BZ158" s="273"/>
      <c r="CA158" s="273"/>
      <c r="CB158" s="273" t="s">
        <v>489</v>
      </c>
      <c r="CC158" s="273"/>
      <c r="CD158" s="273"/>
      <c r="CE158" s="273"/>
      <c r="CF158" s="273"/>
      <c r="CG158" s="273"/>
      <c r="CH158" s="273"/>
      <c r="CI158" s="273"/>
      <c r="CJ158" s="273"/>
      <c r="CK158" s="273"/>
      <c r="CL158" s="273"/>
      <c r="CM158" s="273"/>
      <c r="CN158" s="273"/>
      <c r="CO158" s="273"/>
      <c r="CP158" s="273"/>
      <c r="CQ158" s="273"/>
      <c r="CR158" s="273"/>
      <c r="CS158" s="273"/>
      <c r="CT158" s="273"/>
      <c r="CU158" s="273"/>
      <c r="CV158" s="273" t="s">
        <v>489</v>
      </c>
      <c r="CW158" s="273"/>
      <c r="CX158" s="273"/>
      <c r="CY158" s="273"/>
      <c r="CZ158" s="273"/>
      <c r="DA158" s="273"/>
      <c r="DB158" s="273"/>
      <c r="DC158" s="273"/>
      <c r="DD158" s="273"/>
      <c r="DE158" s="273"/>
      <c r="DF158" s="273"/>
      <c r="DG158" s="273"/>
      <c r="DH158" s="273"/>
      <c r="DI158" s="273"/>
      <c r="DJ158" s="273"/>
      <c r="DK158" s="273"/>
      <c r="DL158" s="273"/>
      <c r="DM158" s="273"/>
      <c r="DN158" s="273"/>
      <c r="DO158" s="273"/>
    </row>
    <row r="159" spans="3:119" ht="13.5" customHeight="1">
      <c r="C159" s="273" t="s">
        <v>447</v>
      </c>
      <c r="D159" s="273"/>
      <c r="E159" s="273"/>
      <c r="F159" s="273"/>
      <c r="G159" s="273"/>
      <c r="H159" s="273"/>
      <c r="I159" s="273"/>
      <c r="J159" s="636" t="s">
        <v>518</v>
      </c>
      <c r="K159" s="636"/>
      <c r="L159" s="636"/>
      <c r="M159" s="636"/>
      <c r="N159" s="636"/>
      <c r="O159" s="636" t="s">
        <v>490</v>
      </c>
      <c r="P159" s="636"/>
      <c r="Q159" s="636"/>
      <c r="R159" s="636"/>
      <c r="S159" s="636"/>
      <c r="T159" s="636" t="s">
        <v>482</v>
      </c>
      <c r="U159" s="636"/>
      <c r="V159" s="636"/>
      <c r="W159" s="636"/>
      <c r="X159" s="636"/>
      <c r="Y159" s="636" t="s">
        <v>483</v>
      </c>
      <c r="Z159" s="636"/>
      <c r="AA159" s="636"/>
      <c r="AB159" s="636"/>
      <c r="AC159" s="636"/>
      <c r="AD159" s="636" t="s">
        <v>489</v>
      </c>
      <c r="AE159" s="636"/>
      <c r="AF159" s="636"/>
      <c r="AG159" s="636"/>
      <c r="AH159" s="636"/>
      <c r="AI159" s="636" t="s">
        <v>492</v>
      </c>
      <c r="AJ159" s="636"/>
      <c r="AK159" s="636"/>
      <c r="AL159" s="636"/>
      <c r="AM159" s="636"/>
      <c r="AN159" s="273" t="s">
        <v>696</v>
      </c>
      <c r="AO159" s="273"/>
      <c r="AP159" s="273"/>
      <c r="AQ159" s="273"/>
      <c r="AR159" s="273"/>
      <c r="AS159" s="273"/>
      <c r="AT159" s="273"/>
      <c r="AU159" s="273"/>
      <c r="AV159" s="273"/>
      <c r="AW159" s="273"/>
      <c r="AX159" s="273"/>
      <c r="AY159" s="273"/>
      <c r="AZ159" s="273"/>
      <c r="BA159" s="273"/>
      <c r="BB159" s="273"/>
      <c r="BC159" s="273"/>
      <c r="BD159" s="273"/>
      <c r="BE159" s="273"/>
      <c r="BF159" s="273"/>
      <c r="BG159" s="273"/>
      <c r="BH159" s="273" t="s">
        <v>697</v>
      </c>
      <c r="BI159" s="273"/>
      <c r="BJ159" s="273"/>
      <c r="BK159" s="273"/>
      <c r="BL159" s="273"/>
      <c r="BM159" s="273"/>
      <c r="BN159" s="273"/>
      <c r="BO159" s="273"/>
      <c r="BP159" s="273"/>
      <c r="BQ159" s="273"/>
      <c r="BR159" s="273"/>
      <c r="BS159" s="273"/>
      <c r="BT159" s="273"/>
      <c r="BU159" s="273"/>
      <c r="BV159" s="273"/>
      <c r="BW159" s="273"/>
      <c r="BX159" s="273"/>
      <c r="BY159" s="273"/>
      <c r="BZ159" s="273"/>
      <c r="CA159" s="273"/>
      <c r="CB159" s="273" t="s">
        <v>698</v>
      </c>
      <c r="CC159" s="273"/>
      <c r="CD159" s="273"/>
      <c r="CE159" s="273"/>
      <c r="CF159" s="273"/>
      <c r="CG159" s="273"/>
      <c r="CH159" s="273"/>
      <c r="CI159" s="273"/>
      <c r="CJ159" s="273"/>
      <c r="CK159" s="273"/>
      <c r="CL159" s="273"/>
      <c r="CM159" s="273"/>
      <c r="CN159" s="273"/>
      <c r="CO159" s="273"/>
      <c r="CP159" s="273"/>
      <c r="CQ159" s="273"/>
      <c r="CR159" s="273"/>
      <c r="CS159" s="273"/>
      <c r="CT159" s="273"/>
      <c r="CU159" s="273"/>
      <c r="CV159" s="273" t="s">
        <v>699</v>
      </c>
      <c r="CW159" s="273"/>
      <c r="CX159" s="273"/>
      <c r="CY159" s="273"/>
      <c r="CZ159" s="273"/>
      <c r="DA159" s="273"/>
      <c r="DB159" s="273"/>
      <c r="DC159" s="273"/>
      <c r="DD159" s="273"/>
      <c r="DE159" s="273"/>
      <c r="DF159" s="273"/>
      <c r="DG159" s="273"/>
      <c r="DH159" s="273"/>
      <c r="DI159" s="273"/>
      <c r="DJ159" s="273"/>
      <c r="DK159" s="273"/>
      <c r="DL159" s="273"/>
      <c r="DM159" s="273"/>
      <c r="DN159" s="273"/>
      <c r="DO159" s="273"/>
    </row>
    <row r="160" spans="3:119" ht="13.5" customHeight="1">
      <c r="C160" s="273" t="s">
        <v>448</v>
      </c>
      <c r="D160" s="273"/>
      <c r="E160" s="273"/>
      <c r="F160" s="273"/>
      <c r="G160" s="273"/>
      <c r="H160" s="273"/>
      <c r="I160" s="273"/>
      <c r="J160" s="636" t="s">
        <v>637</v>
      </c>
      <c r="K160" s="636"/>
      <c r="L160" s="636"/>
      <c r="M160" s="636"/>
      <c r="N160" s="636"/>
      <c r="O160" s="636" t="s">
        <v>490</v>
      </c>
      <c r="P160" s="636"/>
      <c r="Q160" s="636"/>
      <c r="R160" s="636"/>
      <c r="S160" s="636"/>
      <c r="T160" s="636" t="s">
        <v>212</v>
      </c>
      <c r="U160" s="636"/>
      <c r="V160" s="636"/>
      <c r="W160" s="636"/>
      <c r="X160" s="636"/>
      <c r="Y160" s="636" t="s">
        <v>512</v>
      </c>
      <c r="Z160" s="636"/>
      <c r="AA160" s="636"/>
      <c r="AB160" s="636"/>
      <c r="AC160" s="636"/>
      <c r="AD160" s="636" t="s">
        <v>34</v>
      </c>
      <c r="AE160" s="636"/>
      <c r="AF160" s="636"/>
      <c r="AG160" s="636"/>
      <c r="AH160" s="636"/>
      <c r="AI160" s="636" t="s">
        <v>640</v>
      </c>
      <c r="AJ160" s="636"/>
      <c r="AK160" s="636"/>
      <c r="AL160" s="636"/>
      <c r="AM160" s="636"/>
      <c r="AN160" s="273" t="s">
        <v>700</v>
      </c>
      <c r="AO160" s="273"/>
      <c r="AP160" s="273"/>
      <c r="AQ160" s="273"/>
      <c r="AR160" s="273"/>
      <c r="AS160" s="273"/>
      <c r="AT160" s="273"/>
      <c r="AU160" s="273"/>
      <c r="AV160" s="273"/>
      <c r="AW160" s="273"/>
      <c r="AX160" s="273"/>
      <c r="AY160" s="273"/>
      <c r="AZ160" s="273"/>
      <c r="BA160" s="273"/>
      <c r="BB160" s="273"/>
      <c r="BC160" s="273"/>
      <c r="BD160" s="273"/>
      <c r="BE160" s="273"/>
      <c r="BF160" s="273"/>
      <c r="BG160" s="273"/>
      <c r="BH160" s="273" t="s">
        <v>701</v>
      </c>
      <c r="BI160" s="273"/>
      <c r="BJ160" s="273"/>
      <c r="BK160" s="273"/>
      <c r="BL160" s="273"/>
      <c r="BM160" s="273"/>
      <c r="BN160" s="273"/>
      <c r="BO160" s="273"/>
      <c r="BP160" s="273"/>
      <c r="BQ160" s="273"/>
      <c r="BR160" s="273"/>
      <c r="BS160" s="273"/>
      <c r="BT160" s="273"/>
      <c r="BU160" s="273"/>
      <c r="BV160" s="273"/>
      <c r="BW160" s="273"/>
      <c r="BX160" s="273"/>
      <c r="BY160" s="273"/>
      <c r="BZ160" s="273"/>
      <c r="CA160" s="273"/>
      <c r="CB160" s="273" t="s">
        <v>702</v>
      </c>
      <c r="CC160" s="273"/>
      <c r="CD160" s="273"/>
      <c r="CE160" s="273"/>
      <c r="CF160" s="273"/>
      <c r="CG160" s="273"/>
      <c r="CH160" s="273"/>
      <c r="CI160" s="273"/>
      <c r="CJ160" s="273"/>
      <c r="CK160" s="273"/>
      <c r="CL160" s="273"/>
      <c r="CM160" s="273"/>
      <c r="CN160" s="273"/>
      <c r="CO160" s="273"/>
      <c r="CP160" s="273"/>
      <c r="CQ160" s="273"/>
      <c r="CR160" s="273"/>
      <c r="CS160" s="273"/>
      <c r="CT160" s="273"/>
      <c r="CU160" s="273"/>
      <c r="CV160" s="273" t="s">
        <v>489</v>
      </c>
      <c r="CW160" s="273"/>
      <c r="CX160" s="273"/>
      <c r="CY160" s="273"/>
      <c r="CZ160" s="273"/>
      <c r="DA160" s="273"/>
      <c r="DB160" s="273"/>
      <c r="DC160" s="273"/>
      <c r="DD160" s="273"/>
      <c r="DE160" s="273"/>
      <c r="DF160" s="273"/>
      <c r="DG160" s="273"/>
      <c r="DH160" s="273"/>
      <c r="DI160" s="273"/>
      <c r="DJ160" s="273"/>
      <c r="DK160" s="273"/>
      <c r="DL160" s="273"/>
      <c r="DM160" s="273"/>
      <c r="DN160" s="273"/>
      <c r="DO160" s="273"/>
    </row>
    <row r="161" spans="3:119" ht="13.5" customHeight="1">
      <c r="C161" s="273" t="s">
        <v>449</v>
      </c>
      <c r="D161" s="273"/>
      <c r="E161" s="273"/>
      <c r="F161" s="273"/>
      <c r="G161" s="273"/>
      <c r="H161" s="273"/>
      <c r="I161" s="273"/>
      <c r="J161" s="636" t="s">
        <v>527</v>
      </c>
      <c r="K161" s="636"/>
      <c r="L161" s="636"/>
      <c r="M161" s="636"/>
      <c r="N161" s="636"/>
      <c r="O161" s="636" t="s">
        <v>524</v>
      </c>
      <c r="P161" s="636"/>
      <c r="Q161" s="636"/>
      <c r="R161" s="636"/>
      <c r="S161" s="636"/>
      <c r="T161" s="636" t="s">
        <v>511</v>
      </c>
      <c r="U161" s="636"/>
      <c r="V161" s="636"/>
      <c r="W161" s="636"/>
      <c r="X161" s="636"/>
      <c r="Y161" s="636" t="s">
        <v>528</v>
      </c>
      <c r="Z161" s="636"/>
      <c r="AA161" s="636"/>
      <c r="AB161" s="636"/>
      <c r="AC161" s="636"/>
      <c r="AD161" s="636" t="s">
        <v>489</v>
      </c>
      <c r="AE161" s="636"/>
      <c r="AF161" s="636"/>
      <c r="AG161" s="636"/>
      <c r="AH161" s="636"/>
      <c r="AI161" s="636" t="s">
        <v>492</v>
      </c>
      <c r="AJ161" s="636"/>
      <c r="AK161" s="636"/>
      <c r="AL161" s="636"/>
      <c r="AM161" s="636"/>
      <c r="AN161" s="273" t="s">
        <v>703</v>
      </c>
      <c r="AO161" s="273"/>
      <c r="AP161" s="273"/>
      <c r="AQ161" s="273"/>
      <c r="AR161" s="273"/>
      <c r="AS161" s="273"/>
      <c r="AT161" s="273"/>
      <c r="AU161" s="273"/>
      <c r="AV161" s="273"/>
      <c r="AW161" s="273"/>
      <c r="AX161" s="273"/>
      <c r="AY161" s="273"/>
      <c r="AZ161" s="273"/>
      <c r="BA161" s="273"/>
      <c r="BB161" s="273"/>
      <c r="BC161" s="273"/>
      <c r="BD161" s="273"/>
      <c r="BE161" s="273"/>
      <c r="BF161" s="273"/>
      <c r="BG161" s="273"/>
      <c r="BH161" s="273" t="s">
        <v>489</v>
      </c>
      <c r="BI161" s="273"/>
      <c r="BJ161" s="273"/>
      <c r="BK161" s="273"/>
      <c r="BL161" s="273"/>
      <c r="BM161" s="273"/>
      <c r="BN161" s="273"/>
      <c r="BO161" s="273"/>
      <c r="BP161" s="273"/>
      <c r="BQ161" s="273"/>
      <c r="BR161" s="273"/>
      <c r="BS161" s="273"/>
      <c r="BT161" s="273"/>
      <c r="BU161" s="273"/>
      <c r="BV161" s="273"/>
      <c r="BW161" s="273"/>
      <c r="BX161" s="273"/>
      <c r="BY161" s="273"/>
      <c r="BZ161" s="273"/>
      <c r="CA161" s="273"/>
      <c r="CB161" s="273" t="s">
        <v>654</v>
      </c>
      <c r="CC161" s="273"/>
      <c r="CD161" s="273"/>
      <c r="CE161" s="273"/>
      <c r="CF161" s="273"/>
      <c r="CG161" s="273"/>
      <c r="CH161" s="273"/>
      <c r="CI161" s="273"/>
      <c r="CJ161" s="273"/>
      <c r="CK161" s="273"/>
      <c r="CL161" s="273"/>
      <c r="CM161" s="273"/>
      <c r="CN161" s="273"/>
      <c r="CO161" s="273"/>
      <c r="CP161" s="273"/>
      <c r="CQ161" s="273"/>
      <c r="CR161" s="273"/>
      <c r="CS161" s="273"/>
      <c r="CT161" s="273"/>
      <c r="CU161" s="273"/>
      <c r="CV161" s="273" t="s">
        <v>489</v>
      </c>
      <c r="CW161" s="273"/>
      <c r="CX161" s="273"/>
      <c r="CY161" s="273"/>
      <c r="CZ161" s="273"/>
      <c r="DA161" s="273"/>
      <c r="DB161" s="273"/>
      <c r="DC161" s="273"/>
      <c r="DD161" s="273"/>
      <c r="DE161" s="273"/>
      <c r="DF161" s="273"/>
      <c r="DG161" s="273"/>
      <c r="DH161" s="273"/>
      <c r="DI161" s="273"/>
      <c r="DJ161" s="273"/>
      <c r="DK161" s="273"/>
      <c r="DL161" s="273"/>
      <c r="DM161" s="273"/>
      <c r="DN161" s="273"/>
      <c r="DO161" s="273"/>
    </row>
    <row r="162" spans="3:119" ht="13.5" customHeight="1">
      <c r="C162" s="273" t="s">
        <v>450</v>
      </c>
      <c r="D162" s="273"/>
      <c r="E162" s="273"/>
      <c r="F162" s="273"/>
      <c r="G162" s="273"/>
      <c r="H162" s="273"/>
      <c r="I162" s="273"/>
      <c r="J162" s="636" t="s">
        <v>527</v>
      </c>
      <c r="K162" s="636"/>
      <c r="L162" s="636"/>
      <c r="M162" s="636"/>
      <c r="N162" s="636"/>
      <c r="O162" s="636" t="s">
        <v>524</v>
      </c>
      <c r="P162" s="636"/>
      <c r="Q162" s="636"/>
      <c r="R162" s="636"/>
      <c r="S162" s="636"/>
      <c r="T162" s="636" t="s">
        <v>511</v>
      </c>
      <c r="U162" s="636"/>
      <c r="V162" s="636"/>
      <c r="W162" s="636"/>
      <c r="X162" s="636"/>
      <c r="Y162" s="636" t="s">
        <v>528</v>
      </c>
      <c r="Z162" s="636"/>
      <c r="AA162" s="636"/>
      <c r="AB162" s="636"/>
      <c r="AC162" s="636"/>
      <c r="AD162" s="636" t="s">
        <v>489</v>
      </c>
      <c r="AE162" s="636"/>
      <c r="AF162" s="636"/>
      <c r="AG162" s="636"/>
      <c r="AH162" s="636"/>
      <c r="AI162" s="636" t="s">
        <v>485</v>
      </c>
      <c r="AJ162" s="636"/>
      <c r="AK162" s="636"/>
      <c r="AL162" s="636"/>
      <c r="AM162" s="636"/>
      <c r="AN162" s="273" t="s">
        <v>532</v>
      </c>
      <c r="AO162" s="273"/>
      <c r="AP162" s="273"/>
      <c r="AQ162" s="273"/>
      <c r="AR162" s="273"/>
      <c r="AS162" s="273"/>
      <c r="AT162" s="273"/>
      <c r="AU162" s="273"/>
      <c r="AV162" s="273"/>
      <c r="AW162" s="273"/>
      <c r="AX162" s="273"/>
      <c r="AY162" s="273"/>
      <c r="AZ162" s="273"/>
      <c r="BA162" s="273"/>
      <c r="BB162" s="273"/>
      <c r="BC162" s="273"/>
      <c r="BD162" s="273"/>
      <c r="BE162" s="273"/>
      <c r="BF162" s="273"/>
      <c r="BG162" s="273"/>
      <c r="BH162" s="273" t="s">
        <v>534</v>
      </c>
      <c r="BI162" s="273"/>
      <c r="BJ162" s="273"/>
      <c r="BK162" s="273"/>
      <c r="BL162" s="273"/>
      <c r="BM162" s="273"/>
      <c r="BN162" s="273"/>
      <c r="BO162" s="273"/>
      <c r="BP162" s="273"/>
      <c r="BQ162" s="273"/>
      <c r="BR162" s="273"/>
      <c r="BS162" s="273"/>
      <c r="BT162" s="273"/>
      <c r="BU162" s="273"/>
      <c r="BV162" s="273"/>
      <c r="BW162" s="273"/>
      <c r="BX162" s="273"/>
      <c r="BY162" s="273"/>
      <c r="BZ162" s="273"/>
      <c r="CA162" s="273"/>
      <c r="CB162" s="273" t="s">
        <v>535</v>
      </c>
      <c r="CC162" s="273"/>
      <c r="CD162" s="273"/>
      <c r="CE162" s="273"/>
      <c r="CF162" s="273"/>
      <c r="CG162" s="273"/>
      <c r="CH162" s="273"/>
      <c r="CI162" s="273"/>
      <c r="CJ162" s="273"/>
      <c r="CK162" s="273"/>
      <c r="CL162" s="273"/>
      <c r="CM162" s="273"/>
      <c r="CN162" s="273"/>
      <c r="CO162" s="273"/>
      <c r="CP162" s="273"/>
      <c r="CQ162" s="273"/>
      <c r="CR162" s="273"/>
      <c r="CS162" s="273"/>
      <c r="CT162" s="273"/>
      <c r="CU162" s="273"/>
      <c r="CV162" s="273" t="s">
        <v>489</v>
      </c>
      <c r="CW162" s="273"/>
      <c r="CX162" s="273"/>
      <c r="CY162" s="273"/>
      <c r="CZ162" s="273"/>
      <c r="DA162" s="273"/>
      <c r="DB162" s="273"/>
      <c r="DC162" s="273"/>
      <c r="DD162" s="273"/>
      <c r="DE162" s="273"/>
      <c r="DF162" s="273"/>
      <c r="DG162" s="273"/>
      <c r="DH162" s="273"/>
      <c r="DI162" s="273"/>
      <c r="DJ162" s="273"/>
      <c r="DK162" s="273"/>
      <c r="DL162" s="273"/>
      <c r="DM162" s="273"/>
      <c r="DN162" s="273"/>
      <c r="DO162" s="273"/>
    </row>
    <row r="163" spans="3:119" ht="13.5" customHeight="1">
      <c r="C163" s="161" t="s">
        <v>897</v>
      </c>
      <c r="D163" s="161"/>
      <c r="E163" s="161"/>
      <c r="F163" s="161"/>
      <c r="G163" s="161"/>
      <c r="H163" s="161"/>
      <c r="I163" s="161"/>
      <c r="J163" s="636" t="s">
        <v>527</v>
      </c>
      <c r="K163" s="636"/>
      <c r="L163" s="636"/>
      <c r="M163" s="636"/>
      <c r="N163" s="636"/>
      <c r="O163" s="636" t="s">
        <v>524</v>
      </c>
      <c r="P163" s="636"/>
      <c r="Q163" s="636"/>
      <c r="R163" s="636"/>
      <c r="S163" s="636"/>
      <c r="T163" s="636" t="s">
        <v>511</v>
      </c>
      <c r="U163" s="636"/>
      <c r="V163" s="636"/>
      <c r="W163" s="636"/>
      <c r="X163" s="636"/>
      <c r="Y163" s="636" t="s">
        <v>528</v>
      </c>
      <c r="Z163" s="636"/>
      <c r="AA163" s="636"/>
      <c r="AB163" s="636"/>
      <c r="AC163" s="636"/>
      <c r="AD163" s="636" t="s">
        <v>489</v>
      </c>
      <c r="AE163" s="636"/>
      <c r="AF163" s="636"/>
      <c r="AG163" s="636"/>
      <c r="AH163" s="636"/>
      <c r="AI163" s="636" t="s">
        <v>485</v>
      </c>
      <c r="AJ163" s="636"/>
      <c r="AK163" s="636"/>
      <c r="AL163" s="636"/>
      <c r="AM163" s="636"/>
      <c r="AN163" s="273" t="s">
        <v>898</v>
      </c>
      <c r="AO163" s="273"/>
      <c r="AP163" s="273"/>
      <c r="AQ163" s="273"/>
      <c r="AR163" s="273"/>
      <c r="AS163" s="273"/>
      <c r="AT163" s="273"/>
      <c r="AU163" s="273"/>
      <c r="AV163" s="273"/>
      <c r="AW163" s="273"/>
      <c r="AX163" s="273"/>
      <c r="AY163" s="273"/>
      <c r="AZ163" s="273"/>
      <c r="BA163" s="273"/>
      <c r="BB163" s="273"/>
      <c r="BC163" s="273"/>
      <c r="BD163" s="273"/>
      <c r="BE163" s="273"/>
      <c r="BF163" s="273"/>
      <c r="BG163" s="273"/>
      <c r="BH163" s="273" t="s">
        <v>489</v>
      </c>
      <c r="BI163" s="273"/>
      <c r="BJ163" s="273"/>
      <c r="BK163" s="273"/>
      <c r="BL163" s="273"/>
      <c r="BM163" s="273"/>
      <c r="BN163" s="273"/>
      <c r="BO163" s="273"/>
      <c r="BP163" s="273"/>
      <c r="BQ163" s="273"/>
      <c r="BR163" s="273"/>
      <c r="BS163" s="273"/>
      <c r="BT163" s="273"/>
      <c r="BU163" s="273"/>
      <c r="BV163" s="273"/>
      <c r="BW163" s="273"/>
      <c r="BX163" s="273"/>
      <c r="BY163" s="273"/>
      <c r="BZ163" s="273"/>
      <c r="CA163" s="273"/>
      <c r="CB163" s="273" t="s">
        <v>489</v>
      </c>
      <c r="CC163" s="273"/>
      <c r="CD163" s="273"/>
      <c r="CE163" s="273"/>
      <c r="CF163" s="273"/>
      <c r="CG163" s="273"/>
      <c r="CH163" s="273"/>
      <c r="CI163" s="273"/>
      <c r="CJ163" s="273"/>
      <c r="CK163" s="273"/>
      <c r="CL163" s="273"/>
      <c r="CM163" s="273"/>
      <c r="CN163" s="273"/>
      <c r="CO163" s="273"/>
      <c r="CP163" s="273"/>
      <c r="CQ163" s="273"/>
      <c r="CR163" s="273"/>
      <c r="CS163" s="273"/>
      <c r="CT163" s="273"/>
      <c r="CU163" s="273"/>
      <c r="CV163" s="273" t="s">
        <v>489</v>
      </c>
      <c r="CW163" s="273"/>
      <c r="CX163" s="273"/>
      <c r="CY163" s="273"/>
      <c r="CZ163" s="273"/>
      <c r="DA163" s="273"/>
      <c r="DB163" s="273"/>
      <c r="DC163" s="273"/>
      <c r="DD163" s="273"/>
      <c r="DE163" s="273"/>
      <c r="DF163" s="273"/>
      <c r="DG163" s="273"/>
      <c r="DH163" s="273"/>
      <c r="DI163" s="273"/>
      <c r="DJ163" s="273"/>
      <c r="DK163" s="273"/>
      <c r="DL163" s="273"/>
      <c r="DM163" s="273"/>
      <c r="DN163" s="273"/>
      <c r="DO163" s="273"/>
    </row>
    <row r="164" spans="3:119" ht="13.5" customHeight="1">
      <c r="C164" s="38" t="s">
        <v>531</v>
      </c>
      <c r="D164" s="38"/>
      <c r="E164" s="38"/>
      <c r="F164" s="38"/>
      <c r="G164" s="38"/>
      <c r="H164" s="38"/>
      <c r="I164" s="38"/>
      <c r="J164" s="636" t="s">
        <v>527</v>
      </c>
      <c r="K164" s="636"/>
      <c r="L164" s="636"/>
      <c r="M164" s="636"/>
      <c r="N164" s="636"/>
      <c r="O164" s="636" t="s">
        <v>524</v>
      </c>
      <c r="P164" s="636"/>
      <c r="Q164" s="636"/>
      <c r="R164" s="636"/>
      <c r="S164" s="636"/>
      <c r="T164" s="636" t="s">
        <v>511</v>
      </c>
      <c r="U164" s="636"/>
      <c r="V164" s="636"/>
      <c r="W164" s="636"/>
      <c r="X164" s="636"/>
      <c r="Y164" s="636" t="s">
        <v>528</v>
      </c>
      <c r="Z164" s="636"/>
      <c r="AA164" s="636"/>
      <c r="AB164" s="636"/>
      <c r="AC164" s="636"/>
      <c r="AD164" s="636" t="s">
        <v>489</v>
      </c>
      <c r="AE164" s="636"/>
      <c r="AF164" s="636"/>
      <c r="AG164" s="636"/>
      <c r="AH164" s="636"/>
      <c r="AI164" s="636" t="s">
        <v>485</v>
      </c>
      <c r="AJ164" s="636"/>
      <c r="AK164" s="636"/>
      <c r="AL164" s="636"/>
      <c r="AM164" s="636"/>
      <c r="AN164" s="273" t="s">
        <v>533</v>
      </c>
      <c r="AO164" s="273"/>
      <c r="AP164" s="273"/>
      <c r="AQ164" s="273"/>
      <c r="AR164" s="273"/>
      <c r="AS164" s="273"/>
      <c r="AT164" s="273"/>
      <c r="AU164" s="273"/>
      <c r="AV164" s="273"/>
      <c r="AW164" s="273"/>
      <c r="AX164" s="273"/>
      <c r="AY164" s="273"/>
      <c r="AZ164" s="273"/>
      <c r="BA164" s="273"/>
      <c r="BB164" s="273"/>
      <c r="BC164" s="273"/>
      <c r="BD164" s="273"/>
      <c r="BE164" s="273"/>
      <c r="BF164" s="273"/>
      <c r="BG164" s="273"/>
      <c r="BH164" s="273" t="s">
        <v>489</v>
      </c>
      <c r="BI164" s="273"/>
      <c r="BJ164" s="273"/>
      <c r="BK164" s="273"/>
      <c r="BL164" s="273"/>
      <c r="BM164" s="273"/>
      <c r="BN164" s="273"/>
      <c r="BO164" s="273"/>
      <c r="BP164" s="273"/>
      <c r="BQ164" s="273"/>
      <c r="BR164" s="273"/>
      <c r="BS164" s="273"/>
      <c r="BT164" s="273"/>
      <c r="BU164" s="273"/>
      <c r="BV164" s="273"/>
      <c r="BW164" s="273"/>
      <c r="BX164" s="273"/>
      <c r="BY164" s="273"/>
      <c r="BZ164" s="273"/>
      <c r="CA164" s="273"/>
      <c r="CB164" s="273" t="s">
        <v>489</v>
      </c>
      <c r="CC164" s="273"/>
      <c r="CD164" s="273"/>
      <c r="CE164" s="273"/>
      <c r="CF164" s="273"/>
      <c r="CG164" s="273"/>
      <c r="CH164" s="273"/>
      <c r="CI164" s="273"/>
      <c r="CJ164" s="273"/>
      <c r="CK164" s="273"/>
      <c r="CL164" s="273"/>
      <c r="CM164" s="273"/>
      <c r="CN164" s="273"/>
      <c r="CO164" s="273"/>
      <c r="CP164" s="273"/>
      <c r="CQ164" s="273"/>
      <c r="CR164" s="273"/>
      <c r="CS164" s="273"/>
      <c r="CT164" s="273"/>
      <c r="CU164" s="273"/>
      <c r="CV164" s="273" t="s">
        <v>489</v>
      </c>
      <c r="CW164" s="273"/>
      <c r="CX164" s="273"/>
      <c r="CY164" s="273"/>
      <c r="CZ164" s="273"/>
      <c r="DA164" s="273"/>
      <c r="DB164" s="273"/>
      <c r="DC164" s="273"/>
      <c r="DD164" s="273"/>
      <c r="DE164" s="273"/>
      <c r="DF164" s="273"/>
      <c r="DG164" s="273"/>
      <c r="DH164" s="273"/>
      <c r="DI164" s="273"/>
      <c r="DJ164" s="273"/>
      <c r="DK164" s="273"/>
      <c r="DL164" s="273"/>
      <c r="DM164" s="273"/>
      <c r="DN164" s="273"/>
      <c r="DO164" s="273"/>
    </row>
    <row r="165" spans="3:119" ht="13.5" customHeight="1">
      <c r="C165" s="273" t="s">
        <v>451</v>
      </c>
      <c r="D165" s="273"/>
      <c r="E165" s="273"/>
      <c r="F165" s="273"/>
      <c r="G165" s="273"/>
      <c r="H165" s="273"/>
      <c r="I165" s="273"/>
      <c r="J165" s="636" t="s">
        <v>518</v>
      </c>
      <c r="K165" s="636"/>
      <c r="L165" s="636"/>
      <c r="M165" s="636"/>
      <c r="N165" s="636"/>
      <c r="O165" s="636" t="s">
        <v>510</v>
      </c>
      <c r="P165" s="636"/>
      <c r="Q165" s="636"/>
      <c r="R165" s="636"/>
      <c r="S165" s="636"/>
      <c r="T165" s="636" t="s">
        <v>511</v>
      </c>
      <c r="U165" s="636"/>
      <c r="V165" s="636"/>
      <c r="W165" s="636"/>
      <c r="X165" s="636"/>
      <c r="Y165" s="636" t="s">
        <v>512</v>
      </c>
      <c r="Z165" s="636"/>
      <c r="AA165" s="636"/>
      <c r="AB165" s="636"/>
      <c r="AC165" s="636"/>
      <c r="AD165" s="636" t="s">
        <v>489</v>
      </c>
      <c r="AE165" s="636"/>
      <c r="AF165" s="636"/>
      <c r="AG165" s="636"/>
      <c r="AH165" s="636"/>
      <c r="AI165" s="636" t="s">
        <v>641</v>
      </c>
      <c r="AJ165" s="636"/>
      <c r="AK165" s="636"/>
      <c r="AL165" s="636"/>
      <c r="AM165" s="636"/>
      <c r="AN165" s="273" t="s">
        <v>704</v>
      </c>
      <c r="AO165" s="273"/>
      <c r="AP165" s="273"/>
      <c r="AQ165" s="273"/>
      <c r="AR165" s="273"/>
      <c r="AS165" s="273"/>
      <c r="AT165" s="273"/>
      <c r="AU165" s="273"/>
      <c r="AV165" s="273"/>
      <c r="AW165" s="273"/>
      <c r="AX165" s="273"/>
      <c r="AY165" s="273"/>
      <c r="AZ165" s="273"/>
      <c r="BA165" s="273"/>
      <c r="BB165" s="273"/>
      <c r="BC165" s="273"/>
      <c r="BD165" s="273"/>
      <c r="BE165" s="273"/>
      <c r="BF165" s="273"/>
      <c r="BG165" s="273"/>
      <c r="BH165" s="273" t="s">
        <v>705</v>
      </c>
      <c r="BI165" s="273"/>
      <c r="BJ165" s="273"/>
      <c r="BK165" s="273"/>
      <c r="BL165" s="273"/>
      <c r="BM165" s="273"/>
      <c r="BN165" s="273"/>
      <c r="BO165" s="273"/>
      <c r="BP165" s="273"/>
      <c r="BQ165" s="273"/>
      <c r="BR165" s="273"/>
      <c r="BS165" s="273"/>
      <c r="BT165" s="273"/>
      <c r="BU165" s="273"/>
      <c r="BV165" s="273"/>
      <c r="BW165" s="273"/>
      <c r="BX165" s="273"/>
      <c r="BY165" s="273"/>
      <c r="BZ165" s="273"/>
      <c r="CA165" s="273"/>
      <c r="CB165" s="273" t="s">
        <v>694</v>
      </c>
      <c r="CC165" s="273"/>
      <c r="CD165" s="273"/>
      <c r="CE165" s="273"/>
      <c r="CF165" s="273"/>
      <c r="CG165" s="273"/>
      <c r="CH165" s="273"/>
      <c r="CI165" s="273"/>
      <c r="CJ165" s="273"/>
      <c r="CK165" s="273"/>
      <c r="CL165" s="273"/>
      <c r="CM165" s="273"/>
      <c r="CN165" s="273"/>
      <c r="CO165" s="273"/>
      <c r="CP165" s="273"/>
      <c r="CQ165" s="273"/>
      <c r="CR165" s="273"/>
      <c r="CS165" s="273"/>
      <c r="CT165" s="273"/>
      <c r="CU165" s="273"/>
      <c r="CV165" s="273" t="s">
        <v>706</v>
      </c>
      <c r="CW165" s="273"/>
      <c r="CX165" s="273"/>
      <c r="CY165" s="273"/>
      <c r="CZ165" s="273"/>
      <c r="DA165" s="273"/>
      <c r="DB165" s="273"/>
      <c r="DC165" s="273"/>
      <c r="DD165" s="273"/>
      <c r="DE165" s="273"/>
      <c r="DF165" s="273"/>
      <c r="DG165" s="273"/>
      <c r="DH165" s="273"/>
      <c r="DI165" s="273"/>
      <c r="DJ165" s="273"/>
      <c r="DK165" s="273"/>
      <c r="DL165" s="273"/>
      <c r="DM165" s="273"/>
      <c r="DN165" s="273"/>
      <c r="DO165" s="273"/>
    </row>
    <row r="166" spans="3:119" ht="13.5" customHeight="1">
      <c r="C166" s="273" t="s">
        <v>452</v>
      </c>
      <c r="D166" s="273"/>
      <c r="E166" s="273"/>
      <c r="F166" s="273"/>
      <c r="G166" s="273"/>
      <c r="H166" s="273"/>
      <c r="I166" s="273"/>
      <c r="J166" s="636" t="s">
        <v>536</v>
      </c>
      <c r="K166" s="636"/>
      <c r="L166" s="636"/>
      <c r="M166" s="636"/>
      <c r="N166" s="636"/>
      <c r="O166" s="636" t="s">
        <v>510</v>
      </c>
      <c r="P166" s="636"/>
      <c r="Q166" s="636"/>
      <c r="R166" s="636"/>
      <c r="S166" s="636"/>
      <c r="T166" s="636" t="s">
        <v>511</v>
      </c>
      <c r="U166" s="636"/>
      <c r="V166" s="636"/>
      <c r="W166" s="636"/>
      <c r="X166" s="636"/>
      <c r="Y166" s="636" t="s">
        <v>512</v>
      </c>
      <c r="Z166" s="636"/>
      <c r="AA166" s="636"/>
      <c r="AB166" s="636"/>
      <c r="AC166" s="636"/>
      <c r="AD166" s="636" t="s">
        <v>489</v>
      </c>
      <c r="AE166" s="636"/>
      <c r="AF166" s="636"/>
      <c r="AG166" s="636"/>
      <c r="AH166" s="636"/>
      <c r="AI166" s="636" t="s">
        <v>642</v>
      </c>
      <c r="AJ166" s="636"/>
      <c r="AK166" s="636"/>
      <c r="AL166" s="636"/>
      <c r="AM166" s="636"/>
      <c r="AN166" s="273" t="s">
        <v>707</v>
      </c>
      <c r="AO166" s="273"/>
      <c r="AP166" s="273"/>
      <c r="AQ166" s="273"/>
      <c r="AR166" s="273"/>
      <c r="AS166" s="273"/>
      <c r="AT166" s="273"/>
      <c r="AU166" s="273"/>
      <c r="AV166" s="273"/>
      <c r="AW166" s="273"/>
      <c r="AX166" s="273"/>
      <c r="AY166" s="273"/>
      <c r="AZ166" s="273"/>
      <c r="BA166" s="273"/>
      <c r="BB166" s="273"/>
      <c r="BC166" s="273"/>
      <c r="BD166" s="273"/>
      <c r="BE166" s="273"/>
      <c r="BF166" s="273"/>
      <c r="BG166" s="273"/>
      <c r="BH166" s="273" t="s">
        <v>489</v>
      </c>
      <c r="BI166" s="273"/>
      <c r="BJ166" s="273"/>
      <c r="BK166" s="273"/>
      <c r="BL166" s="273"/>
      <c r="BM166" s="273"/>
      <c r="BN166" s="273"/>
      <c r="BO166" s="273"/>
      <c r="BP166" s="273"/>
      <c r="BQ166" s="273"/>
      <c r="BR166" s="273"/>
      <c r="BS166" s="273"/>
      <c r="BT166" s="273"/>
      <c r="BU166" s="273"/>
      <c r="BV166" s="273"/>
      <c r="BW166" s="273"/>
      <c r="BX166" s="273"/>
      <c r="BY166" s="273"/>
      <c r="BZ166" s="273"/>
      <c r="CA166" s="273"/>
      <c r="CB166" s="273" t="s">
        <v>489</v>
      </c>
      <c r="CC166" s="273"/>
      <c r="CD166" s="273"/>
      <c r="CE166" s="273"/>
      <c r="CF166" s="273"/>
      <c r="CG166" s="273"/>
      <c r="CH166" s="273"/>
      <c r="CI166" s="273"/>
      <c r="CJ166" s="273"/>
      <c r="CK166" s="273"/>
      <c r="CL166" s="273"/>
      <c r="CM166" s="273"/>
      <c r="CN166" s="273"/>
      <c r="CO166" s="273"/>
      <c r="CP166" s="273"/>
      <c r="CQ166" s="273"/>
      <c r="CR166" s="273"/>
      <c r="CS166" s="273"/>
      <c r="CT166" s="273"/>
      <c r="CU166" s="273"/>
      <c r="CV166" s="273" t="s">
        <v>489</v>
      </c>
      <c r="CW166" s="273"/>
      <c r="CX166" s="273"/>
      <c r="CY166" s="273"/>
      <c r="CZ166" s="273"/>
      <c r="DA166" s="273"/>
      <c r="DB166" s="273"/>
      <c r="DC166" s="273"/>
      <c r="DD166" s="273"/>
      <c r="DE166" s="273"/>
      <c r="DF166" s="273"/>
      <c r="DG166" s="273"/>
      <c r="DH166" s="273"/>
      <c r="DI166" s="273"/>
      <c r="DJ166" s="273"/>
      <c r="DK166" s="273"/>
      <c r="DL166" s="273"/>
      <c r="DM166" s="273"/>
      <c r="DN166" s="273"/>
      <c r="DO166" s="273"/>
    </row>
    <row r="167" spans="3:119" ht="13.5" customHeight="1">
      <c r="C167" s="273" t="s">
        <v>453</v>
      </c>
      <c r="D167" s="273"/>
      <c r="E167" s="273"/>
      <c r="F167" s="273"/>
      <c r="G167" s="273"/>
      <c r="H167" s="273"/>
      <c r="I167" s="273"/>
      <c r="J167" s="636" t="s">
        <v>462</v>
      </c>
      <c r="K167" s="636"/>
      <c r="L167" s="636"/>
      <c r="M167" s="636"/>
      <c r="N167" s="636"/>
      <c r="O167" s="636" t="s">
        <v>510</v>
      </c>
      <c r="P167" s="636"/>
      <c r="Q167" s="636"/>
      <c r="R167" s="636"/>
      <c r="S167" s="636"/>
      <c r="T167" s="636" t="s">
        <v>511</v>
      </c>
      <c r="U167" s="636"/>
      <c r="V167" s="636"/>
      <c r="W167" s="636"/>
      <c r="X167" s="636"/>
      <c r="Y167" s="636" t="s">
        <v>483</v>
      </c>
      <c r="Z167" s="636"/>
      <c r="AA167" s="636"/>
      <c r="AB167" s="636"/>
      <c r="AC167" s="636"/>
      <c r="AD167" s="636" t="s">
        <v>489</v>
      </c>
      <c r="AE167" s="636"/>
      <c r="AF167" s="636"/>
      <c r="AG167" s="636"/>
      <c r="AH167" s="636"/>
      <c r="AI167" s="636" t="s">
        <v>485</v>
      </c>
      <c r="AJ167" s="636"/>
      <c r="AK167" s="636"/>
      <c r="AL167" s="636"/>
      <c r="AM167" s="636"/>
      <c r="AN167" s="273" t="s">
        <v>708</v>
      </c>
      <c r="AO167" s="273"/>
      <c r="AP167" s="273"/>
      <c r="AQ167" s="273"/>
      <c r="AR167" s="273"/>
      <c r="AS167" s="273"/>
      <c r="AT167" s="273"/>
      <c r="AU167" s="273"/>
      <c r="AV167" s="273"/>
      <c r="AW167" s="273"/>
      <c r="AX167" s="273"/>
      <c r="AY167" s="273"/>
      <c r="AZ167" s="273"/>
      <c r="BA167" s="273"/>
      <c r="BB167" s="273"/>
      <c r="BC167" s="273"/>
      <c r="BD167" s="273"/>
      <c r="BE167" s="273"/>
      <c r="BF167" s="273"/>
      <c r="BG167" s="273"/>
      <c r="BH167" s="273" t="s">
        <v>710</v>
      </c>
      <c r="BI167" s="273"/>
      <c r="BJ167" s="273"/>
      <c r="BK167" s="273"/>
      <c r="BL167" s="273"/>
      <c r="BM167" s="273"/>
      <c r="BN167" s="273"/>
      <c r="BO167" s="273"/>
      <c r="BP167" s="273"/>
      <c r="BQ167" s="273"/>
      <c r="BR167" s="273"/>
      <c r="BS167" s="273"/>
      <c r="BT167" s="273"/>
      <c r="BU167" s="273"/>
      <c r="BV167" s="273"/>
      <c r="BW167" s="273"/>
      <c r="BX167" s="273"/>
      <c r="BY167" s="273"/>
      <c r="BZ167" s="273"/>
      <c r="CA167" s="273"/>
      <c r="CB167" s="273" t="s">
        <v>711</v>
      </c>
      <c r="CC167" s="273"/>
      <c r="CD167" s="273"/>
      <c r="CE167" s="273"/>
      <c r="CF167" s="273"/>
      <c r="CG167" s="273"/>
      <c r="CH167" s="273"/>
      <c r="CI167" s="273"/>
      <c r="CJ167" s="273"/>
      <c r="CK167" s="273"/>
      <c r="CL167" s="273"/>
      <c r="CM167" s="273"/>
      <c r="CN167" s="273"/>
      <c r="CO167" s="273"/>
      <c r="CP167" s="273"/>
      <c r="CQ167" s="273"/>
      <c r="CR167" s="273"/>
      <c r="CS167" s="273"/>
      <c r="CT167" s="273"/>
      <c r="CU167" s="273"/>
      <c r="CV167" s="273" t="s">
        <v>712</v>
      </c>
      <c r="CW167" s="273"/>
      <c r="CX167" s="273"/>
      <c r="CY167" s="273"/>
      <c r="CZ167" s="273"/>
      <c r="DA167" s="273"/>
      <c r="DB167" s="273"/>
      <c r="DC167" s="273"/>
      <c r="DD167" s="273"/>
      <c r="DE167" s="273"/>
      <c r="DF167" s="273"/>
      <c r="DG167" s="273"/>
      <c r="DH167" s="273"/>
      <c r="DI167" s="273"/>
      <c r="DJ167" s="273"/>
      <c r="DK167" s="273"/>
      <c r="DL167" s="273"/>
      <c r="DM167" s="273"/>
      <c r="DN167" s="273"/>
      <c r="DO167" s="273"/>
    </row>
    <row r="168" spans="3:119" ht="13.5" customHeight="1">
      <c r="C168" s="273" t="s">
        <v>454</v>
      </c>
      <c r="D168" s="273"/>
      <c r="E168" s="273"/>
      <c r="F168" s="273"/>
      <c r="G168" s="273"/>
      <c r="H168" s="273"/>
      <c r="I168" s="273"/>
      <c r="J168" s="636" t="s">
        <v>637</v>
      </c>
      <c r="K168" s="636"/>
      <c r="L168" s="636"/>
      <c r="M168" s="636"/>
      <c r="N168" s="636"/>
      <c r="O168" s="636" t="s">
        <v>638</v>
      </c>
      <c r="P168" s="636"/>
      <c r="Q168" s="636"/>
      <c r="R168" s="636"/>
      <c r="S168" s="636"/>
      <c r="T168" s="636" t="s">
        <v>212</v>
      </c>
      <c r="U168" s="636"/>
      <c r="V168" s="636"/>
      <c r="W168" s="636"/>
      <c r="X168" s="636"/>
      <c r="Y168" s="636" t="s">
        <v>483</v>
      </c>
      <c r="Z168" s="636"/>
      <c r="AA168" s="636"/>
      <c r="AB168" s="636"/>
      <c r="AC168" s="636"/>
      <c r="AD168" s="636" t="s">
        <v>489</v>
      </c>
      <c r="AE168" s="636"/>
      <c r="AF168" s="636"/>
      <c r="AG168" s="636"/>
      <c r="AH168" s="636"/>
      <c r="AI168" s="636" t="s">
        <v>643</v>
      </c>
      <c r="AJ168" s="636"/>
      <c r="AK168" s="636"/>
      <c r="AL168" s="636"/>
      <c r="AM168" s="636"/>
      <c r="AN168" s="273" t="s">
        <v>713</v>
      </c>
      <c r="AO168" s="273"/>
      <c r="AP168" s="273"/>
      <c r="AQ168" s="273"/>
      <c r="AR168" s="273"/>
      <c r="AS168" s="273"/>
      <c r="AT168" s="273"/>
      <c r="AU168" s="273"/>
      <c r="AV168" s="273"/>
      <c r="AW168" s="273"/>
      <c r="AX168" s="273"/>
      <c r="AY168" s="273"/>
      <c r="AZ168" s="273"/>
      <c r="BA168" s="273"/>
      <c r="BB168" s="273"/>
      <c r="BC168" s="273"/>
      <c r="BD168" s="273"/>
      <c r="BE168" s="273"/>
      <c r="BF168" s="273"/>
      <c r="BG168" s="273"/>
      <c r="BH168" s="273" t="s">
        <v>656</v>
      </c>
      <c r="BI168" s="273"/>
      <c r="BJ168" s="273"/>
      <c r="BK168" s="273"/>
      <c r="BL168" s="273"/>
      <c r="BM168" s="273"/>
      <c r="BN168" s="273"/>
      <c r="BO168" s="273"/>
      <c r="BP168" s="273"/>
      <c r="BQ168" s="273"/>
      <c r="BR168" s="273"/>
      <c r="BS168" s="273"/>
      <c r="BT168" s="273"/>
      <c r="BU168" s="273"/>
      <c r="BV168" s="273"/>
      <c r="BW168" s="273"/>
      <c r="BX168" s="273"/>
      <c r="BY168" s="273"/>
      <c r="BZ168" s="273"/>
      <c r="CA168" s="273"/>
      <c r="CB168" s="273" t="s">
        <v>714</v>
      </c>
      <c r="CC168" s="273"/>
      <c r="CD168" s="273"/>
      <c r="CE168" s="273"/>
      <c r="CF168" s="273"/>
      <c r="CG168" s="273"/>
      <c r="CH168" s="273"/>
      <c r="CI168" s="273"/>
      <c r="CJ168" s="273"/>
      <c r="CK168" s="273"/>
      <c r="CL168" s="273"/>
      <c r="CM168" s="273"/>
      <c r="CN168" s="273"/>
      <c r="CO168" s="273"/>
      <c r="CP168" s="273"/>
      <c r="CQ168" s="273"/>
      <c r="CR168" s="273"/>
      <c r="CS168" s="273"/>
      <c r="CT168" s="273"/>
      <c r="CU168" s="273"/>
      <c r="CV168" s="273" t="s">
        <v>715</v>
      </c>
      <c r="CW168" s="273"/>
      <c r="CX168" s="273"/>
      <c r="CY168" s="273"/>
      <c r="CZ168" s="273"/>
      <c r="DA168" s="273"/>
      <c r="DB168" s="273"/>
      <c r="DC168" s="273"/>
      <c r="DD168" s="273"/>
      <c r="DE168" s="273"/>
      <c r="DF168" s="273"/>
      <c r="DG168" s="273"/>
      <c r="DH168" s="273"/>
      <c r="DI168" s="273"/>
      <c r="DJ168" s="273"/>
      <c r="DK168" s="273"/>
      <c r="DL168" s="273"/>
      <c r="DM168" s="273"/>
      <c r="DN168" s="273"/>
      <c r="DO168" s="273"/>
    </row>
    <row r="169" spans="3:119" ht="13.5" customHeight="1">
      <c r="C169" s="273" t="s">
        <v>455</v>
      </c>
      <c r="D169" s="273"/>
      <c r="E169" s="273"/>
      <c r="F169" s="273"/>
      <c r="G169" s="273"/>
      <c r="H169" s="273"/>
      <c r="I169" s="273"/>
      <c r="J169" s="636" t="s">
        <v>424</v>
      </c>
      <c r="K169" s="636"/>
      <c r="L169" s="636"/>
      <c r="M169" s="636"/>
      <c r="N169" s="636"/>
      <c r="O169" s="636" t="s">
        <v>490</v>
      </c>
      <c r="P169" s="636"/>
      <c r="Q169" s="636"/>
      <c r="R169" s="636"/>
      <c r="S169" s="636"/>
      <c r="T169" s="636" t="s">
        <v>491</v>
      </c>
      <c r="U169" s="636"/>
      <c r="V169" s="636"/>
      <c r="W169" s="636"/>
      <c r="X169" s="636"/>
      <c r="Y169" s="636" t="s">
        <v>483</v>
      </c>
      <c r="Z169" s="636"/>
      <c r="AA169" s="636"/>
      <c r="AB169" s="636"/>
      <c r="AC169" s="636"/>
      <c r="AD169" s="636" t="s">
        <v>127</v>
      </c>
      <c r="AE169" s="636"/>
      <c r="AF169" s="636"/>
      <c r="AG169" s="636"/>
      <c r="AH169" s="636"/>
      <c r="AI169" s="636" t="s">
        <v>492</v>
      </c>
      <c r="AJ169" s="636"/>
      <c r="AK169" s="636"/>
      <c r="AL169" s="636"/>
      <c r="AM169" s="636"/>
      <c r="AN169" s="273" t="s">
        <v>709</v>
      </c>
      <c r="AO169" s="273"/>
      <c r="AP169" s="273"/>
      <c r="AQ169" s="273"/>
      <c r="AR169" s="273"/>
      <c r="AS169" s="273"/>
      <c r="AT169" s="273"/>
      <c r="AU169" s="273"/>
      <c r="AV169" s="273"/>
      <c r="AW169" s="273"/>
      <c r="AX169" s="273"/>
      <c r="AY169" s="273"/>
      <c r="AZ169" s="273"/>
      <c r="BA169" s="273"/>
      <c r="BB169" s="273"/>
      <c r="BC169" s="273"/>
      <c r="BD169" s="273"/>
      <c r="BE169" s="273"/>
      <c r="BF169" s="273"/>
      <c r="BG169" s="273"/>
      <c r="BH169" s="273" t="s">
        <v>489</v>
      </c>
      <c r="BI169" s="273"/>
      <c r="BJ169" s="273"/>
      <c r="BK169" s="273"/>
      <c r="BL169" s="273"/>
      <c r="BM169" s="273"/>
      <c r="BN169" s="273"/>
      <c r="BO169" s="273"/>
      <c r="BP169" s="273"/>
      <c r="BQ169" s="273"/>
      <c r="BR169" s="273"/>
      <c r="BS169" s="273"/>
      <c r="BT169" s="273"/>
      <c r="BU169" s="273"/>
      <c r="BV169" s="273"/>
      <c r="BW169" s="273"/>
      <c r="BX169" s="273"/>
      <c r="BY169" s="273"/>
      <c r="BZ169" s="273"/>
      <c r="CA169" s="273"/>
      <c r="CB169" s="273" t="s">
        <v>489</v>
      </c>
      <c r="CC169" s="273"/>
      <c r="CD169" s="273"/>
      <c r="CE169" s="273"/>
      <c r="CF169" s="273"/>
      <c r="CG169" s="273"/>
      <c r="CH169" s="273"/>
      <c r="CI169" s="273"/>
      <c r="CJ169" s="273"/>
      <c r="CK169" s="273"/>
      <c r="CL169" s="273"/>
      <c r="CM169" s="273"/>
      <c r="CN169" s="273"/>
      <c r="CO169" s="273"/>
      <c r="CP169" s="273"/>
      <c r="CQ169" s="273"/>
      <c r="CR169" s="273"/>
      <c r="CS169" s="273"/>
      <c r="CT169" s="273"/>
      <c r="CU169" s="273"/>
      <c r="CV169" s="273" t="s">
        <v>489</v>
      </c>
      <c r="CW169" s="273"/>
      <c r="CX169" s="273"/>
      <c r="CY169" s="273"/>
      <c r="CZ169" s="273"/>
      <c r="DA169" s="273"/>
      <c r="DB169" s="273"/>
      <c r="DC169" s="273"/>
      <c r="DD169" s="273"/>
      <c r="DE169" s="273"/>
      <c r="DF169" s="273"/>
      <c r="DG169" s="273"/>
      <c r="DH169" s="273"/>
      <c r="DI169" s="273"/>
      <c r="DJ169" s="273"/>
      <c r="DK169" s="273"/>
      <c r="DL169" s="273"/>
      <c r="DM169" s="273"/>
      <c r="DN169" s="273"/>
      <c r="DO169" s="273"/>
    </row>
    <row r="170" spans="3:119" ht="13.5" customHeight="1">
      <c r="C170" s="273" t="s">
        <v>456</v>
      </c>
      <c r="D170" s="273"/>
      <c r="E170" s="273"/>
      <c r="F170" s="273"/>
      <c r="G170" s="273"/>
      <c r="H170" s="273"/>
      <c r="I170" s="273"/>
      <c r="J170" s="636" t="s">
        <v>424</v>
      </c>
      <c r="K170" s="636"/>
      <c r="L170" s="636"/>
      <c r="M170" s="636"/>
      <c r="N170" s="636"/>
      <c r="O170" s="636" t="s">
        <v>490</v>
      </c>
      <c r="P170" s="636"/>
      <c r="Q170" s="636"/>
      <c r="R170" s="636"/>
      <c r="S170" s="636"/>
      <c r="T170" s="636" t="s">
        <v>212</v>
      </c>
      <c r="U170" s="636"/>
      <c r="V170" s="636"/>
      <c r="W170" s="636"/>
      <c r="X170" s="636"/>
      <c r="Y170" s="636" t="s">
        <v>483</v>
      </c>
      <c r="Z170" s="636"/>
      <c r="AA170" s="636"/>
      <c r="AB170" s="636"/>
      <c r="AC170" s="636"/>
      <c r="AD170" s="636" t="s">
        <v>128</v>
      </c>
      <c r="AE170" s="636"/>
      <c r="AF170" s="636"/>
      <c r="AG170" s="636"/>
      <c r="AH170" s="636"/>
      <c r="AI170" s="636" t="s">
        <v>636</v>
      </c>
      <c r="AJ170" s="636"/>
      <c r="AK170" s="636"/>
      <c r="AL170" s="636"/>
      <c r="AM170" s="636"/>
      <c r="AN170" s="273" t="s">
        <v>716</v>
      </c>
      <c r="AO170" s="273"/>
      <c r="AP170" s="273"/>
      <c r="AQ170" s="273"/>
      <c r="AR170" s="273"/>
      <c r="AS170" s="273"/>
      <c r="AT170" s="273"/>
      <c r="AU170" s="273"/>
      <c r="AV170" s="273"/>
      <c r="AW170" s="273"/>
      <c r="AX170" s="273"/>
      <c r="AY170" s="273"/>
      <c r="AZ170" s="273"/>
      <c r="BA170" s="273"/>
      <c r="BB170" s="273"/>
      <c r="BC170" s="273"/>
      <c r="BD170" s="273"/>
      <c r="BE170" s="273"/>
      <c r="BF170" s="273"/>
      <c r="BG170" s="273"/>
      <c r="BH170" s="273" t="s">
        <v>489</v>
      </c>
      <c r="BI170" s="273"/>
      <c r="BJ170" s="273"/>
      <c r="BK170" s="273"/>
      <c r="BL170" s="273"/>
      <c r="BM170" s="273"/>
      <c r="BN170" s="273"/>
      <c r="BO170" s="273"/>
      <c r="BP170" s="273"/>
      <c r="BQ170" s="273"/>
      <c r="BR170" s="273"/>
      <c r="BS170" s="273"/>
      <c r="BT170" s="273"/>
      <c r="BU170" s="273"/>
      <c r="BV170" s="273"/>
      <c r="BW170" s="273"/>
      <c r="BX170" s="273"/>
      <c r="BY170" s="273"/>
      <c r="BZ170" s="273"/>
      <c r="CA170" s="273"/>
      <c r="CB170" s="273" t="s">
        <v>489</v>
      </c>
      <c r="CC170" s="273"/>
      <c r="CD170" s="273"/>
      <c r="CE170" s="273"/>
      <c r="CF170" s="273"/>
      <c r="CG170" s="273"/>
      <c r="CH170" s="273"/>
      <c r="CI170" s="273"/>
      <c r="CJ170" s="273"/>
      <c r="CK170" s="273"/>
      <c r="CL170" s="273"/>
      <c r="CM170" s="273"/>
      <c r="CN170" s="273"/>
      <c r="CO170" s="273"/>
      <c r="CP170" s="273"/>
      <c r="CQ170" s="273"/>
      <c r="CR170" s="273"/>
      <c r="CS170" s="273"/>
      <c r="CT170" s="273"/>
      <c r="CU170" s="273"/>
      <c r="CV170" s="273" t="s">
        <v>489</v>
      </c>
      <c r="CW170" s="273"/>
      <c r="CX170" s="273"/>
      <c r="CY170" s="273"/>
      <c r="CZ170" s="273"/>
      <c r="DA170" s="273"/>
      <c r="DB170" s="273"/>
      <c r="DC170" s="273"/>
      <c r="DD170" s="273"/>
      <c r="DE170" s="273"/>
      <c r="DF170" s="273"/>
      <c r="DG170" s="273"/>
      <c r="DH170" s="273"/>
      <c r="DI170" s="273"/>
      <c r="DJ170" s="273"/>
      <c r="DK170" s="273"/>
      <c r="DL170" s="273"/>
      <c r="DM170" s="273"/>
      <c r="DN170" s="273"/>
      <c r="DO170" s="273"/>
    </row>
    <row r="171" spans="3:119" ht="13.5" customHeight="1">
      <c r="C171" s="273" t="s">
        <v>457</v>
      </c>
      <c r="D171" s="273"/>
      <c r="E171" s="273"/>
      <c r="F171" s="273"/>
      <c r="G171" s="273"/>
      <c r="H171" s="273"/>
      <c r="I171" s="273"/>
      <c r="J171" s="636" t="s">
        <v>518</v>
      </c>
      <c r="K171" s="636"/>
      <c r="L171" s="636"/>
      <c r="M171" s="636"/>
      <c r="N171" s="636"/>
      <c r="O171" s="636" t="s">
        <v>490</v>
      </c>
      <c r="P171" s="636"/>
      <c r="Q171" s="636"/>
      <c r="R171" s="636"/>
      <c r="S171" s="636"/>
      <c r="T171" s="636" t="s">
        <v>511</v>
      </c>
      <c r="U171" s="636"/>
      <c r="V171" s="636"/>
      <c r="W171" s="636"/>
      <c r="X171" s="636"/>
      <c r="Y171" s="636" t="s">
        <v>512</v>
      </c>
      <c r="Z171" s="636"/>
      <c r="AA171" s="636"/>
      <c r="AB171" s="636"/>
      <c r="AC171" s="636"/>
      <c r="AD171" s="636" t="s">
        <v>489</v>
      </c>
      <c r="AE171" s="636"/>
      <c r="AF171" s="636"/>
      <c r="AG171" s="636"/>
      <c r="AH171" s="636"/>
      <c r="AI171" s="636" t="s">
        <v>644</v>
      </c>
      <c r="AJ171" s="636"/>
      <c r="AK171" s="636"/>
      <c r="AL171" s="636"/>
      <c r="AM171" s="636"/>
      <c r="AN171" s="273" t="s">
        <v>717</v>
      </c>
      <c r="AO171" s="273"/>
      <c r="AP171" s="273"/>
      <c r="AQ171" s="273"/>
      <c r="AR171" s="273"/>
      <c r="AS171" s="273"/>
      <c r="AT171" s="273"/>
      <c r="AU171" s="273"/>
      <c r="AV171" s="273"/>
      <c r="AW171" s="273"/>
      <c r="AX171" s="273"/>
      <c r="AY171" s="273"/>
      <c r="AZ171" s="273"/>
      <c r="BA171" s="273"/>
      <c r="BB171" s="273"/>
      <c r="BC171" s="273"/>
      <c r="BD171" s="273"/>
      <c r="BE171" s="273"/>
      <c r="BF171" s="273"/>
      <c r="BG171" s="273"/>
      <c r="BH171" s="273" t="s">
        <v>489</v>
      </c>
      <c r="BI171" s="273"/>
      <c r="BJ171" s="273"/>
      <c r="BK171" s="273"/>
      <c r="BL171" s="273"/>
      <c r="BM171" s="273"/>
      <c r="BN171" s="273"/>
      <c r="BO171" s="273"/>
      <c r="BP171" s="273"/>
      <c r="BQ171" s="273"/>
      <c r="BR171" s="273"/>
      <c r="BS171" s="273"/>
      <c r="BT171" s="273"/>
      <c r="BU171" s="273"/>
      <c r="BV171" s="273"/>
      <c r="BW171" s="273"/>
      <c r="BX171" s="273"/>
      <c r="BY171" s="273"/>
      <c r="BZ171" s="273"/>
      <c r="CA171" s="273"/>
      <c r="CB171" s="273" t="s">
        <v>489</v>
      </c>
      <c r="CC171" s="273"/>
      <c r="CD171" s="273"/>
      <c r="CE171" s="273"/>
      <c r="CF171" s="273"/>
      <c r="CG171" s="273"/>
      <c r="CH171" s="273"/>
      <c r="CI171" s="273"/>
      <c r="CJ171" s="273"/>
      <c r="CK171" s="273"/>
      <c r="CL171" s="273"/>
      <c r="CM171" s="273"/>
      <c r="CN171" s="273"/>
      <c r="CO171" s="273"/>
      <c r="CP171" s="273"/>
      <c r="CQ171" s="273"/>
      <c r="CR171" s="273"/>
      <c r="CS171" s="273"/>
      <c r="CT171" s="273"/>
      <c r="CU171" s="273"/>
      <c r="CV171" s="273" t="s">
        <v>489</v>
      </c>
      <c r="CW171" s="273"/>
      <c r="CX171" s="273"/>
      <c r="CY171" s="273"/>
      <c r="CZ171" s="273"/>
      <c r="DA171" s="273"/>
      <c r="DB171" s="273"/>
      <c r="DC171" s="273"/>
      <c r="DD171" s="273"/>
      <c r="DE171" s="273"/>
      <c r="DF171" s="273"/>
      <c r="DG171" s="273"/>
      <c r="DH171" s="273"/>
      <c r="DI171" s="273"/>
      <c r="DJ171" s="273"/>
      <c r="DK171" s="273"/>
      <c r="DL171" s="273"/>
      <c r="DM171" s="273"/>
      <c r="DN171" s="273"/>
      <c r="DO171" s="273"/>
    </row>
    <row r="172" spans="3:119" ht="13.5" customHeight="1">
      <c r="C172" s="273" t="s">
        <v>458</v>
      </c>
      <c r="D172" s="273"/>
      <c r="E172" s="273"/>
      <c r="F172" s="273"/>
      <c r="G172" s="273"/>
      <c r="H172" s="273"/>
      <c r="I172" s="273"/>
      <c r="J172" s="636" t="s">
        <v>424</v>
      </c>
      <c r="K172" s="636"/>
      <c r="L172" s="636"/>
      <c r="M172" s="636"/>
      <c r="N172" s="636"/>
      <c r="O172" s="636" t="s">
        <v>490</v>
      </c>
      <c r="P172" s="636"/>
      <c r="Q172" s="636"/>
      <c r="R172" s="636"/>
      <c r="S172" s="636"/>
      <c r="T172" s="636" t="s">
        <v>212</v>
      </c>
      <c r="U172" s="636"/>
      <c r="V172" s="636"/>
      <c r="W172" s="636"/>
      <c r="X172" s="636"/>
      <c r="Y172" s="636" t="s">
        <v>512</v>
      </c>
      <c r="Z172" s="636"/>
      <c r="AA172" s="636"/>
      <c r="AB172" s="636"/>
      <c r="AC172" s="636"/>
      <c r="AD172" s="636" t="s">
        <v>128</v>
      </c>
      <c r="AE172" s="636"/>
      <c r="AF172" s="636"/>
      <c r="AG172" s="636"/>
      <c r="AH172" s="636"/>
      <c r="AI172" s="636" t="s">
        <v>636</v>
      </c>
      <c r="AJ172" s="636"/>
      <c r="AK172" s="636"/>
      <c r="AL172" s="636"/>
      <c r="AM172" s="636"/>
      <c r="AN172" s="273" t="s">
        <v>718</v>
      </c>
      <c r="AO172" s="273"/>
      <c r="AP172" s="273"/>
      <c r="AQ172" s="273"/>
      <c r="AR172" s="273"/>
      <c r="AS172" s="273"/>
      <c r="AT172" s="273"/>
      <c r="AU172" s="273"/>
      <c r="AV172" s="273"/>
      <c r="AW172" s="273"/>
      <c r="AX172" s="273"/>
      <c r="AY172" s="273"/>
      <c r="AZ172" s="273"/>
      <c r="BA172" s="273"/>
      <c r="BB172" s="273"/>
      <c r="BC172" s="273"/>
      <c r="BD172" s="273"/>
      <c r="BE172" s="273"/>
      <c r="BF172" s="273"/>
      <c r="BG172" s="273"/>
      <c r="BH172" s="273" t="s">
        <v>489</v>
      </c>
      <c r="BI172" s="273"/>
      <c r="BJ172" s="273"/>
      <c r="BK172" s="273"/>
      <c r="BL172" s="273"/>
      <c r="BM172" s="273"/>
      <c r="BN172" s="273"/>
      <c r="BO172" s="273"/>
      <c r="BP172" s="273"/>
      <c r="BQ172" s="273"/>
      <c r="BR172" s="273"/>
      <c r="BS172" s="273"/>
      <c r="BT172" s="273"/>
      <c r="BU172" s="273"/>
      <c r="BV172" s="273"/>
      <c r="BW172" s="273"/>
      <c r="BX172" s="273"/>
      <c r="BY172" s="273"/>
      <c r="BZ172" s="273"/>
      <c r="CA172" s="273"/>
      <c r="CB172" s="273" t="s">
        <v>489</v>
      </c>
      <c r="CC172" s="273"/>
      <c r="CD172" s="273"/>
      <c r="CE172" s="273"/>
      <c r="CF172" s="273"/>
      <c r="CG172" s="273"/>
      <c r="CH172" s="273"/>
      <c r="CI172" s="273"/>
      <c r="CJ172" s="273"/>
      <c r="CK172" s="273"/>
      <c r="CL172" s="273"/>
      <c r="CM172" s="273"/>
      <c r="CN172" s="273"/>
      <c r="CO172" s="273"/>
      <c r="CP172" s="273"/>
      <c r="CQ172" s="273"/>
      <c r="CR172" s="273"/>
      <c r="CS172" s="273"/>
      <c r="CT172" s="273"/>
      <c r="CU172" s="273"/>
      <c r="CV172" s="273" t="s">
        <v>489</v>
      </c>
      <c r="CW172" s="273"/>
      <c r="CX172" s="273"/>
      <c r="CY172" s="273"/>
      <c r="CZ172" s="273"/>
      <c r="DA172" s="273"/>
      <c r="DB172" s="273"/>
      <c r="DC172" s="273"/>
      <c r="DD172" s="273"/>
      <c r="DE172" s="273"/>
      <c r="DF172" s="273"/>
      <c r="DG172" s="273"/>
      <c r="DH172" s="273"/>
      <c r="DI172" s="273"/>
      <c r="DJ172" s="273"/>
      <c r="DK172" s="273"/>
      <c r="DL172" s="273"/>
      <c r="DM172" s="273"/>
      <c r="DN172" s="273"/>
      <c r="DO172" s="273"/>
    </row>
    <row r="173" spans="3:119" ht="13.5" customHeight="1">
      <c r="C173" s="273" t="s">
        <v>459</v>
      </c>
      <c r="D173" s="273"/>
      <c r="E173" s="273"/>
      <c r="F173" s="273"/>
      <c r="G173" s="273"/>
      <c r="H173" s="273"/>
      <c r="I173" s="273"/>
      <c r="J173" s="636" t="s">
        <v>536</v>
      </c>
      <c r="K173" s="636"/>
      <c r="L173" s="636"/>
      <c r="M173" s="636"/>
      <c r="N173" s="636"/>
      <c r="O173" s="636" t="s">
        <v>490</v>
      </c>
      <c r="P173" s="636"/>
      <c r="Q173" s="636"/>
      <c r="R173" s="636"/>
      <c r="S173" s="636"/>
      <c r="T173" s="636" t="s">
        <v>212</v>
      </c>
      <c r="U173" s="636"/>
      <c r="V173" s="636"/>
      <c r="W173" s="636"/>
      <c r="X173" s="636"/>
      <c r="Y173" s="636" t="s">
        <v>512</v>
      </c>
      <c r="Z173" s="636"/>
      <c r="AA173" s="636"/>
      <c r="AB173" s="636"/>
      <c r="AC173" s="636"/>
      <c r="AD173" s="636" t="s">
        <v>128</v>
      </c>
      <c r="AE173" s="636"/>
      <c r="AF173" s="636"/>
      <c r="AG173" s="636"/>
      <c r="AH173" s="636"/>
      <c r="AI173" s="636" t="s">
        <v>492</v>
      </c>
      <c r="AJ173" s="636"/>
      <c r="AK173" s="636"/>
      <c r="AL173" s="636"/>
      <c r="AM173" s="636"/>
      <c r="AN173" s="273" t="s">
        <v>719</v>
      </c>
      <c r="AO173" s="273"/>
      <c r="AP173" s="273"/>
      <c r="AQ173" s="273"/>
      <c r="AR173" s="273"/>
      <c r="AS173" s="273"/>
      <c r="AT173" s="273"/>
      <c r="AU173" s="273"/>
      <c r="AV173" s="273"/>
      <c r="AW173" s="273"/>
      <c r="AX173" s="273"/>
      <c r="AY173" s="273"/>
      <c r="AZ173" s="273"/>
      <c r="BA173" s="273"/>
      <c r="BB173" s="273"/>
      <c r="BC173" s="273"/>
      <c r="BD173" s="273"/>
      <c r="BE173" s="273"/>
      <c r="BF173" s="273"/>
      <c r="BG173" s="273"/>
      <c r="BH173" s="273" t="s">
        <v>720</v>
      </c>
      <c r="BI173" s="273"/>
      <c r="BJ173" s="273"/>
      <c r="BK173" s="273"/>
      <c r="BL173" s="273"/>
      <c r="BM173" s="273"/>
      <c r="BN173" s="273"/>
      <c r="BO173" s="273"/>
      <c r="BP173" s="273"/>
      <c r="BQ173" s="273"/>
      <c r="BR173" s="273"/>
      <c r="BS173" s="273"/>
      <c r="BT173" s="273"/>
      <c r="BU173" s="273"/>
      <c r="BV173" s="273"/>
      <c r="BW173" s="273"/>
      <c r="BX173" s="273"/>
      <c r="BY173" s="273"/>
      <c r="BZ173" s="273"/>
      <c r="CA173" s="273"/>
      <c r="CB173" s="273" t="s">
        <v>721</v>
      </c>
      <c r="CC173" s="273"/>
      <c r="CD173" s="273"/>
      <c r="CE173" s="273"/>
      <c r="CF173" s="273"/>
      <c r="CG173" s="273"/>
      <c r="CH173" s="273"/>
      <c r="CI173" s="273"/>
      <c r="CJ173" s="273"/>
      <c r="CK173" s="273"/>
      <c r="CL173" s="273"/>
      <c r="CM173" s="273"/>
      <c r="CN173" s="273"/>
      <c r="CO173" s="273"/>
      <c r="CP173" s="273"/>
      <c r="CQ173" s="273"/>
      <c r="CR173" s="273"/>
      <c r="CS173" s="273"/>
      <c r="CT173" s="273"/>
      <c r="CU173" s="273"/>
      <c r="CV173" s="273" t="s">
        <v>722</v>
      </c>
      <c r="CW173" s="273"/>
      <c r="CX173" s="273"/>
      <c r="CY173" s="273"/>
      <c r="CZ173" s="273"/>
      <c r="DA173" s="273"/>
      <c r="DB173" s="273"/>
      <c r="DC173" s="273"/>
      <c r="DD173" s="273"/>
      <c r="DE173" s="273"/>
      <c r="DF173" s="273"/>
      <c r="DG173" s="273"/>
      <c r="DH173" s="273"/>
      <c r="DI173" s="273"/>
      <c r="DJ173" s="273"/>
      <c r="DK173" s="273"/>
      <c r="DL173" s="273"/>
      <c r="DM173" s="273"/>
      <c r="DN173" s="273"/>
      <c r="DO173" s="273"/>
    </row>
    <row r="174" spans="3:119" ht="13.5" customHeight="1">
      <c r="C174" s="273" t="s">
        <v>460</v>
      </c>
      <c r="D174" s="273"/>
      <c r="E174" s="273"/>
      <c r="F174" s="273"/>
      <c r="G174" s="273"/>
      <c r="H174" s="273"/>
      <c r="I174" s="273"/>
      <c r="J174" s="636" t="s">
        <v>518</v>
      </c>
      <c r="K174" s="636"/>
      <c r="L174" s="636"/>
      <c r="M174" s="636"/>
      <c r="N174" s="636"/>
      <c r="O174" s="636" t="s">
        <v>510</v>
      </c>
      <c r="P174" s="636"/>
      <c r="Q174" s="636"/>
      <c r="R174" s="636"/>
      <c r="S174" s="636"/>
      <c r="T174" s="636" t="s">
        <v>511</v>
      </c>
      <c r="U174" s="636"/>
      <c r="V174" s="636"/>
      <c r="W174" s="636"/>
      <c r="X174" s="636"/>
      <c r="Y174" s="636" t="s">
        <v>512</v>
      </c>
      <c r="Z174" s="636"/>
      <c r="AA174" s="636"/>
      <c r="AB174" s="636"/>
      <c r="AC174" s="636"/>
      <c r="AD174" s="636" t="s">
        <v>489</v>
      </c>
      <c r="AE174" s="636"/>
      <c r="AF174" s="636"/>
      <c r="AG174" s="636"/>
      <c r="AH174" s="636"/>
      <c r="AI174" s="636" t="s">
        <v>641</v>
      </c>
      <c r="AJ174" s="636"/>
      <c r="AK174" s="636"/>
      <c r="AL174" s="636"/>
      <c r="AM174" s="636"/>
      <c r="AN174" s="273" t="s">
        <v>723</v>
      </c>
      <c r="AO174" s="273"/>
      <c r="AP174" s="273"/>
      <c r="AQ174" s="273"/>
      <c r="AR174" s="273"/>
      <c r="AS174" s="273"/>
      <c r="AT174" s="273"/>
      <c r="AU174" s="273"/>
      <c r="AV174" s="273"/>
      <c r="AW174" s="273"/>
      <c r="AX174" s="273"/>
      <c r="AY174" s="273"/>
      <c r="AZ174" s="273"/>
      <c r="BA174" s="273"/>
      <c r="BB174" s="273"/>
      <c r="BC174" s="273"/>
      <c r="BD174" s="273"/>
      <c r="BE174" s="273"/>
      <c r="BF174" s="273"/>
      <c r="BG174" s="273"/>
      <c r="BH174" s="273" t="s">
        <v>724</v>
      </c>
      <c r="BI174" s="273"/>
      <c r="BJ174" s="273"/>
      <c r="BK174" s="273"/>
      <c r="BL174" s="273"/>
      <c r="BM174" s="273"/>
      <c r="BN174" s="273"/>
      <c r="BO174" s="273"/>
      <c r="BP174" s="273"/>
      <c r="BQ174" s="273"/>
      <c r="BR174" s="273"/>
      <c r="BS174" s="273"/>
      <c r="BT174" s="273"/>
      <c r="BU174" s="273"/>
      <c r="BV174" s="273"/>
      <c r="BW174" s="273"/>
      <c r="BX174" s="273"/>
      <c r="BY174" s="273"/>
      <c r="BZ174" s="273"/>
      <c r="CA174" s="273"/>
      <c r="CB174" s="273" t="s">
        <v>725</v>
      </c>
      <c r="CC174" s="273"/>
      <c r="CD174" s="273"/>
      <c r="CE174" s="273"/>
      <c r="CF174" s="273"/>
      <c r="CG174" s="273"/>
      <c r="CH174" s="273"/>
      <c r="CI174" s="273"/>
      <c r="CJ174" s="273"/>
      <c r="CK174" s="273"/>
      <c r="CL174" s="273"/>
      <c r="CM174" s="273"/>
      <c r="CN174" s="273"/>
      <c r="CO174" s="273"/>
      <c r="CP174" s="273"/>
      <c r="CQ174" s="273"/>
      <c r="CR174" s="273"/>
      <c r="CS174" s="273"/>
      <c r="CT174" s="273"/>
      <c r="CU174" s="273"/>
      <c r="CV174" s="273" t="s">
        <v>726</v>
      </c>
      <c r="CW174" s="273"/>
      <c r="CX174" s="273"/>
      <c r="CY174" s="273"/>
      <c r="CZ174" s="273"/>
      <c r="DA174" s="273"/>
      <c r="DB174" s="273"/>
      <c r="DC174" s="273"/>
      <c r="DD174" s="273"/>
      <c r="DE174" s="273"/>
      <c r="DF174" s="273"/>
      <c r="DG174" s="273"/>
      <c r="DH174" s="273"/>
      <c r="DI174" s="273"/>
      <c r="DJ174" s="273"/>
      <c r="DK174" s="273"/>
      <c r="DL174" s="273"/>
      <c r="DM174" s="273"/>
      <c r="DN174" s="273"/>
      <c r="DO174" s="273"/>
    </row>
    <row r="175" spans="3:119" ht="13.5" customHeight="1">
      <c r="C175" s="273" t="s">
        <v>461</v>
      </c>
      <c r="D175" s="273"/>
      <c r="E175" s="273"/>
      <c r="F175" s="273"/>
      <c r="G175" s="273"/>
      <c r="H175" s="273"/>
      <c r="I175" s="273"/>
      <c r="J175" s="636" t="s">
        <v>637</v>
      </c>
      <c r="K175" s="636"/>
      <c r="L175" s="636"/>
      <c r="M175" s="636"/>
      <c r="N175" s="636"/>
      <c r="O175" s="636" t="s">
        <v>490</v>
      </c>
      <c r="P175" s="636"/>
      <c r="Q175" s="636"/>
      <c r="R175" s="636"/>
      <c r="S175" s="636"/>
      <c r="T175" s="636" t="s">
        <v>491</v>
      </c>
      <c r="U175" s="636"/>
      <c r="V175" s="636"/>
      <c r="W175" s="636"/>
      <c r="X175" s="636"/>
      <c r="Y175" s="636" t="s">
        <v>645</v>
      </c>
      <c r="Z175" s="636"/>
      <c r="AA175" s="636"/>
      <c r="AB175" s="636"/>
      <c r="AC175" s="636"/>
      <c r="AD175" s="636" t="s">
        <v>28</v>
      </c>
      <c r="AE175" s="636"/>
      <c r="AF175" s="636"/>
      <c r="AG175" s="636"/>
      <c r="AH175" s="636"/>
      <c r="AI175" s="636" t="s">
        <v>492</v>
      </c>
      <c r="AJ175" s="636"/>
      <c r="AK175" s="636"/>
      <c r="AL175" s="636"/>
      <c r="AM175" s="636"/>
      <c r="AN175" s="273" t="s">
        <v>727</v>
      </c>
      <c r="AO175" s="273"/>
      <c r="AP175" s="273"/>
      <c r="AQ175" s="273"/>
      <c r="AR175" s="273"/>
      <c r="AS175" s="273"/>
      <c r="AT175" s="273"/>
      <c r="AU175" s="273"/>
      <c r="AV175" s="273"/>
      <c r="AW175" s="273"/>
      <c r="AX175" s="273"/>
      <c r="AY175" s="273"/>
      <c r="AZ175" s="273"/>
      <c r="BA175" s="273"/>
      <c r="BB175" s="273"/>
      <c r="BC175" s="273"/>
      <c r="BD175" s="273"/>
      <c r="BE175" s="273"/>
      <c r="BF175" s="273"/>
      <c r="BG175" s="273"/>
      <c r="BH175" s="273" t="s">
        <v>729</v>
      </c>
      <c r="BI175" s="273"/>
      <c r="BJ175" s="273"/>
      <c r="BK175" s="273"/>
      <c r="BL175" s="273"/>
      <c r="BM175" s="273"/>
      <c r="BN175" s="273"/>
      <c r="BO175" s="273"/>
      <c r="BP175" s="273"/>
      <c r="BQ175" s="273"/>
      <c r="BR175" s="273"/>
      <c r="BS175" s="273"/>
      <c r="BT175" s="273"/>
      <c r="BU175" s="273"/>
      <c r="BV175" s="273"/>
      <c r="BW175" s="273"/>
      <c r="BX175" s="273"/>
      <c r="BY175" s="273"/>
      <c r="BZ175" s="273"/>
      <c r="CA175" s="273"/>
      <c r="CB175" s="273" t="s">
        <v>730</v>
      </c>
      <c r="CC175" s="273"/>
      <c r="CD175" s="273"/>
      <c r="CE175" s="273"/>
      <c r="CF175" s="273"/>
      <c r="CG175" s="273"/>
      <c r="CH175" s="273"/>
      <c r="CI175" s="273"/>
      <c r="CJ175" s="273"/>
      <c r="CK175" s="273"/>
      <c r="CL175" s="273"/>
      <c r="CM175" s="273"/>
      <c r="CN175" s="273"/>
      <c r="CO175" s="273"/>
      <c r="CP175" s="273"/>
      <c r="CQ175" s="273"/>
      <c r="CR175" s="273"/>
      <c r="CS175" s="273"/>
      <c r="CT175" s="273"/>
      <c r="CU175" s="273"/>
      <c r="CV175" s="273" t="s">
        <v>728</v>
      </c>
      <c r="CW175" s="273"/>
      <c r="CX175" s="273"/>
      <c r="CY175" s="273"/>
      <c r="CZ175" s="273"/>
      <c r="DA175" s="273"/>
      <c r="DB175" s="273"/>
      <c r="DC175" s="273"/>
      <c r="DD175" s="273"/>
      <c r="DE175" s="273"/>
      <c r="DF175" s="273"/>
      <c r="DG175" s="273"/>
      <c r="DH175" s="273"/>
      <c r="DI175" s="273"/>
      <c r="DJ175" s="273"/>
      <c r="DK175" s="273"/>
      <c r="DL175" s="273"/>
      <c r="DM175" s="273"/>
      <c r="DN175" s="273"/>
      <c r="DO175" s="273"/>
    </row>
    <row r="176" spans="3:119" ht="13.5" customHeight="1">
      <c r="C176" s="273" t="s">
        <v>462</v>
      </c>
      <c r="D176" s="273"/>
      <c r="E176" s="273"/>
      <c r="F176" s="273"/>
      <c r="G176" s="273"/>
      <c r="H176" s="273"/>
      <c r="I176" s="273"/>
      <c r="J176" s="636" t="s">
        <v>462</v>
      </c>
      <c r="K176" s="636"/>
      <c r="L176" s="636"/>
      <c r="M176" s="636"/>
      <c r="N176" s="636"/>
      <c r="O176" s="636" t="s">
        <v>510</v>
      </c>
      <c r="P176" s="636"/>
      <c r="Q176" s="636"/>
      <c r="R176" s="636"/>
      <c r="S176" s="636"/>
      <c r="T176" s="636" t="s">
        <v>511</v>
      </c>
      <c r="U176" s="636"/>
      <c r="V176" s="636"/>
      <c r="W176" s="636"/>
      <c r="X176" s="636"/>
      <c r="Y176" s="636" t="s">
        <v>512</v>
      </c>
      <c r="Z176" s="636"/>
      <c r="AA176" s="636"/>
      <c r="AB176" s="636"/>
      <c r="AC176" s="636"/>
      <c r="AD176" s="636" t="s">
        <v>489</v>
      </c>
      <c r="AE176" s="636"/>
      <c r="AF176" s="636"/>
      <c r="AG176" s="636"/>
      <c r="AH176" s="636"/>
      <c r="AI176" s="636" t="s">
        <v>492</v>
      </c>
      <c r="AJ176" s="636"/>
      <c r="AK176" s="636"/>
      <c r="AL176" s="636"/>
      <c r="AM176" s="636"/>
      <c r="AN176" s="273" t="s">
        <v>625</v>
      </c>
      <c r="AO176" s="273"/>
      <c r="AP176" s="273"/>
      <c r="AQ176" s="273"/>
      <c r="AR176" s="273"/>
      <c r="AS176" s="273"/>
      <c r="AT176" s="273"/>
      <c r="AU176" s="273"/>
      <c r="AV176" s="273"/>
      <c r="AW176" s="273"/>
      <c r="AX176" s="273"/>
      <c r="AY176" s="273"/>
      <c r="AZ176" s="273"/>
      <c r="BA176" s="273"/>
      <c r="BB176" s="273"/>
      <c r="BC176" s="273"/>
      <c r="BD176" s="273"/>
      <c r="BE176" s="273"/>
      <c r="BF176" s="273"/>
      <c r="BG176" s="273"/>
      <c r="BH176" s="273" t="s">
        <v>489</v>
      </c>
      <c r="BI176" s="273"/>
      <c r="BJ176" s="273"/>
      <c r="BK176" s="273"/>
      <c r="BL176" s="273"/>
      <c r="BM176" s="273"/>
      <c r="BN176" s="273"/>
      <c r="BO176" s="273"/>
      <c r="BP176" s="273"/>
      <c r="BQ176" s="273"/>
      <c r="BR176" s="273"/>
      <c r="BS176" s="273"/>
      <c r="BT176" s="273"/>
      <c r="BU176" s="273"/>
      <c r="BV176" s="273"/>
      <c r="BW176" s="273"/>
      <c r="BX176" s="273"/>
      <c r="BY176" s="273"/>
      <c r="BZ176" s="273"/>
      <c r="CA176" s="273"/>
      <c r="CB176" s="273" t="s">
        <v>489</v>
      </c>
      <c r="CC176" s="273"/>
      <c r="CD176" s="273"/>
      <c r="CE176" s="273"/>
      <c r="CF176" s="273"/>
      <c r="CG176" s="273"/>
      <c r="CH176" s="273"/>
      <c r="CI176" s="273"/>
      <c r="CJ176" s="273"/>
      <c r="CK176" s="273"/>
      <c r="CL176" s="273"/>
      <c r="CM176" s="273"/>
      <c r="CN176" s="273"/>
      <c r="CO176" s="273"/>
      <c r="CP176" s="273"/>
      <c r="CQ176" s="273"/>
      <c r="CR176" s="273"/>
      <c r="CS176" s="273"/>
      <c r="CT176" s="273"/>
      <c r="CU176" s="273"/>
      <c r="CV176" s="273" t="s">
        <v>489</v>
      </c>
      <c r="CW176" s="273"/>
      <c r="CX176" s="273"/>
      <c r="CY176" s="273"/>
      <c r="CZ176" s="273"/>
      <c r="DA176" s="273"/>
      <c r="DB176" s="273"/>
      <c r="DC176" s="273"/>
      <c r="DD176" s="273"/>
      <c r="DE176" s="273"/>
      <c r="DF176" s="273"/>
      <c r="DG176" s="273"/>
      <c r="DH176" s="273"/>
      <c r="DI176" s="273"/>
      <c r="DJ176" s="273"/>
      <c r="DK176" s="273"/>
      <c r="DL176" s="273"/>
      <c r="DM176" s="273"/>
      <c r="DN176" s="273"/>
      <c r="DO176" s="273"/>
    </row>
    <row r="177" spans="3:119" ht="13.5" customHeight="1">
      <c r="C177" s="273" t="s">
        <v>463</v>
      </c>
      <c r="D177" s="273"/>
      <c r="E177" s="273"/>
      <c r="F177" s="273"/>
      <c r="G177" s="273"/>
      <c r="H177" s="273"/>
      <c r="I177" s="273"/>
      <c r="J177" s="636" t="s">
        <v>424</v>
      </c>
      <c r="K177" s="636"/>
      <c r="L177" s="636"/>
      <c r="M177" s="636"/>
      <c r="N177" s="636"/>
      <c r="O177" s="636" t="s">
        <v>490</v>
      </c>
      <c r="P177" s="636"/>
      <c r="Q177" s="636"/>
      <c r="R177" s="636"/>
      <c r="S177" s="636"/>
      <c r="T177" s="636" t="s">
        <v>491</v>
      </c>
      <c r="U177" s="636"/>
      <c r="V177" s="636"/>
      <c r="W177" s="636"/>
      <c r="X177" s="636"/>
      <c r="Y177" s="636" t="s">
        <v>483</v>
      </c>
      <c r="Z177" s="636"/>
      <c r="AA177" s="636"/>
      <c r="AB177" s="636"/>
      <c r="AC177" s="636"/>
      <c r="AD177" s="636" t="s">
        <v>646</v>
      </c>
      <c r="AE177" s="636"/>
      <c r="AF177" s="636"/>
      <c r="AG177" s="636"/>
      <c r="AH177" s="636"/>
      <c r="AI177" s="636" t="s">
        <v>485</v>
      </c>
      <c r="AJ177" s="636"/>
      <c r="AK177" s="636"/>
      <c r="AL177" s="636"/>
      <c r="AM177" s="636"/>
      <c r="AN177" s="273" t="s">
        <v>731</v>
      </c>
      <c r="AO177" s="273"/>
      <c r="AP177" s="273"/>
      <c r="AQ177" s="273"/>
      <c r="AR177" s="273"/>
      <c r="AS177" s="273"/>
      <c r="AT177" s="273"/>
      <c r="AU177" s="273"/>
      <c r="AV177" s="273"/>
      <c r="AW177" s="273"/>
      <c r="AX177" s="273"/>
      <c r="AY177" s="273"/>
      <c r="AZ177" s="273"/>
      <c r="BA177" s="273"/>
      <c r="BB177" s="273"/>
      <c r="BC177" s="273"/>
      <c r="BD177" s="273"/>
      <c r="BE177" s="273"/>
      <c r="BF177" s="273"/>
      <c r="BG177" s="273"/>
      <c r="BH177" s="273" t="s">
        <v>732</v>
      </c>
      <c r="BI177" s="273"/>
      <c r="BJ177" s="273"/>
      <c r="BK177" s="273"/>
      <c r="BL177" s="273"/>
      <c r="BM177" s="273"/>
      <c r="BN177" s="273"/>
      <c r="BO177" s="273"/>
      <c r="BP177" s="273"/>
      <c r="BQ177" s="273"/>
      <c r="BR177" s="273"/>
      <c r="BS177" s="273"/>
      <c r="BT177" s="273"/>
      <c r="BU177" s="273"/>
      <c r="BV177" s="273"/>
      <c r="BW177" s="273"/>
      <c r="BX177" s="273"/>
      <c r="BY177" s="273"/>
      <c r="BZ177" s="273"/>
      <c r="CA177" s="273"/>
      <c r="CB177" s="273" t="s">
        <v>733</v>
      </c>
      <c r="CC177" s="273"/>
      <c r="CD177" s="273"/>
      <c r="CE177" s="273"/>
      <c r="CF177" s="273"/>
      <c r="CG177" s="273"/>
      <c r="CH177" s="273"/>
      <c r="CI177" s="273"/>
      <c r="CJ177" s="273"/>
      <c r="CK177" s="273"/>
      <c r="CL177" s="273"/>
      <c r="CM177" s="273"/>
      <c r="CN177" s="273"/>
      <c r="CO177" s="273"/>
      <c r="CP177" s="273"/>
      <c r="CQ177" s="273"/>
      <c r="CR177" s="273"/>
      <c r="CS177" s="273"/>
      <c r="CT177" s="273"/>
      <c r="CU177" s="273"/>
      <c r="CV177" s="273" t="s">
        <v>664</v>
      </c>
      <c r="CW177" s="273"/>
      <c r="CX177" s="273"/>
      <c r="CY177" s="273"/>
      <c r="CZ177" s="273"/>
      <c r="DA177" s="273"/>
      <c r="DB177" s="273"/>
      <c r="DC177" s="273"/>
      <c r="DD177" s="273"/>
      <c r="DE177" s="273"/>
      <c r="DF177" s="273"/>
      <c r="DG177" s="273"/>
      <c r="DH177" s="273"/>
      <c r="DI177" s="273"/>
      <c r="DJ177" s="273"/>
      <c r="DK177" s="273"/>
      <c r="DL177" s="273"/>
      <c r="DM177" s="273"/>
      <c r="DN177" s="273"/>
      <c r="DO177" s="273"/>
    </row>
    <row r="178" spans="3:119" ht="13.5" customHeight="1">
      <c r="C178" s="273" t="s">
        <v>597</v>
      </c>
      <c r="D178" s="273"/>
      <c r="E178" s="273"/>
      <c r="F178" s="273"/>
      <c r="G178" s="273"/>
      <c r="H178" s="273"/>
      <c r="I178" s="273"/>
      <c r="J178" s="636" t="s">
        <v>597</v>
      </c>
      <c r="K178" s="636"/>
      <c r="L178" s="636"/>
      <c r="M178" s="636"/>
      <c r="N178" s="636"/>
      <c r="O178" s="636" t="s">
        <v>489</v>
      </c>
      <c r="P178" s="636"/>
      <c r="Q178" s="636"/>
      <c r="R178" s="636"/>
      <c r="S178" s="636"/>
      <c r="T178" s="636" t="s">
        <v>489</v>
      </c>
      <c r="U178" s="636"/>
      <c r="V178" s="636"/>
      <c r="W178" s="636"/>
      <c r="X178" s="636"/>
      <c r="Y178" s="636" t="s">
        <v>489</v>
      </c>
      <c r="Z178" s="636"/>
      <c r="AA178" s="636"/>
      <c r="AB178" s="636"/>
      <c r="AC178" s="636"/>
      <c r="AD178" s="636" t="s">
        <v>489</v>
      </c>
      <c r="AE178" s="636"/>
      <c r="AF178" s="636"/>
      <c r="AG178" s="636"/>
      <c r="AH178" s="636"/>
      <c r="AI178" s="636" t="s">
        <v>791</v>
      </c>
      <c r="AJ178" s="636"/>
      <c r="AK178" s="636"/>
      <c r="AL178" s="636"/>
      <c r="AM178" s="636"/>
      <c r="AN178" s="273" t="s">
        <v>792</v>
      </c>
      <c r="AO178" s="273"/>
      <c r="AP178" s="273"/>
      <c r="AQ178" s="273"/>
      <c r="AR178" s="273"/>
      <c r="AS178" s="273"/>
      <c r="AT178" s="273"/>
      <c r="AU178" s="273"/>
      <c r="AV178" s="273"/>
      <c r="AW178" s="273"/>
      <c r="AX178" s="273"/>
      <c r="AY178" s="273"/>
      <c r="AZ178" s="273"/>
      <c r="BA178" s="273"/>
      <c r="BB178" s="273"/>
      <c r="BC178" s="273"/>
      <c r="BD178" s="273"/>
      <c r="BE178" s="273"/>
      <c r="BF178" s="273"/>
      <c r="BG178" s="273"/>
      <c r="BH178" s="273" t="s">
        <v>489</v>
      </c>
      <c r="BI178" s="273"/>
      <c r="BJ178" s="273"/>
      <c r="BK178" s="273"/>
      <c r="BL178" s="273"/>
      <c r="BM178" s="273"/>
      <c r="BN178" s="273"/>
      <c r="BO178" s="273"/>
      <c r="BP178" s="273"/>
      <c r="BQ178" s="273"/>
      <c r="BR178" s="273"/>
      <c r="BS178" s="273"/>
      <c r="BT178" s="273"/>
      <c r="BU178" s="273"/>
      <c r="BV178" s="273"/>
      <c r="BW178" s="273"/>
      <c r="BX178" s="273"/>
      <c r="BY178" s="273"/>
      <c r="BZ178" s="273"/>
      <c r="CA178" s="273"/>
      <c r="CB178" s="273" t="s">
        <v>489</v>
      </c>
      <c r="CC178" s="273"/>
      <c r="CD178" s="273"/>
      <c r="CE178" s="273"/>
      <c r="CF178" s="273"/>
      <c r="CG178" s="273"/>
      <c r="CH178" s="273"/>
      <c r="CI178" s="273"/>
      <c r="CJ178" s="273"/>
      <c r="CK178" s="273"/>
      <c r="CL178" s="273"/>
      <c r="CM178" s="273"/>
      <c r="CN178" s="273"/>
      <c r="CO178" s="273"/>
      <c r="CP178" s="273"/>
      <c r="CQ178" s="273"/>
      <c r="CR178" s="273"/>
      <c r="CS178" s="273"/>
      <c r="CT178" s="273"/>
      <c r="CU178" s="273"/>
      <c r="CV178" s="273" t="s">
        <v>489</v>
      </c>
      <c r="CW178" s="273"/>
      <c r="CX178" s="273"/>
      <c r="CY178" s="273"/>
      <c r="CZ178" s="273"/>
      <c r="DA178" s="273"/>
      <c r="DB178" s="273"/>
      <c r="DC178" s="273"/>
      <c r="DD178" s="273"/>
      <c r="DE178" s="273"/>
      <c r="DF178" s="273"/>
      <c r="DG178" s="273"/>
      <c r="DH178" s="273"/>
      <c r="DI178" s="273"/>
      <c r="DJ178" s="273"/>
      <c r="DK178" s="273"/>
      <c r="DL178" s="273"/>
      <c r="DM178" s="273"/>
      <c r="DN178" s="273"/>
      <c r="DO178" s="273"/>
    </row>
    <row r="179" spans="3:119" ht="13.5" customHeight="1">
      <c r="C179" s="273" t="s">
        <v>464</v>
      </c>
      <c r="D179" s="273"/>
      <c r="E179" s="273"/>
      <c r="F179" s="273"/>
      <c r="G179" s="273"/>
      <c r="H179" s="273"/>
      <c r="I179" s="273"/>
      <c r="J179" s="636" t="s">
        <v>518</v>
      </c>
      <c r="K179" s="636"/>
      <c r="L179" s="636"/>
      <c r="M179" s="636"/>
      <c r="N179" s="636"/>
      <c r="O179" s="636" t="s">
        <v>510</v>
      </c>
      <c r="P179" s="636"/>
      <c r="Q179" s="636"/>
      <c r="R179" s="636"/>
      <c r="S179" s="636"/>
      <c r="T179" s="636" t="s">
        <v>511</v>
      </c>
      <c r="U179" s="636"/>
      <c r="V179" s="636"/>
      <c r="W179" s="636"/>
      <c r="X179" s="636"/>
      <c r="Y179" s="636" t="s">
        <v>512</v>
      </c>
      <c r="Z179" s="636"/>
      <c r="AA179" s="636"/>
      <c r="AB179" s="636"/>
      <c r="AC179" s="636"/>
      <c r="AD179" s="636" t="s">
        <v>489</v>
      </c>
      <c r="AE179" s="636"/>
      <c r="AF179" s="636"/>
      <c r="AG179" s="636"/>
      <c r="AH179" s="636"/>
      <c r="AI179" s="636" t="s">
        <v>485</v>
      </c>
      <c r="AJ179" s="636"/>
      <c r="AK179" s="636"/>
      <c r="AL179" s="636"/>
      <c r="AM179" s="636"/>
      <c r="AN179" s="273" t="s">
        <v>734</v>
      </c>
      <c r="AO179" s="273"/>
      <c r="AP179" s="273"/>
      <c r="AQ179" s="273"/>
      <c r="AR179" s="273"/>
      <c r="AS179" s="273"/>
      <c r="AT179" s="273"/>
      <c r="AU179" s="273"/>
      <c r="AV179" s="273"/>
      <c r="AW179" s="273"/>
      <c r="AX179" s="273"/>
      <c r="AY179" s="273"/>
      <c r="AZ179" s="273"/>
      <c r="BA179" s="273"/>
      <c r="BB179" s="273"/>
      <c r="BC179" s="273"/>
      <c r="BD179" s="273"/>
      <c r="BE179" s="273"/>
      <c r="BF179" s="273"/>
      <c r="BG179" s="273"/>
      <c r="BH179" s="273" t="s">
        <v>489</v>
      </c>
      <c r="BI179" s="273"/>
      <c r="BJ179" s="273"/>
      <c r="BK179" s="273"/>
      <c r="BL179" s="273"/>
      <c r="BM179" s="273"/>
      <c r="BN179" s="273"/>
      <c r="BO179" s="273"/>
      <c r="BP179" s="273"/>
      <c r="BQ179" s="273"/>
      <c r="BR179" s="273"/>
      <c r="BS179" s="273"/>
      <c r="BT179" s="273"/>
      <c r="BU179" s="273"/>
      <c r="BV179" s="273"/>
      <c r="BW179" s="273"/>
      <c r="BX179" s="273"/>
      <c r="BY179" s="273"/>
      <c r="BZ179" s="273"/>
      <c r="CA179" s="273"/>
      <c r="CB179" s="273" t="s">
        <v>489</v>
      </c>
      <c r="CC179" s="273"/>
      <c r="CD179" s="273"/>
      <c r="CE179" s="273"/>
      <c r="CF179" s="273"/>
      <c r="CG179" s="273"/>
      <c r="CH179" s="273"/>
      <c r="CI179" s="273"/>
      <c r="CJ179" s="273"/>
      <c r="CK179" s="273"/>
      <c r="CL179" s="273"/>
      <c r="CM179" s="273"/>
      <c r="CN179" s="273"/>
      <c r="CO179" s="273"/>
      <c r="CP179" s="273"/>
      <c r="CQ179" s="273"/>
      <c r="CR179" s="273"/>
      <c r="CS179" s="273"/>
      <c r="CT179" s="273"/>
      <c r="CU179" s="273"/>
      <c r="CV179" s="273" t="s">
        <v>489</v>
      </c>
      <c r="CW179" s="273"/>
      <c r="CX179" s="273"/>
      <c r="CY179" s="273"/>
      <c r="CZ179" s="273"/>
      <c r="DA179" s="273"/>
      <c r="DB179" s="273"/>
      <c r="DC179" s="273"/>
      <c r="DD179" s="273"/>
      <c r="DE179" s="273"/>
      <c r="DF179" s="273"/>
      <c r="DG179" s="273"/>
      <c r="DH179" s="273"/>
      <c r="DI179" s="273"/>
      <c r="DJ179" s="273"/>
      <c r="DK179" s="273"/>
      <c r="DL179" s="273"/>
      <c r="DM179" s="273"/>
      <c r="DN179" s="273"/>
      <c r="DO179" s="273"/>
    </row>
    <row r="180" spans="3:119" ht="13.5" customHeight="1">
      <c r="C180" s="273" t="s">
        <v>465</v>
      </c>
      <c r="D180" s="273"/>
      <c r="E180" s="273"/>
      <c r="F180" s="273"/>
      <c r="G180" s="273"/>
      <c r="H180" s="273"/>
      <c r="I180" s="273"/>
      <c r="J180" s="636" t="s">
        <v>527</v>
      </c>
      <c r="K180" s="636"/>
      <c r="L180" s="636"/>
      <c r="M180" s="636"/>
      <c r="N180" s="636"/>
      <c r="O180" s="636" t="s">
        <v>524</v>
      </c>
      <c r="P180" s="636"/>
      <c r="Q180" s="636"/>
      <c r="R180" s="636"/>
      <c r="S180" s="636"/>
      <c r="T180" s="636" t="s">
        <v>511</v>
      </c>
      <c r="U180" s="636"/>
      <c r="V180" s="636"/>
      <c r="W180" s="636"/>
      <c r="X180" s="636"/>
      <c r="Y180" s="636" t="s">
        <v>528</v>
      </c>
      <c r="Z180" s="636"/>
      <c r="AA180" s="636"/>
      <c r="AB180" s="636"/>
      <c r="AC180" s="636"/>
      <c r="AD180" s="636" t="s">
        <v>489</v>
      </c>
      <c r="AE180" s="636"/>
      <c r="AF180" s="636"/>
      <c r="AG180" s="636"/>
      <c r="AH180" s="636"/>
      <c r="AI180" s="636" t="s">
        <v>485</v>
      </c>
      <c r="AJ180" s="636"/>
      <c r="AK180" s="636"/>
      <c r="AL180" s="636"/>
      <c r="AM180" s="636"/>
      <c r="AN180" s="273" t="s">
        <v>529</v>
      </c>
      <c r="AO180" s="273"/>
      <c r="AP180" s="273"/>
      <c r="AQ180" s="273"/>
      <c r="AR180" s="273"/>
      <c r="AS180" s="273"/>
      <c r="AT180" s="273"/>
      <c r="AU180" s="273"/>
      <c r="AV180" s="273"/>
      <c r="AW180" s="273"/>
      <c r="AX180" s="273"/>
      <c r="AY180" s="273"/>
      <c r="AZ180" s="273"/>
      <c r="BA180" s="273"/>
      <c r="BB180" s="273"/>
      <c r="BC180" s="273"/>
      <c r="BD180" s="273"/>
      <c r="BE180" s="273"/>
      <c r="BF180" s="273"/>
      <c r="BG180" s="273"/>
      <c r="BH180" s="273" t="s">
        <v>489</v>
      </c>
      <c r="BI180" s="273"/>
      <c r="BJ180" s="273"/>
      <c r="BK180" s="273"/>
      <c r="BL180" s="273"/>
      <c r="BM180" s="273"/>
      <c r="BN180" s="273"/>
      <c r="BO180" s="273"/>
      <c r="BP180" s="273"/>
      <c r="BQ180" s="273"/>
      <c r="BR180" s="273"/>
      <c r="BS180" s="273"/>
      <c r="BT180" s="273"/>
      <c r="BU180" s="273"/>
      <c r="BV180" s="273"/>
      <c r="BW180" s="273"/>
      <c r="BX180" s="273"/>
      <c r="BY180" s="273"/>
      <c r="BZ180" s="273"/>
      <c r="CA180" s="273"/>
      <c r="CB180" s="273" t="s">
        <v>530</v>
      </c>
      <c r="CC180" s="273"/>
      <c r="CD180" s="273"/>
      <c r="CE180" s="273"/>
      <c r="CF180" s="273"/>
      <c r="CG180" s="273"/>
      <c r="CH180" s="273"/>
      <c r="CI180" s="273"/>
      <c r="CJ180" s="273"/>
      <c r="CK180" s="273"/>
      <c r="CL180" s="273"/>
      <c r="CM180" s="273"/>
      <c r="CN180" s="273"/>
      <c r="CO180" s="273"/>
      <c r="CP180" s="273"/>
      <c r="CQ180" s="273"/>
      <c r="CR180" s="273"/>
      <c r="CS180" s="273"/>
      <c r="CT180" s="273"/>
      <c r="CU180" s="273"/>
      <c r="CV180" s="273" t="s">
        <v>489</v>
      </c>
      <c r="CW180" s="273"/>
      <c r="CX180" s="273"/>
      <c r="CY180" s="273"/>
      <c r="CZ180" s="273"/>
      <c r="DA180" s="273"/>
      <c r="DB180" s="273"/>
      <c r="DC180" s="273"/>
      <c r="DD180" s="273"/>
      <c r="DE180" s="273"/>
      <c r="DF180" s="273"/>
      <c r="DG180" s="273"/>
      <c r="DH180" s="273"/>
      <c r="DI180" s="273"/>
      <c r="DJ180" s="273"/>
      <c r="DK180" s="273"/>
      <c r="DL180" s="273"/>
      <c r="DM180" s="273"/>
      <c r="DN180" s="273"/>
      <c r="DO180" s="273"/>
    </row>
    <row r="181" spans="3:119" ht="13.5" customHeight="1">
      <c r="C181" s="273" t="s">
        <v>466</v>
      </c>
      <c r="D181" s="273"/>
      <c r="E181" s="273"/>
      <c r="F181" s="273"/>
      <c r="G181" s="273"/>
      <c r="H181" s="273"/>
      <c r="I181" s="273"/>
      <c r="J181" s="636" t="s">
        <v>518</v>
      </c>
      <c r="K181" s="636"/>
      <c r="L181" s="636"/>
      <c r="M181" s="636"/>
      <c r="N181" s="636"/>
      <c r="O181" s="636" t="s">
        <v>510</v>
      </c>
      <c r="P181" s="636"/>
      <c r="Q181" s="636"/>
      <c r="R181" s="636"/>
      <c r="S181" s="636"/>
      <c r="T181" s="636" t="s">
        <v>511</v>
      </c>
      <c r="U181" s="636"/>
      <c r="V181" s="636"/>
      <c r="W181" s="636"/>
      <c r="X181" s="636"/>
      <c r="Y181" s="636" t="s">
        <v>512</v>
      </c>
      <c r="Z181" s="636"/>
      <c r="AA181" s="636"/>
      <c r="AB181" s="636"/>
      <c r="AC181" s="636"/>
      <c r="AD181" s="636" t="s">
        <v>489</v>
      </c>
      <c r="AE181" s="636"/>
      <c r="AF181" s="636"/>
      <c r="AG181" s="636"/>
      <c r="AH181" s="636"/>
      <c r="AI181" s="636" t="s">
        <v>485</v>
      </c>
      <c r="AJ181" s="636"/>
      <c r="AK181" s="636"/>
      <c r="AL181" s="636"/>
      <c r="AM181" s="636"/>
      <c r="AN181" s="273" t="s">
        <v>519</v>
      </c>
      <c r="AO181" s="273"/>
      <c r="AP181" s="273"/>
      <c r="AQ181" s="273"/>
      <c r="AR181" s="273"/>
      <c r="AS181" s="273"/>
      <c r="AT181" s="273"/>
      <c r="AU181" s="273"/>
      <c r="AV181" s="273"/>
      <c r="AW181" s="273"/>
      <c r="AX181" s="273"/>
      <c r="AY181" s="273"/>
      <c r="AZ181" s="273"/>
      <c r="BA181" s="273"/>
      <c r="BB181" s="273"/>
      <c r="BC181" s="273"/>
      <c r="BD181" s="273"/>
      <c r="BE181" s="273"/>
      <c r="BF181" s="273"/>
      <c r="BG181" s="273"/>
      <c r="BH181" s="273" t="s">
        <v>489</v>
      </c>
      <c r="BI181" s="273"/>
      <c r="BJ181" s="273"/>
      <c r="BK181" s="273"/>
      <c r="BL181" s="273"/>
      <c r="BM181" s="273"/>
      <c r="BN181" s="273"/>
      <c r="BO181" s="273"/>
      <c r="BP181" s="273"/>
      <c r="BQ181" s="273"/>
      <c r="BR181" s="273"/>
      <c r="BS181" s="273"/>
      <c r="BT181" s="273"/>
      <c r="BU181" s="273"/>
      <c r="BV181" s="273"/>
      <c r="BW181" s="273"/>
      <c r="BX181" s="273"/>
      <c r="BY181" s="273"/>
      <c r="BZ181" s="273"/>
      <c r="CA181" s="273"/>
      <c r="CB181" s="273" t="s">
        <v>520</v>
      </c>
      <c r="CC181" s="273"/>
      <c r="CD181" s="273"/>
      <c r="CE181" s="273"/>
      <c r="CF181" s="273"/>
      <c r="CG181" s="273"/>
      <c r="CH181" s="273"/>
      <c r="CI181" s="273"/>
      <c r="CJ181" s="273"/>
      <c r="CK181" s="273"/>
      <c r="CL181" s="273"/>
      <c r="CM181" s="273"/>
      <c r="CN181" s="273"/>
      <c r="CO181" s="273"/>
      <c r="CP181" s="273"/>
      <c r="CQ181" s="273"/>
      <c r="CR181" s="273"/>
      <c r="CS181" s="273"/>
      <c r="CT181" s="273"/>
      <c r="CU181" s="273"/>
      <c r="CV181" s="273" t="s">
        <v>489</v>
      </c>
      <c r="CW181" s="273"/>
      <c r="CX181" s="273"/>
      <c r="CY181" s="273"/>
      <c r="CZ181" s="273"/>
      <c r="DA181" s="273"/>
      <c r="DB181" s="273"/>
      <c r="DC181" s="273"/>
      <c r="DD181" s="273"/>
      <c r="DE181" s="273"/>
      <c r="DF181" s="273"/>
      <c r="DG181" s="273"/>
      <c r="DH181" s="273"/>
      <c r="DI181" s="273"/>
      <c r="DJ181" s="273"/>
      <c r="DK181" s="273"/>
      <c r="DL181" s="273"/>
      <c r="DM181" s="273"/>
      <c r="DN181" s="273"/>
      <c r="DO181" s="273"/>
    </row>
    <row r="182" spans="3:119" ht="13.5" customHeight="1">
      <c r="C182" s="273" t="s">
        <v>922</v>
      </c>
      <c r="D182" s="273"/>
      <c r="E182" s="273"/>
      <c r="F182" s="273"/>
      <c r="G182" s="273"/>
      <c r="H182" s="273"/>
      <c r="I182" s="273"/>
      <c r="J182" s="636" t="s">
        <v>424</v>
      </c>
      <c r="K182" s="636"/>
      <c r="L182" s="636"/>
      <c r="M182" s="636"/>
      <c r="N182" s="636"/>
      <c r="O182" s="636" t="s">
        <v>490</v>
      </c>
      <c r="P182" s="636"/>
      <c r="Q182" s="636"/>
      <c r="R182" s="636"/>
      <c r="S182" s="636"/>
      <c r="T182" s="636" t="s">
        <v>491</v>
      </c>
      <c r="U182" s="636"/>
      <c r="V182" s="636"/>
      <c r="W182" s="636"/>
      <c r="X182" s="636"/>
      <c r="Y182" s="636" t="s">
        <v>483</v>
      </c>
      <c r="Z182" s="636"/>
      <c r="AA182" s="636"/>
      <c r="AB182" s="636"/>
      <c r="AC182" s="636"/>
      <c r="AD182" s="636" t="s">
        <v>484</v>
      </c>
      <c r="AE182" s="636"/>
      <c r="AF182" s="636"/>
      <c r="AG182" s="636"/>
      <c r="AH182" s="636"/>
      <c r="AI182" s="636" t="s">
        <v>492</v>
      </c>
      <c r="AJ182" s="636"/>
      <c r="AK182" s="636"/>
      <c r="AL182" s="636"/>
      <c r="AM182" s="636"/>
      <c r="AN182" s="273" t="s">
        <v>486</v>
      </c>
      <c r="AO182" s="273"/>
      <c r="AP182" s="273"/>
      <c r="AQ182" s="273"/>
      <c r="AR182" s="273"/>
      <c r="AS182" s="273"/>
      <c r="AT182" s="273"/>
      <c r="AU182" s="273"/>
      <c r="AV182" s="273"/>
      <c r="AW182" s="273"/>
      <c r="AX182" s="273"/>
      <c r="AY182" s="273"/>
      <c r="AZ182" s="273"/>
      <c r="BA182" s="273"/>
      <c r="BB182" s="273"/>
      <c r="BC182" s="273"/>
      <c r="BD182" s="273"/>
      <c r="BE182" s="273"/>
      <c r="BF182" s="273"/>
      <c r="BG182" s="273"/>
      <c r="BH182" s="273" t="s">
        <v>487</v>
      </c>
      <c r="BI182" s="273"/>
      <c r="BJ182" s="273"/>
      <c r="BK182" s="273"/>
      <c r="BL182" s="273"/>
      <c r="BM182" s="273"/>
      <c r="BN182" s="273"/>
      <c r="BO182" s="273"/>
      <c r="BP182" s="273"/>
      <c r="BQ182" s="273"/>
      <c r="BR182" s="273"/>
      <c r="BS182" s="273"/>
      <c r="BT182" s="273"/>
      <c r="BU182" s="273"/>
      <c r="BV182" s="273"/>
      <c r="BW182" s="273"/>
      <c r="BX182" s="273"/>
      <c r="BY182" s="273"/>
      <c r="BZ182" s="273"/>
      <c r="CA182" s="273"/>
      <c r="CB182" s="273" t="s">
        <v>488</v>
      </c>
      <c r="CC182" s="273"/>
      <c r="CD182" s="273"/>
      <c r="CE182" s="273"/>
      <c r="CF182" s="273"/>
      <c r="CG182" s="273"/>
      <c r="CH182" s="273"/>
      <c r="CI182" s="273"/>
      <c r="CJ182" s="273"/>
      <c r="CK182" s="273"/>
      <c r="CL182" s="273"/>
      <c r="CM182" s="273"/>
      <c r="CN182" s="273"/>
      <c r="CO182" s="273"/>
      <c r="CP182" s="273"/>
      <c r="CQ182" s="273"/>
      <c r="CR182" s="273"/>
      <c r="CS182" s="273"/>
      <c r="CT182" s="273"/>
      <c r="CU182" s="273"/>
      <c r="CV182" s="273" t="s">
        <v>489</v>
      </c>
      <c r="CW182" s="273"/>
      <c r="CX182" s="273"/>
      <c r="CY182" s="273"/>
      <c r="CZ182" s="273"/>
      <c r="DA182" s="273"/>
      <c r="DB182" s="273"/>
      <c r="DC182" s="273"/>
      <c r="DD182" s="273"/>
      <c r="DE182" s="273"/>
      <c r="DF182" s="273"/>
      <c r="DG182" s="273"/>
      <c r="DH182" s="273"/>
      <c r="DI182" s="273"/>
      <c r="DJ182" s="273"/>
      <c r="DK182" s="273"/>
      <c r="DL182" s="273"/>
      <c r="DM182" s="273"/>
      <c r="DN182" s="273"/>
      <c r="DO182" s="273"/>
    </row>
    <row r="183" spans="3:119" ht="13.5" customHeight="1">
      <c r="C183" s="273" t="s">
        <v>878</v>
      </c>
      <c r="D183" s="273"/>
      <c r="E183" s="273"/>
      <c r="F183" s="273"/>
      <c r="G183" s="273"/>
      <c r="H183" s="273"/>
      <c r="I183" s="273"/>
      <c r="J183" s="636" t="s">
        <v>424</v>
      </c>
      <c r="K183" s="636"/>
      <c r="L183" s="636"/>
      <c r="M183" s="636"/>
      <c r="N183" s="636"/>
      <c r="O183" s="636" t="s">
        <v>490</v>
      </c>
      <c r="P183" s="636"/>
      <c r="Q183" s="636"/>
      <c r="R183" s="636"/>
      <c r="S183" s="636"/>
      <c r="T183" s="636" t="s">
        <v>491</v>
      </c>
      <c r="U183" s="636"/>
      <c r="V183" s="636"/>
      <c r="W183" s="636"/>
      <c r="X183" s="636"/>
      <c r="Y183" s="636" t="s">
        <v>483</v>
      </c>
      <c r="Z183" s="636"/>
      <c r="AA183" s="636"/>
      <c r="AB183" s="636"/>
      <c r="AC183" s="636"/>
      <c r="AD183" s="636" t="s">
        <v>127</v>
      </c>
      <c r="AE183" s="636"/>
      <c r="AF183" s="636"/>
      <c r="AG183" s="636"/>
      <c r="AH183" s="636"/>
      <c r="AI183" s="636" t="s">
        <v>492</v>
      </c>
      <c r="AJ183" s="636"/>
      <c r="AK183" s="636"/>
      <c r="AL183" s="636"/>
      <c r="AM183" s="636"/>
      <c r="AN183" s="273" t="s">
        <v>493</v>
      </c>
      <c r="AO183" s="273"/>
      <c r="AP183" s="273"/>
      <c r="AQ183" s="273"/>
      <c r="AR183" s="273"/>
      <c r="AS183" s="273"/>
      <c r="AT183" s="273"/>
      <c r="AU183" s="273"/>
      <c r="AV183" s="273"/>
      <c r="AW183" s="273"/>
      <c r="AX183" s="273"/>
      <c r="AY183" s="273"/>
      <c r="AZ183" s="273"/>
      <c r="BA183" s="273"/>
      <c r="BB183" s="273"/>
      <c r="BC183" s="273"/>
      <c r="BD183" s="273"/>
      <c r="BE183" s="273"/>
      <c r="BF183" s="273"/>
      <c r="BG183" s="273"/>
      <c r="BH183" s="273" t="s">
        <v>489</v>
      </c>
      <c r="BI183" s="273"/>
      <c r="BJ183" s="273"/>
      <c r="BK183" s="273"/>
      <c r="BL183" s="273"/>
      <c r="BM183" s="273"/>
      <c r="BN183" s="273"/>
      <c r="BO183" s="273"/>
      <c r="BP183" s="273"/>
      <c r="BQ183" s="273"/>
      <c r="BR183" s="273"/>
      <c r="BS183" s="273"/>
      <c r="BT183" s="273"/>
      <c r="BU183" s="273"/>
      <c r="BV183" s="273"/>
      <c r="BW183" s="273"/>
      <c r="BX183" s="273"/>
      <c r="BY183" s="273"/>
      <c r="BZ183" s="273"/>
      <c r="CA183" s="273"/>
      <c r="CB183" s="273" t="s">
        <v>489</v>
      </c>
      <c r="CC183" s="273"/>
      <c r="CD183" s="273"/>
      <c r="CE183" s="273"/>
      <c r="CF183" s="273"/>
      <c r="CG183" s="273"/>
      <c r="CH183" s="273"/>
      <c r="CI183" s="273"/>
      <c r="CJ183" s="273"/>
      <c r="CK183" s="273"/>
      <c r="CL183" s="273"/>
      <c r="CM183" s="273"/>
      <c r="CN183" s="273"/>
      <c r="CO183" s="273"/>
      <c r="CP183" s="273"/>
      <c r="CQ183" s="273"/>
      <c r="CR183" s="273"/>
      <c r="CS183" s="273"/>
      <c r="CT183" s="273"/>
      <c r="CU183" s="273"/>
      <c r="CV183" s="273" t="s">
        <v>489</v>
      </c>
      <c r="CW183" s="273"/>
      <c r="CX183" s="273"/>
      <c r="CY183" s="273"/>
      <c r="CZ183" s="273"/>
      <c r="DA183" s="273"/>
      <c r="DB183" s="273"/>
      <c r="DC183" s="273"/>
      <c r="DD183" s="273"/>
      <c r="DE183" s="273"/>
      <c r="DF183" s="273"/>
      <c r="DG183" s="273"/>
      <c r="DH183" s="273"/>
      <c r="DI183" s="273"/>
      <c r="DJ183" s="273"/>
      <c r="DK183" s="273"/>
      <c r="DL183" s="273"/>
      <c r="DM183" s="273"/>
      <c r="DN183" s="273"/>
      <c r="DO183" s="273"/>
    </row>
    <row r="184" spans="3:119" ht="13.5" customHeight="1">
      <c r="C184" s="273" t="s">
        <v>467</v>
      </c>
      <c r="D184" s="273"/>
      <c r="E184" s="273"/>
      <c r="F184" s="273"/>
      <c r="G184" s="273"/>
      <c r="H184" s="273"/>
      <c r="I184" s="273"/>
      <c r="J184" s="636" t="s">
        <v>527</v>
      </c>
      <c r="K184" s="636"/>
      <c r="L184" s="636"/>
      <c r="M184" s="636"/>
      <c r="N184" s="636"/>
      <c r="O184" s="636" t="s">
        <v>524</v>
      </c>
      <c r="P184" s="636"/>
      <c r="Q184" s="636"/>
      <c r="R184" s="636"/>
      <c r="S184" s="636"/>
      <c r="T184" s="636" t="s">
        <v>511</v>
      </c>
      <c r="U184" s="636"/>
      <c r="V184" s="636"/>
      <c r="W184" s="636"/>
      <c r="X184" s="636"/>
      <c r="Y184" s="636" t="s">
        <v>528</v>
      </c>
      <c r="Z184" s="636"/>
      <c r="AA184" s="636"/>
      <c r="AB184" s="636"/>
      <c r="AC184" s="636"/>
      <c r="AD184" s="636" t="s">
        <v>489</v>
      </c>
      <c r="AE184" s="636"/>
      <c r="AF184" s="636"/>
      <c r="AG184" s="636"/>
      <c r="AH184" s="636"/>
      <c r="AI184" s="636" t="s">
        <v>485</v>
      </c>
      <c r="AJ184" s="636"/>
      <c r="AK184" s="636"/>
      <c r="AL184" s="636"/>
      <c r="AM184" s="636"/>
      <c r="AN184" s="273" t="s">
        <v>735</v>
      </c>
      <c r="AO184" s="273"/>
      <c r="AP184" s="273"/>
      <c r="AQ184" s="273"/>
      <c r="AR184" s="273"/>
      <c r="AS184" s="273"/>
      <c r="AT184" s="273"/>
      <c r="AU184" s="273"/>
      <c r="AV184" s="273"/>
      <c r="AW184" s="273"/>
      <c r="AX184" s="273"/>
      <c r="AY184" s="273"/>
      <c r="AZ184" s="273"/>
      <c r="BA184" s="273"/>
      <c r="BB184" s="273"/>
      <c r="BC184" s="273"/>
      <c r="BD184" s="273"/>
      <c r="BE184" s="273"/>
      <c r="BF184" s="273"/>
      <c r="BG184" s="273"/>
      <c r="BH184" s="273" t="s">
        <v>736</v>
      </c>
      <c r="BI184" s="273"/>
      <c r="BJ184" s="273"/>
      <c r="BK184" s="273"/>
      <c r="BL184" s="273"/>
      <c r="BM184" s="273"/>
      <c r="BN184" s="273"/>
      <c r="BO184" s="273"/>
      <c r="BP184" s="273"/>
      <c r="BQ184" s="273"/>
      <c r="BR184" s="273"/>
      <c r="BS184" s="273"/>
      <c r="BT184" s="273"/>
      <c r="BU184" s="273"/>
      <c r="BV184" s="273"/>
      <c r="BW184" s="273"/>
      <c r="BX184" s="273"/>
      <c r="BY184" s="273"/>
      <c r="BZ184" s="273"/>
      <c r="CA184" s="273"/>
      <c r="CB184" s="273" t="s">
        <v>737</v>
      </c>
      <c r="CC184" s="273"/>
      <c r="CD184" s="273"/>
      <c r="CE184" s="273"/>
      <c r="CF184" s="273"/>
      <c r="CG184" s="273"/>
      <c r="CH184" s="273"/>
      <c r="CI184" s="273"/>
      <c r="CJ184" s="273"/>
      <c r="CK184" s="273"/>
      <c r="CL184" s="273"/>
      <c r="CM184" s="273"/>
      <c r="CN184" s="273"/>
      <c r="CO184" s="273"/>
      <c r="CP184" s="273"/>
      <c r="CQ184" s="273"/>
      <c r="CR184" s="273"/>
      <c r="CS184" s="273"/>
      <c r="CT184" s="273"/>
      <c r="CU184" s="273"/>
      <c r="CV184" s="273" t="s">
        <v>489</v>
      </c>
      <c r="CW184" s="273"/>
      <c r="CX184" s="273"/>
      <c r="CY184" s="273"/>
      <c r="CZ184" s="273"/>
      <c r="DA184" s="273"/>
      <c r="DB184" s="273"/>
      <c r="DC184" s="273"/>
      <c r="DD184" s="273"/>
      <c r="DE184" s="273"/>
      <c r="DF184" s="273"/>
      <c r="DG184" s="273"/>
      <c r="DH184" s="273"/>
      <c r="DI184" s="273"/>
      <c r="DJ184" s="273"/>
      <c r="DK184" s="273"/>
      <c r="DL184" s="273"/>
      <c r="DM184" s="273"/>
      <c r="DN184" s="273"/>
      <c r="DO184" s="273"/>
    </row>
    <row r="185" spans="3:119" ht="13.5" customHeight="1">
      <c r="C185" s="273" t="s">
        <v>413</v>
      </c>
      <c r="D185" s="273"/>
      <c r="E185" s="273"/>
      <c r="F185" s="273"/>
      <c r="G185" s="273"/>
      <c r="H185" s="273"/>
      <c r="I185" s="273"/>
      <c r="J185" s="636" t="s">
        <v>536</v>
      </c>
      <c r="K185" s="636"/>
      <c r="L185" s="636"/>
      <c r="M185" s="636"/>
      <c r="N185" s="636"/>
      <c r="O185" s="636" t="s">
        <v>510</v>
      </c>
      <c r="P185" s="636"/>
      <c r="Q185" s="636"/>
      <c r="R185" s="636"/>
      <c r="S185" s="636"/>
      <c r="T185" s="636" t="s">
        <v>635</v>
      </c>
      <c r="U185" s="636"/>
      <c r="V185" s="636"/>
      <c r="W185" s="636"/>
      <c r="X185" s="636"/>
      <c r="Y185" s="636" t="s">
        <v>512</v>
      </c>
      <c r="Z185" s="636"/>
      <c r="AA185" s="636"/>
      <c r="AB185" s="636"/>
      <c r="AC185" s="636"/>
      <c r="AD185" s="636" t="s">
        <v>489</v>
      </c>
      <c r="AE185" s="636"/>
      <c r="AF185" s="636"/>
      <c r="AG185" s="636"/>
      <c r="AH185" s="636"/>
      <c r="AI185" s="636" t="s">
        <v>647</v>
      </c>
      <c r="AJ185" s="636"/>
      <c r="AK185" s="636"/>
      <c r="AL185" s="636"/>
      <c r="AM185" s="636"/>
      <c r="AN185" s="273" t="s">
        <v>738</v>
      </c>
      <c r="AO185" s="273"/>
      <c r="AP185" s="273"/>
      <c r="AQ185" s="273"/>
      <c r="AR185" s="273"/>
      <c r="AS185" s="273"/>
      <c r="AT185" s="273"/>
      <c r="AU185" s="273"/>
      <c r="AV185" s="273"/>
      <c r="AW185" s="273"/>
      <c r="AX185" s="273"/>
      <c r="AY185" s="273"/>
      <c r="AZ185" s="273"/>
      <c r="BA185" s="273"/>
      <c r="BB185" s="273"/>
      <c r="BC185" s="273"/>
      <c r="BD185" s="273"/>
      <c r="BE185" s="273"/>
      <c r="BF185" s="273"/>
      <c r="BG185" s="273"/>
      <c r="BH185" s="273" t="s">
        <v>739</v>
      </c>
      <c r="BI185" s="273"/>
      <c r="BJ185" s="273"/>
      <c r="BK185" s="273"/>
      <c r="BL185" s="273"/>
      <c r="BM185" s="273"/>
      <c r="BN185" s="273"/>
      <c r="BO185" s="273"/>
      <c r="BP185" s="273"/>
      <c r="BQ185" s="273"/>
      <c r="BR185" s="273"/>
      <c r="BS185" s="273"/>
      <c r="BT185" s="273"/>
      <c r="BU185" s="273"/>
      <c r="BV185" s="273"/>
      <c r="BW185" s="273"/>
      <c r="BX185" s="273"/>
      <c r="BY185" s="273"/>
      <c r="BZ185" s="273"/>
      <c r="CA185" s="273"/>
      <c r="CB185" s="273" t="s">
        <v>740</v>
      </c>
      <c r="CC185" s="273"/>
      <c r="CD185" s="273"/>
      <c r="CE185" s="273"/>
      <c r="CF185" s="273"/>
      <c r="CG185" s="273"/>
      <c r="CH185" s="273"/>
      <c r="CI185" s="273"/>
      <c r="CJ185" s="273"/>
      <c r="CK185" s="273"/>
      <c r="CL185" s="273"/>
      <c r="CM185" s="273"/>
      <c r="CN185" s="273"/>
      <c r="CO185" s="273"/>
      <c r="CP185" s="273"/>
      <c r="CQ185" s="273"/>
      <c r="CR185" s="273"/>
      <c r="CS185" s="273"/>
      <c r="CT185" s="273"/>
      <c r="CU185" s="273"/>
      <c r="CV185" s="273" t="s">
        <v>741</v>
      </c>
      <c r="CW185" s="273"/>
      <c r="CX185" s="273"/>
      <c r="CY185" s="273"/>
      <c r="CZ185" s="273"/>
      <c r="DA185" s="273"/>
      <c r="DB185" s="273"/>
      <c r="DC185" s="273"/>
      <c r="DD185" s="273"/>
      <c r="DE185" s="273"/>
      <c r="DF185" s="273"/>
      <c r="DG185" s="273"/>
      <c r="DH185" s="273"/>
      <c r="DI185" s="273"/>
      <c r="DJ185" s="273"/>
      <c r="DK185" s="273"/>
      <c r="DL185" s="273"/>
      <c r="DM185" s="273"/>
      <c r="DN185" s="273"/>
      <c r="DO185" s="273"/>
    </row>
    <row r="186" spans="3:119" ht="13.5" customHeight="1">
      <c r="C186" s="273" t="s">
        <v>468</v>
      </c>
      <c r="D186" s="273"/>
      <c r="E186" s="273"/>
      <c r="F186" s="273"/>
      <c r="G186" s="273"/>
      <c r="H186" s="273"/>
      <c r="I186" s="273"/>
      <c r="J186" s="636" t="s">
        <v>536</v>
      </c>
      <c r="K186" s="636"/>
      <c r="L186" s="636"/>
      <c r="M186" s="636"/>
      <c r="N186" s="636"/>
      <c r="O186" s="636" t="s">
        <v>524</v>
      </c>
      <c r="P186" s="636"/>
      <c r="Q186" s="636"/>
      <c r="R186" s="636"/>
      <c r="S186" s="636"/>
      <c r="T186" s="636" t="s">
        <v>511</v>
      </c>
      <c r="U186" s="636"/>
      <c r="V186" s="636"/>
      <c r="W186" s="636"/>
      <c r="X186" s="636"/>
      <c r="Y186" s="636" t="s">
        <v>528</v>
      </c>
      <c r="Z186" s="636"/>
      <c r="AA186" s="636"/>
      <c r="AB186" s="636"/>
      <c r="AC186" s="636"/>
      <c r="AD186" s="636" t="s">
        <v>489</v>
      </c>
      <c r="AE186" s="636"/>
      <c r="AF186" s="636"/>
      <c r="AG186" s="636"/>
      <c r="AH186" s="636"/>
      <c r="AI186" s="636" t="s">
        <v>485</v>
      </c>
      <c r="AJ186" s="636"/>
      <c r="AK186" s="636"/>
      <c r="AL186" s="636"/>
      <c r="AM186" s="636"/>
      <c r="AN186" s="273" t="s">
        <v>537</v>
      </c>
      <c r="AO186" s="273"/>
      <c r="AP186" s="273"/>
      <c r="AQ186" s="273"/>
      <c r="AR186" s="273"/>
      <c r="AS186" s="273"/>
      <c r="AT186" s="273"/>
      <c r="AU186" s="273"/>
      <c r="AV186" s="273"/>
      <c r="AW186" s="273"/>
      <c r="AX186" s="273"/>
      <c r="AY186" s="273"/>
      <c r="AZ186" s="273"/>
      <c r="BA186" s="273"/>
      <c r="BB186" s="273"/>
      <c r="BC186" s="273"/>
      <c r="BD186" s="273"/>
      <c r="BE186" s="273"/>
      <c r="BF186" s="273"/>
      <c r="BG186" s="273"/>
      <c r="BH186" s="273" t="s">
        <v>538</v>
      </c>
      <c r="BI186" s="273"/>
      <c r="BJ186" s="273"/>
      <c r="BK186" s="273"/>
      <c r="BL186" s="273"/>
      <c r="BM186" s="273"/>
      <c r="BN186" s="273"/>
      <c r="BO186" s="273"/>
      <c r="BP186" s="273"/>
      <c r="BQ186" s="273"/>
      <c r="BR186" s="273"/>
      <c r="BS186" s="273"/>
      <c r="BT186" s="273"/>
      <c r="BU186" s="273"/>
      <c r="BV186" s="273"/>
      <c r="BW186" s="273"/>
      <c r="BX186" s="273"/>
      <c r="BY186" s="273"/>
      <c r="BZ186" s="273"/>
      <c r="CA186" s="273"/>
      <c r="CB186" s="273" t="s">
        <v>539</v>
      </c>
      <c r="CC186" s="273"/>
      <c r="CD186" s="273"/>
      <c r="CE186" s="273"/>
      <c r="CF186" s="273"/>
      <c r="CG186" s="273"/>
      <c r="CH186" s="273"/>
      <c r="CI186" s="273"/>
      <c r="CJ186" s="273"/>
      <c r="CK186" s="273"/>
      <c r="CL186" s="273"/>
      <c r="CM186" s="273"/>
      <c r="CN186" s="273"/>
      <c r="CO186" s="273"/>
      <c r="CP186" s="273"/>
      <c r="CQ186" s="273"/>
      <c r="CR186" s="273"/>
      <c r="CS186" s="273"/>
      <c r="CT186" s="273"/>
      <c r="CU186" s="273"/>
      <c r="CV186" s="273" t="s">
        <v>540</v>
      </c>
      <c r="CW186" s="273"/>
      <c r="CX186" s="273"/>
      <c r="CY186" s="273"/>
      <c r="CZ186" s="273"/>
      <c r="DA186" s="273"/>
      <c r="DB186" s="273"/>
      <c r="DC186" s="273"/>
      <c r="DD186" s="273"/>
      <c r="DE186" s="273"/>
      <c r="DF186" s="273"/>
      <c r="DG186" s="273"/>
      <c r="DH186" s="273"/>
      <c r="DI186" s="273"/>
      <c r="DJ186" s="273"/>
      <c r="DK186" s="273"/>
      <c r="DL186" s="273"/>
      <c r="DM186" s="273"/>
      <c r="DN186" s="273"/>
      <c r="DO186" s="273"/>
    </row>
    <row r="187" spans="3:119" ht="13.5" customHeight="1">
      <c r="C187" s="273" t="s">
        <v>469</v>
      </c>
      <c r="D187" s="273"/>
      <c r="E187" s="273"/>
      <c r="F187" s="273"/>
      <c r="G187" s="273"/>
      <c r="H187" s="273"/>
      <c r="I187" s="273"/>
      <c r="J187" s="636" t="s">
        <v>518</v>
      </c>
      <c r="K187" s="636"/>
      <c r="L187" s="636"/>
      <c r="M187" s="636"/>
      <c r="N187" s="636"/>
      <c r="O187" s="636" t="s">
        <v>648</v>
      </c>
      <c r="P187" s="636"/>
      <c r="Q187" s="636"/>
      <c r="R187" s="636"/>
      <c r="S187" s="636"/>
      <c r="T187" s="636" t="s">
        <v>511</v>
      </c>
      <c r="U187" s="636"/>
      <c r="V187" s="636"/>
      <c r="W187" s="636"/>
      <c r="X187" s="636"/>
      <c r="Y187" s="636" t="s">
        <v>512</v>
      </c>
      <c r="Z187" s="636"/>
      <c r="AA187" s="636"/>
      <c r="AB187" s="636"/>
      <c r="AC187" s="636"/>
      <c r="AD187" s="636" t="s">
        <v>489</v>
      </c>
      <c r="AE187" s="636"/>
      <c r="AF187" s="636"/>
      <c r="AG187" s="636"/>
      <c r="AH187" s="636"/>
      <c r="AI187" s="636" t="s">
        <v>644</v>
      </c>
      <c r="AJ187" s="636"/>
      <c r="AK187" s="636"/>
      <c r="AL187" s="636"/>
      <c r="AM187" s="636"/>
      <c r="AN187" s="273" t="s">
        <v>742</v>
      </c>
      <c r="AO187" s="273"/>
      <c r="AP187" s="273"/>
      <c r="AQ187" s="273"/>
      <c r="AR187" s="273"/>
      <c r="AS187" s="273"/>
      <c r="AT187" s="273"/>
      <c r="AU187" s="273"/>
      <c r="AV187" s="273"/>
      <c r="AW187" s="273"/>
      <c r="AX187" s="273"/>
      <c r="AY187" s="273"/>
      <c r="AZ187" s="273"/>
      <c r="BA187" s="273"/>
      <c r="BB187" s="273"/>
      <c r="BC187" s="273"/>
      <c r="BD187" s="273"/>
      <c r="BE187" s="273"/>
      <c r="BF187" s="273"/>
      <c r="BG187" s="273"/>
      <c r="BH187" s="273" t="s">
        <v>489</v>
      </c>
      <c r="BI187" s="273"/>
      <c r="BJ187" s="273"/>
      <c r="BK187" s="273"/>
      <c r="BL187" s="273"/>
      <c r="BM187" s="273"/>
      <c r="BN187" s="273"/>
      <c r="BO187" s="273"/>
      <c r="BP187" s="273"/>
      <c r="BQ187" s="273"/>
      <c r="BR187" s="273"/>
      <c r="BS187" s="273"/>
      <c r="BT187" s="273"/>
      <c r="BU187" s="273"/>
      <c r="BV187" s="273"/>
      <c r="BW187" s="273"/>
      <c r="BX187" s="273"/>
      <c r="BY187" s="273"/>
      <c r="BZ187" s="273"/>
      <c r="CA187" s="273"/>
      <c r="CB187" s="273" t="s">
        <v>489</v>
      </c>
      <c r="CC187" s="273"/>
      <c r="CD187" s="273"/>
      <c r="CE187" s="273"/>
      <c r="CF187" s="273"/>
      <c r="CG187" s="273"/>
      <c r="CH187" s="273"/>
      <c r="CI187" s="273"/>
      <c r="CJ187" s="273"/>
      <c r="CK187" s="273"/>
      <c r="CL187" s="273"/>
      <c r="CM187" s="273"/>
      <c r="CN187" s="273"/>
      <c r="CO187" s="273"/>
      <c r="CP187" s="273"/>
      <c r="CQ187" s="273"/>
      <c r="CR187" s="273"/>
      <c r="CS187" s="273"/>
      <c r="CT187" s="273"/>
      <c r="CU187" s="273"/>
      <c r="CV187" s="273" t="s">
        <v>489</v>
      </c>
      <c r="CW187" s="273"/>
      <c r="CX187" s="273"/>
      <c r="CY187" s="273"/>
      <c r="CZ187" s="273"/>
      <c r="DA187" s="273"/>
      <c r="DB187" s="273"/>
      <c r="DC187" s="273"/>
      <c r="DD187" s="273"/>
      <c r="DE187" s="273"/>
      <c r="DF187" s="273"/>
      <c r="DG187" s="273"/>
      <c r="DH187" s="273"/>
      <c r="DI187" s="273"/>
      <c r="DJ187" s="273"/>
      <c r="DK187" s="273"/>
      <c r="DL187" s="273"/>
      <c r="DM187" s="273"/>
      <c r="DN187" s="273"/>
      <c r="DO187" s="273"/>
    </row>
    <row r="188" spans="3:119" ht="13.5" customHeight="1">
      <c r="C188" s="273" t="s">
        <v>470</v>
      </c>
      <c r="D188" s="273"/>
      <c r="E188" s="273"/>
      <c r="F188" s="273"/>
      <c r="G188" s="273"/>
      <c r="H188" s="273"/>
      <c r="I188" s="273"/>
      <c r="J188" s="636" t="s">
        <v>518</v>
      </c>
      <c r="K188" s="636"/>
      <c r="L188" s="636"/>
      <c r="M188" s="636"/>
      <c r="N188" s="636"/>
      <c r="O188" s="636" t="s">
        <v>510</v>
      </c>
      <c r="P188" s="636"/>
      <c r="Q188" s="636"/>
      <c r="R188" s="636"/>
      <c r="S188" s="636"/>
      <c r="T188" s="636" t="s">
        <v>511</v>
      </c>
      <c r="U188" s="636"/>
      <c r="V188" s="636"/>
      <c r="W188" s="636"/>
      <c r="X188" s="636"/>
      <c r="Y188" s="636" t="s">
        <v>512</v>
      </c>
      <c r="Z188" s="636"/>
      <c r="AA188" s="636"/>
      <c r="AB188" s="636"/>
      <c r="AC188" s="636"/>
      <c r="AD188" s="636" t="s">
        <v>489</v>
      </c>
      <c r="AE188" s="636"/>
      <c r="AF188" s="636"/>
      <c r="AG188" s="636"/>
      <c r="AH188" s="636"/>
      <c r="AI188" s="636" t="s">
        <v>485</v>
      </c>
      <c r="AJ188" s="636"/>
      <c r="AK188" s="636"/>
      <c r="AL188" s="636"/>
      <c r="AM188" s="636"/>
      <c r="AN188" s="273" t="s">
        <v>744</v>
      </c>
      <c r="AO188" s="273"/>
      <c r="AP188" s="273"/>
      <c r="AQ188" s="273"/>
      <c r="AR188" s="273"/>
      <c r="AS188" s="273"/>
      <c r="AT188" s="273"/>
      <c r="AU188" s="273"/>
      <c r="AV188" s="273"/>
      <c r="AW188" s="273"/>
      <c r="AX188" s="273"/>
      <c r="AY188" s="273"/>
      <c r="AZ188" s="273"/>
      <c r="BA188" s="273"/>
      <c r="BB188" s="273"/>
      <c r="BC188" s="273"/>
      <c r="BD188" s="273"/>
      <c r="BE188" s="273"/>
      <c r="BF188" s="273"/>
      <c r="BG188" s="273"/>
      <c r="BH188" s="273" t="s">
        <v>745</v>
      </c>
      <c r="BI188" s="273"/>
      <c r="BJ188" s="273"/>
      <c r="BK188" s="273"/>
      <c r="BL188" s="273"/>
      <c r="BM188" s="273"/>
      <c r="BN188" s="273"/>
      <c r="BO188" s="273"/>
      <c r="BP188" s="273"/>
      <c r="BQ188" s="273"/>
      <c r="BR188" s="273"/>
      <c r="BS188" s="273"/>
      <c r="BT188" s="273"/>
      <c r="BU188" s="273"/>
      <c r="BV188" s="273"/>
      <c r="BW188" s="273"/>
      <c r="BX188" s="273"/>
      <c r="BY188" s="273"/>
      <c r="BZ188" s="273"/>
      <c r="CA188" s="273"/>
      <c r="CB188" s="273" t="s">
        <v>489</v>
      </c>
      <c r="CC188" s="273"/>
      <c r="CD188" s="273"/>
      <c r="CE188" s="273"/>
      <c r="CF188" s="273"/>
      <c r="CG188" s="273"/>
      <c r="CH188" s="273"/>
      <c r="CI188" s="273"/>
      <c r="CJ188" s="273"/>
      <c r="CK188" s="273"/>
      <c r="CL188" s="273"/>
      <c r="CM188" s="273"/>
      <c r="CN188" s="273"/>
      <c r="CO188" s="273"/>
      <c r="CP188" s="273"/>
      <c r="CQ188" s="273"/>
      <c r="CR188" s="273"/>
      <c r="CS188" s="273"/>
      <c r="CT188" s="273"/>
      <c r="CU188" s="273"/>
      <c r="CV188" s="273" t="s">
        <v>746</v>
      </c>
      <c r="CW188" s="273"/>
      <c r="CX188" s="273"/>
      <c r="CY188" s="273"/>
      <c r="CZ188" s="273"/>
      <c r="DA188" s="273"/>
      <c r="DB188" s="273"/>
      <c r="DC188" s="273"/>
      <c r="DD188" s="273"/>
      <c r="DE188" s="273"/>
      <c r="DF188" s="273"/>
      <c r="DG188" s="273"/>
      <c r="DH188" s="273"/>
      <c r="DI188" s="273"/>
      <c r="DJ188" s="273"/>
      <c r="DK188" s="273"/>
      <c r="DL188" s="273"/>
      <c r="DM188" s="273"/>
      <c r="DN188" s="273"/>
      <c r="DO188" s="273"/>
    </row>
    <row r="189" spans="3:119" ht="13.5" customHeight="1">
      <c r="C189" s="273" t="s">
        <v>471</v>
      </c>
      <c r="D189" s="273"/>
      <c r="E189" s="273"/>
      <c r="F189" s="273"/>
      <c r="G189" s="273"/>
      <c r="H189" s="273"/>
      <c r="I189" s="273"/>
      <c r="J189" s="636" t="s">
        <v>424</v>
      </c>
      <c r="K189" s="636"/>
      <c r="L189" s="636"/>
      <c r="M189" s="636"/>
      <c r="N189" s="636"/>
      <c r="O189" s="636" t="s">
        <v>490</v>
      </c>
      <c r="P189" s="636"/>
      <c r="Q189" s="636"/>
      <c r="R189" s="636"/>
      <c r="S189" s="636"/>
      <c r="T189" s="636" t="s">
        <v>491</v>
      </c>
      <c r="U189" s="636"/>
      <c r="V189" s="636"/>
      <c r="W189" s="636"/>
      <c r="X189" s="636"/>
      <c r="Y189" s="636" t="s">
        <v>483</v>
      </c>
      <c r="Z189" s="636"/>
      <c r="AA189" s="636"/>
      <c r="AB189" s="636"/>
      <c r="AC189" s="636"/>
      <c r="AD189" s="636" t="s">
        <v>125</v>
      </c>
      <c r="AE189" s="636"/>
      <c r="AF189" s="636"/>
      <c r="AG189" s="636"/>
      <c r="AH189" s="636"/>
      <c r="AI189" s="636" t="s">
        <v>492</v>
      </c>
      <c r="AJ189" s="636"/>
      <c r="AK189" s="636"/>
      <c r="AL189" s="636"/>
      <c r="AM189" s="636"/>
      <c r="AN189" s="273" t="s">
        <v>743</v>
      </c>
      <c r="AO189" s="273"/>
      <c r="AP189" s="273"/>
      <c r="AQ189" s="273"/>
      <c r="AR189" s="273"/>
      <c r="AS189" s="273"/>
      <c r="AT189" s="273"/>
      <c r="AU189" s="273"/>
      <c r="AV189" s="273"/>
      <c r="AW189" s="273"/>
      <c r="AX189" s="273"/>
      <c r="AY189" s="273"/>
      <c r="AZ189" s="273"/>
      <c r="BA189" s="273"/>
      <c r="BB189" s="273"/>
      <c r="BC189" s="273"/>
      <c r="BD189" s="273"/>
      <c r="BE189" s="273"/>
      <c r="BF189" s="273"/>
      <c r="BG189" s="273"/>
      <c r="BH189" s="273" t="s">
        <v>489</v>
      </c>
      <c r="BI189" s="273"/>
      <c r="BJ189" s="273"/>
      <c r="BK189" s="273"/>
      <c r="BL189" s="273"/>
      <c r="BM189" s="273"/>
      <c r="BN189" s="273"/>
      <c r="BO189" s="273"/>
      <c r="BP189" s="273"/>
      <c r="BQ189" s="273"/>
      <c r="BR189" s="273"/>
      <c r="BS189" s="273"/>
      <c r="BT189" s="273"/>
      <c r="BU189" s="273"/>
      <c r="BV189" s="273"/>
      <c r="BW189" s="273"/>
      <c r="BX189" s="273"/>
      <c r="BY189" s="273"/>
      <c r="BZ189" s="273"/>
      <c r="CA189" s="273"/>
      <c r="CB189" s="273" t="s">
        <v>489</v>
      </c>
      <c r="CC189" s="273"/>
      <c r="CD189" s="273"/>
      <c r="CE189" s="273"/>
      <c r="CF189" s="273"/>
      <c r="CG189" s="273"/>
      <c r="CH189" s="273"/>
      <c r="CI189" s="273"/>
      <c r="CJ189" s="273"/>
      <c r="CK189" s="273"/>
      <c r="CL189" s="273"/>
      <c r="CM189" s="273"/>
      <c r="CN189" s="273"/>
      <c r="CO189" s="273"/>
      <c r="CP189" s="273"/>
      <c r="CQ189" s="273"/>
      <c r="CR189" s="273"/>
      <c r="CS189" s="273"/>
      <c r="CT189" s="273"/>
      <c r="CU189" s="273"/>
      <c r="CV189" s="273" t="s">
        <v>489</v>
      </c>
      <c r="CW189" s="273"/>
      <c r="CX189" s="273"/>
      <c r="CY189" s="273"/>
      <c r="CZ189" s="273"/>
      <c r="DA189" s="273"/>
      <c r="DB189" s="273"/>
      <c r="DC189" s="273"/>
      <c r="DD189" s="273"/>
      <c r="DE189" s="273"/>
      <c r="DF189" s="273"/>
      <c r="DG189" s="273"/>
      <c r="DH189" s="273"/>
      <c r="DI189" s="273"/>
      <c r="DJ189" s="273"/>
      <c r="DK189" s="273"/>
      <c r="DL189" s="273"/>
      <c r="DM189" s="273"/>
      <c r="DN189" s="273"/>
      <c r="DO189" s="273"/>
    </row>
    <row r="190" spans="3:119" ht="13.5" customHeight="1">
      <c r="C190" s="273" t="s">
        <v>472</v>
      </c>
      <c r="D190" s="273"/>
      <c r="E190" s="273"/>
      <c r="F190" s="273"/>
      <c r="G190" s="273"/>
      <c r="H190" s="273"/>
      <c r="I190" s="273"/>
      <c r="J190" s="636" t="s">
        <v>424</v>
      </c>
      <c r="K190" s="636"/>
      <c r="L190" s="636"/>
      <c r="M190" s="636"/>
      <c r="N190" s="636"/>
      <c r="O190" s="636" t="s">
        <v>490</v>
      </c>
      <c r="P190" s="636"/>
      <c r="Q190" s="636"/>
      <c r="R190" s="636"/>
      <c r="S190" s="636"/>
      <c r="T190" s="636" t="s">
        <v>491</v>
      </c>
      <c r="U190" s="636"/>
      <c r="V190" s="636"/>
      <c r="W190" s="636"/>
      <c r="X190" s="636"/>
      <c r="Y190" s="636" t="s">
        <v>483</v>
      </c>
      <c r="Z190" s="636"/>
      <c r="AA190" s="636"/>
      <c r="AB190" s="636"/>
      <c r="AC190" s="636"/>
      <c r="AD190" s="636" t="s">
        <v>124</v>
      </c>
      <c r="AE190" s="636"/>
      <c r="AF190" s="636"/>
      <c r="AG190" s="636"/>
      <c r="AH190" s="636"/>
      <c r="AI190" s="636" t="s">
        <v>643</v>
      </c>
      <c r="AJ190" s="636"/>
      <c r="AK190" s="636"/>
      <c r="AL190" s="636"/>
      <c r="AM190" s="636"/>
      <c r="AN190" s="273" t="s">
        <v>748</v>
      </c>
      <c r="AO190" s="273"/>
      <c r="AP190" s="273"/>
      <c r="AQ190" s="273"/>
      <c r="AR190" s="273"/>
      <c r="AS190" s="273"/>
      <c r="AT190" s="273"/>
      <c r="AU190" s="273"/>
      <c r="AV190" s="273"/>
      <c r="AW190" s="273"/>
      <c r="AX190" s="273"/>
      <c r="AY190" s="273"/>
      <c r="AZ190" s="273"/>
      <c r="BA190" s="273"/>
      <c r="BB190" s="273"/>
      <c r="BC190" s="273"/>
      <c r="BD190" s="273"/>
      <c r="BE190" s="273"/>
      <c r="BF190" s="273"/>
      <c r="BG190" s="273"/>
      <c r="BH190" s="273" t="s">
        <v>489</v>
      </c>
      <c r="BI190" s="273"/>
      <c r="BJ190" s="273"/>
      <c r="BK190" s="273"/>
      <c r="BL190" s="273"/>
      <c r="BM190" s="273"/>
      <c r="BN190" s="273"/>
      <c r="BO190" s="273"/>
      <c r="BP190" s="273"/>
      <c r="BQ190" s="273"/>
      <c r="BR190" s="273"/>
      <c r="BS190" s="273"/>
      <c r="BT190" s="273"/>
      <c r="BU190" s="273"/>
      <c r="BV190" s="273"/>
      <c r="BW190" s="273"/>
      <c r="BX190" s="273"/>
      <c r="BY190" s="273"/>
      <c r="BZ190" s="273"/>
      <c r="CA190" s="273"/>
      <c r="CB190" s="273" t="s">
        <v>489</v>
      </c>
      <c r="CC190" s="273"/>
      <c r="CD190" s="273"/>
      <c r="CE190" s="273"/>
      <c r="CF190" s="273"/>
      <c r="CG190" s="273"/>
      <c r="CH190" s="273"/>
      <c r="CI190" s="273"/>
      <c r="CJ190" s="273"/>
      <c r="CK190" s="273"/>
      <c r="CL190" s="273"/>
      <c r="CM190" s="273"/>
      <c r="CN190" s="273"/>
      <c r="CO190" s="273"/>
      <c r="CP190" s="273"/>
      <c r="CQ190" s="273"/>
      <c r="CR190" s="273"/>
      <c r="CS190" s="273"/>
      <c r="CT190" s="273"/>
      <c r="CU190" s="273"/>
      <c r="CV190" s="273" t="s">
        <v>489</v>
      </c>
      <c r="CW190" s="273"/>
      <c r="CX190" s="273"/>
      <c r="CY190" s="273"/>
      <c r="CZ190" s="273"/>
      <c r="DA190" s="273"/>
      <c r="DB190" s="273"/>
      <c r="DC190" s="273"/>
      <c r="DD190" s="273"/>
      <c r="DE190" s="273"/>
      <c r="DF190" s="273"/>
      <c r="DG190" s="273"/>
      <c r="DH190" s="273"/>
      <c r="DI190" s="273"/>
      <c r="DJ190" s="273"/>
      <c r="DK190" s="273"/>
      <c r="DL190" s="273"/>
      <c r="DM190" s="273"/>
      <c r="DN190" s="273"/>
      <c r="DO190" s="273"/>
    </row>
    <row r="191" spans="3:119" ht="13.5" customHeight="1">
      <c r="C191" s="273" t="s">
        <v>473</v>
      </c>
      <c r="D191" s="273"/>
      <c r="E191" s="273"/>
      <c r="F191" s="273"/>
      <c r="G191" s="273"/>
      <c r="H191" s="273"/>
      <c r="I191" s="273"/>
      <c r="J191" s="636" t="s">
        <v>462</v>
      </c>
      <c r="K191" s="636"/>
      <c r="L191" s="636"/>
      <c r="M191" s="636"/>
      <c r="N191" s="636"/>
      <c r="O191" s="636" t="s">
        <v>510</v>
      </c>
      <c r="P191" s="636"/>
      <c r="Q191" s="636"/>
      <c r="R191" s="636"/>
      <c r="S191" s="636"/>
      <c r="T191" s="636" t="s">
        <v>511</v>
      </c>
      <c r="U191" s="636"/>
      <c r="V191" s="636"/>
      <c r="W191" s="636"/>
      <c r="X191" s="636"/>
      <c r="Y191" s="636" t="s">
        <v>512</v>
      </c>
      <c r="Z191" s="636"/>
      <c r="AA191" s="636"/>
      <c r="AB191" s="636"/>
      <c r="AC191" s="636"/>
      <c r="AD191" s="636" t="s">
        <v>489</v>
      </c>
      <c r="AE191" s="636"/>
      <c r="AF191" s="636"/>
      <c r="AG191" s="636"/>
      <c r="AH191" s="636"/>
      <c r="AI191" s="636" t="s">
        <v>485</v>
      </c>
      <c r="AJ191" s="636"/>
      <c r="AK191" s="636"/>
      <c r="AL191" s="636"/>
      <c r="AM191" s="636"/>
      <c r="AN191" s="273" t="s">
        <v>523</v>
      </c>
      <c r="AO191" s="273"/>
      <c r="AP191" s="273"/>
      <c r="AQ191" s="273"/>
      <c r="AR191" s="273"/>
      <c r="AS191" s="273"/>
      <c r="AT191" s="273"/>
      <c r="AU191" s="273"/>
      <c r="AV191" s="273"/>
      <c r="AW191" s="273"/>
      <c r="AX191" s="273"/>
      <c r="AY191" s="273"/>
      <c r="AZ191" s="273"/>
      <c r="BA191" s="273"/>
      <c r="BB191" s="273"/>
      <c r="BC191" s="273"/>
      <c r="BD191" s="273"/>
      <c r="BE191" s="273"/>
      <c r="BF191" s="273"/>
      <c r="BG191" s="273"/>
      <c r="BH191" s="273" t="s">
        <v>489</v>
      </c>
      <c r="BI191" s="273"/>
      <c r="BJ191" s="273"/>
      <c r="BK191" s="273"/>
      <c r="BL191" s="273"/>
      <c r="BM191" s="273"/>
      <c r="BN191" s="273"/>
      <c r="BO191" s="273"/>
      <c r="BP191" s="273"/>
      <c r="BQ191" s="273"/>
      <c r="BR191" s="273"/>
      <c r="BS191" s="273"/>
      <c r="BT191" s="273"/>
      <c r="BU191" s="273"/>
      <c r="BV191" s="273"/>
      <c r="BW191" s="273"/>
      <c r="BX191" s="273"/>
      <c r="BY191" s="273"/>
      <c r="BZ191" s="273"/>
      <c r="CA191" s="273"/>
      <c r="CB191" s="273" t="s">
        <v>489</v>
      </c>
      <c r="CC191" s="273"/>
      <c r="CD191" s="273"/>
      <c r="CE191" s="273"/>
      <c r="CF191" s="273"/>
      <c r="CG191" s="273"/>
      <c r="CH191" s="273"/>
      <c r="CI191" s="273"/>
      <c r="CJ191" s="273"/>
      <c r="CK191" s="273"/>
      <c r="CL191" s="273"/>
      <c r="CM191" s="273"/>
      <c r="CN191" s="273"/>
      <c r="CO191" s="273"/>
      <c r="CP191" s="273"/>
      <c r="CQ191" s="273"/>
      <c r="CR191" s="273"/>
      <c r="CS191" s="273"/>
      <c r="CT191" s="273"/>
      <c r="CU191" s="273"/>
      <c r="CV191" s="273" t="s">
        <v>489</v>
      </c>
      <c r="CW191" s="273"/>
      <c r="CX191" s="273"/>
      <c r="CY191" s="273"/>
      <c r="CZ191" s="273"/>
      <c r="DA191" s="273"/>
      <c r="DB191" s="273"/>
      <c r="DC191" s="273"/>
      <c r="DD191" s="273"/>
      <c r="DE191" s="273"/>
      <c r="DF191" s="273"/>
      <c r="DG191" s="273"/>
      <c r="DH191" s="273"/>
      <c r="DI191" s="273"/>
      <c r="DJ191" s="273"/>
      <c r="DK191" s="273"/>
      <c r="DL191" s="273"/>
      <c r="DM191" s="273"/>
      <c r="DN191" s="273"/>
      <c r="DO191" s="273"/>
    </row>
    <row r="192" spans="3:119" ht="13.5" customHeight="1">
      <c r="C192" s="273" t="s">
        <v>474</v>
      </c>
      <c r="D192" s="273"/>
      <c r="E192" s="273"/>
      <c r="F192" s="273"/>
      <c r="G192" s="273"/>
      <c r="H192" s="273"/>
      <c r="I192" s="273"/>
      <c r="J192" s="636" t="s">
        <v>424</v>
      </c>
      <c r="K192" s="636"/>
      <c r="L192" s="636"/>
      <c r="M192" s="636"/>
      <c r="N192" s="636"/>
      <c r="O192" s="636" t="s">
        <v>490</v>
      </c>
      <c r="P192" s="636"/>
      <c r="Q192" s="636"/>
      <c r="R192" s="636"/>
      <c r="S192" s="636"/>
      <c r="T192" s="636" t="s">
        <v>482</v>
      </c>
      <c r="U192" s="636"/>
      <c r="V192" s="636"/>
      <c r="W192" s="636"/>
      <c r="X192" s="636"/>
      <c r="Y192" s="636" t="s">
        <v>483</v>
      </c>
      <c r="Z192" s="636"/>
      <c r="AA192" s="636"/>
      <c r="AB192" s="636"/>
      <c r="AC192" s="636"/>
      <c r="AD192" s="636" t="s">
        <v>127</v>
      </c>
      <c r="AE192" s="636"/>
      <c r="AF192" s="636"/>
      <c r="AG192" s="636"/>
      <c r="AH192" s="636"/>
      <c r="AI192" s="636" t="s">
        <v>485</v>
      </c>
      <c r="AJ192" s="636"/>
      <c r="AK192" s="636"/>
      <c r="AL192" s="636"/>
      <c r="AM192" s="636"/>
      <c r="AN192" s="273" t="s">
        <v>749</v>
      </c>
      <c r="AO192" s="273"/>
      <c r="AP192" s="273"/>
      <c r="AQ192" s="273"/>
      <c r="AR192" s="273"/>
      <c r="AS192" s="273"/>
      <c r="AT192" s="273"/>
      <c r="AU192" s="273"/>
      <c r="AV192" s="273"/>
      <c r="AW192" s="273"/>
      <c r="AX192" s="273"/>
      <c r="AY192" s="273"/>
      <c r="AZ192" s="273"/>
      <c r="BA192" s="273"/>
      <c r="BB192" s="273"/>
      <c r="BC192" s="273"/>
      <c r="BD192" s="273"/>
      <c r="BE192" s="273"/>
      <c r="BF192" s="273"/>
      <c r="BG192" s="273"/>
      <c r="BH192" s="273" t="s">
        <v>489</v>
      </c>
      <c r="BI192" s="273"/>
      <c r="BJ192" s="273"/>
      <c r="BK192" s="273"/>
      <c r="BL192" s="273"/>
      <c r="BM192" s="273"/>
      <c r="BN192" s="273"/>
      <c r="BO192" s="273"/>
      <c r="BP192" s="273"/>
      <c r="BQ192" s="273"/>
      <c r="BR192" s="273"/>
      <c r="BS192" s="273"/>
      <c r="BT192" s="273"/>
      <c r="BU192" s="273"/>
      <c r="BV192" s="273"/>
      <c r="BW192" s="273"/>
      <c r="BX192" s="273"/>
      <c r="BY192" s="273"/>
      <c r="BZ192" s="273"/>
      <c r="CA192" s="273"/>
      <c r="CB192" s="273" t="s">
        <v>489</v>
      </c>
      <c r="CC192" s="273"/>
      <c r="CD192" s="273"/>
      <c r="CE192" s="273"/>
      <c r="CF192" s="273"/>
      <c r="CG192" s="273"/>
      <c r="CH192" s="273"/>
      <c r="CI192" s="273"/>
      <c r="CJ192" s="273"/>
      <c r="CK192" s="273"/>
      <c r="CL192" s="273"/>
      <c r="CM192" s="273"/>
      <c r="CN192" s="273"/>
      <c r="CO192" s="273"/>
      <c r="CP192" s="273"/>
      <c r="CQ192" s="273"/>
      <c r="CR192" s="273"/>
      <c r="CS192" s="273"/>
      <c r="CT192" s="273"/>
      <c r="CU192" s="273"/>
      <c r="CV192" s="273" t="s">
        <v>489</v>
      </c>
      <c r="CW192" s="273"/>
      <c r="CX192" s="273"/>
      <c r="CY192" s="273"/>
      <c r="CZ192" s="273"/>
      <c r="DA192" s="273"/>
      <c r="DB192" s="273"/>
      <c r="DC192" s="273"/>
      <c r="DD192" s="273"/>
      <c r="DE192" s="273"/>
      <c r="DF192" s="273"/>
      <c r="DG192" s="273"/>
      <c r="DH192" s="273"/>
      <c r="DI192" s="273"/>
      <c r="DJ192" s="273"/>
      <c r="DK192" s="273"/>
      <c r="DL192" s="273"/>
      <c r="DM192" s="273"/>
      <c r="DN192" s="273"/>
      <c r="DO192" s="273"/>
    </row>
    <row r="193" spans="3:119" ht="13.5" customHeight="1">
      <c r="C193" s="273" t="s">
        <v>475</v>
      </c>
      <c r="D193" s="273"/>
      <c r="E193" s="273"/>
      <c r="F193" s="273"/>
      <c r="G193" s="273"/>
      <c r="H193" s="273"/>
      <c r="I193" s="273"/>
      <c r="J193" s="636" t="s">
        <v>424</v>
      </c>
      <c r="K193" s="636"/>
      <c r="L193" s="636"/>
      <c r="M193" s="636"/>
      <c r="N193" s="636"/>
      <c r="O193" s="636" t="s">
        <v>490</v>
      </c>
      <c r="P193" s="636"/>
      <c r="Q193" s="636"/>
      <c r="R193" s="636"/>
      <c r="S193" s="636"/>
      <c r="T193" s="636" t="s">
        <v>491</v>
      </c>
      <c r="U193" s="636"/>
      <c r="V193" s="636"/>
      <c r="W193" s="636"/>
      <c r="X193" s="636"/>
      <c r="Y193" s="636" t="s">
        <v>483</v>
      </c>
      <c r="Z193" s="636"/>
      <c r="AA193" s="636"/>
      <c r="AB193" s="636"/>
      <c r="AC193" s="636"/>
      <c r="AD193" s="636" t="s">
        <v>125</v>
      </c>
      <c r="AE193" s="636"/>
      <c r="AF193" s="636"/>
      <c r="AG193" s="636"/>
      <c r="AH193" s="636"/>
      <c r="AI193" s="636" t="s">
        <v>636</v>
      </c>
      <c r="AJ193" s="636"/>
      <c r="AK193" s="636"/>
      <c r="AL193" s="636"/>
      <c r="AM193" s="636"/>
      <c r="AN193" s="273" t="s">
        <v>750</v>
      </c>
      <c r="AO193" s="273"/>
      <c r="AP193" s="273"/>
      <c r="AQ193" s="273"/>
      <c r="AR193" s="273"/>
      <c r="AS193" s="273"/>
      <c r="AT193" s="273"/>
      <c r="AU193" s="273"/>
      <c r="AV193" s="273"/>
      <c r="AW193" s="273"/>
      <c r="AX193" s="273"/>
      <c r="AY193" s="273"/>
      <c r="AZ193" s="273"/>
      <c r="BA193" s="273"/>
      <c r="BB193" s="273"/>
      <c r="BC193" s="273"/>
      <c r="BD193" s="273"/>
      <c r="BE193" s="273"/>
      <c r="BF193" s="273"/>
      <c r="BG193" s="273"/>
      <c r="BH193" s="273" t="s">
        <v>489</v>
      </c>
      <c r="BI193" s="273"/>
      <c r="BJ193" s="273"/>
      <c r="BK193" s="273"/>
      <c r="BL193" s="273"/>
      <c r="BM193" s="273"/>
      <c r="BN193" s="273"/>
      <c r="BO193" s="273"/>
      <c r="BP193" s="273"/>
      <c r="BQ193" s="273"/>
      <c r="BR193" s="273"/>
      <c r="BS193" s="273"/>
      <c r="BT193" s="273"/>
      <c r="BU193" s="273"/>
      <c r="BV193" s="273"/>
      <c r="BW193" s="273"/>
      <c r="BX193" s="273"/>
      <c r="BY193" s="273"/>
      <c r="BZ193" s="273"/>
      <c r="CA193" s="273"/>
      <c r="CB193" s="273" t="s">
        <v>489</v>
      </c>
      <c r="CC193" s="273"/>
      <c r="CD193" s="273"/>
      <c r="CE193" s="273"/>
      <c r="CF193" s="273"/>
      <c r="CG193" s="273"/>
      <c r="CH193" s="273"/>
      <c r="CI193" s="273"/>
      <c r="CJ193" s="273"/>
      <c r="CK193" s="273"/>
      <c r="CL193" s="273"/>
      <c r="CM193" s="273"/>
      <c r="CN193" s="273"/>
      <c r="CO193" s="273"/>
      <c r="CP193" s="273"/>
      <c r="CQ193" s="273"/>
      <c r="CR193" s="273"/>
      <c r="CS193" s="273"/>
      <c r="CT193" s="273"/>
      <c r="CU193" s="273"/>
      <c r="CV193" s="273" t="s">
        <v>489</v>
      </c>
      <c r="CW193" s="273"/>
      <c r="CX193" s="273"/>
      <c r="CY193" s="273"/>
      <c r="CZ193" s="273"/>
      <c r="DA193" s="273"/>
      <c r="DB193" s="273"/>
      <c r="DC193" s="273"/>
      <c r="DD193" s="273"/>
      <c r="DE193" s="273"/>
      <c r="DF193" s="273"/>
      <c r="DG193" s="273"/>
      <c r="DH193" s="273"/>
      <c r="DI193" s="273"/>
      <c r="DJ193" s="273"/>
      <c r="DK193" s="273"/>
      <c r="DL193" s="273"/>
      <c r="DM193" s="273"/>
      <c r="DN193" s="273"/>
      <c r="DO193" s="273"/>
    </row>
    <row r="194" spans="3:119" ht="13.5" customHeight="1">
      <c r="C194" s="273" t="s">
        <v>476</v>
      </c>
      <c r="D194" s="273"/>
      <c r="E194" s="273"/>
      <c r="F194" s="273"/>
      <c r="G194" s="273"/>
      <c r="H194" s="273"/>
      <c r="I194" s="273"/>
      <c r="J194" s="636" t="s">
        <v>637</v>
      </c>
      <c r="K194" s="636"/>
      <c r="L194" s="636"/>
      <c r="M194" s="636"/>
      <c r="N194" s="636"/>
      <c r="O194" s="636" t="s">
        <v>490</v>
      </c>
      <c r="P194" s="636"/>
      <c r="Q194" s="636"/>
      <c r="R194" s="636"/>
      <c r="S194" s="636"/>
      <c r="T194" s="636" t="s">
        <v>482</v>
      </c>
      <c r="U194" s="636"/>
      <c r="V194" s="636"/>
      <c r="W194" s="636"/>
      <c r="X194" s="636"/>
      <c r="Y194" s="636" t="s">
        <v>512</v>
      </c>
      <c r="Z194" s="636"/>
      <c r="AA194" s="636"/>
      <c r="AB194" s="636"/>
      <c r="AC194" s="636"/>
      <c r="AD194" s="636" t="s">
        <v>489</v>
      </c>
      <c r="AE194" s="636"/>
      <c r="AF194" s="636"/>
      <c r="AG194" s="636"/>
      <c r="AH194" s="636"/>
      <c r="AI194" s="636" t="s">
        <v>492</v>
      </c>
      <c r="AJ194" s="636"/>
      <c r="AK194" s="636"/>
      <c r="AL194" s="636"/>
      <c r="AM194" s="636"/>
      <c r="AN194" s="273" t="s">
        <v>751</v>
      </c>
      <c r="AO194" s="273"/>
      <c r="AP194" s="273"/>
      <c r="AQ194" s="273"/>
      <c r="AR194" s="273"/>
      <c r="AS194" s="273"/>
      <c r="AT194" s="273"/>
      <c r="AU194" s="273"/>
      <c r="AV194" s="273"/>
      <c r="AW194" s="273"/>
      <c r="AX194" s="273"/>
      <c r="AY194" s="273"/>
      <c r="AZ194" s="273"/>
      <c r="BA194" s="273"/>
      <c r="BB194" s="273"/>
      <c r="BC194" s="273"/>
      <c r="BD194" s="273"/>
      <c r="BE194" s="273"/>
      <c r="BF194" s="273"/>
      <c r="BG194" s="273"/>
      <c r="BH194" s="273" t="s">
        <v>752</v>
      </c>
      <c r="BI194" s="273"/>
      <c r="BJ194" s="273"/>
      <c r="BK194" s="273"/>
      <c r="BL194" s="273"/>
      <c r="BM194" s="273"/>
      <c r="BN194" s="273"/>
      <c r="BO194" s="273"/>
      <c r="BP194" s="273"/>
      <c r="BQ194" s="273"/>
      <c r="BR194" s="273"/>
      <c r="BS194" s="273"/>
      <c r="BT194" s="273"/>
      <c r="BU194" s="273"/>
      <c r="BV194" s="273"/>
      <c r="BW194" s="273"/>
      <c r="BX194" s="273"/>
      <c r="BY194" s="273"/>
      <c r="BZ194" s="273"/>
      <c r="CA194" s="273"/>
      <c r="CB194" s="273" t="s">
        <v>754</v>
      </c>
      <c r="CC194" s="273"/>
      <c r="CD194" s="273"/>
      <c r="CE194" s="273"/>
      <c r="CF194" s="273"/>
      <c r="CG194" s="273"/>
      <c r="CH194" s="273"/>
      <c r="CI194" s="273"/>
      <c r="CJ194" s="273"/>
      <c r="CK194" s="273"/>
      <c r="CL194" s="273"/>
      <c r="CM194" s="273"/>
      <c r="CN194" s="273"/>
      <c r="CO194" s="273"/>
      <c r="CP194" s="273"/>
      <c r="CQ194" s="273"/>
      <c r="CR194" s="273"/>
      <c r="CS194" s="273"/>
      <c r="CT194" s="273"/>
      <c r="CU194" s="273"/>
      <c r="CV194" s="273" t="s">
        <v>753</v>
      </c>
      <c r="CW194" s="273"/>
      <c r="CX194" s="273"/>
      <c r="CY194" s="273"/>
      <c r="CZ194" s="273"/>
      <c r="DA194" s="273"/>
      <c r="DB194" s="273"/>
      <c r="DC194" s="273"/>
      <c r="DD194" s="273"/>
      <c r="DE194" s="273"/>
      <c r="DF194" s="273"/>
      <c r="DG194" s="273"/>
      <c r="DH194" s="273"/>
      <c r="DI194" s="273"/>
      <c r="DJ194" s="273"/>
      <c r="DK194" s="273"/>
      <c r="DL194" s="273"/>
      <c r="DM194" s="273"/>
      <c r="DN194" s="273"/>
      <c r="DO194" s="273"/>
    </row>
    <row r="195" spans="3:119" ht="13.5" customHeight="1">
      <c r="C195" s="273" t="s">
        <v>477</v>
      </c>
      <c r="D195" s="273"/>
      <c r="E195" s="273"/>
      <c r="F195" s="273"/>
      <c r="G195" s="273"/>
      <c r="H195" s="273"/>
      <c r="I195" s="273"/>
      <c r="J195" s="636" t="s">
        <v>634</v>
      </c>
      <c r="K195" s="636"/>
      <c r="L195" s="636"/>
      <c r="M195" s="636"/>
      <c r="N195" s="636"/>
      <c r="O195" s="636" t="s">
        <v>510</v>
      </c>
      <c r="P195" s="636"/>
      <c r="Q195" s="636"/>
      <c r="R195" s="636"/>
      <c r="S195" s="636"/>
      <c r="T195" s="636" t="s">
        <v>511</v>
      </c>
      <c r="U195" s="636"/>
      <c r="V195" s="636"/>
      <c r="W195" s="636"/>
      <c r="X195" s="636"/>
      <c r="Y195" s="636" t="s">
        <v>634</v>
      </c>
      <c r="Z195" s="636"/>
      <c r="AA195" s="636"/>
      <c r="AB195" s="636"/>
      <c r="AC195" s="636"/>
      <c r="AD195" s="636" t="s">
        <v>489</v>
      </c>
      <c r="AE195" s="636"/>
      <c r="AF195" s="636"/>
      <c r="AG195" s="636"/>
      <c r="AH195" s="636"/>
      <c r="AI195" s="636" t="s">
        <v>643</v>
      </c>
      <c r="AJ195" s="636"/>
      <c r="AK195" s="636"/>
      <c r="AL195" s="636"/>
      <c r="AM195" s="636"/>
      <c r="AN195" s="273" t="s">
        <v>755</v>
      </c>
      <c r="AO195" s="273"/>
      <c r="AP195" s="273"/>
      <c r="AQ195" s="273"/>
      <c r="AR195" s="273"/>
      <c r="AS195" s="273"/>
      <c r="AT195" s="273"/>
      <c r="AU195" s="273"/>
      <c r="AV195" s="273"/>
      <c r="AW195" s="273"/>
      <c r="AX195" s="273"/>
      <c r="AY195" s="273"/>
      <c r="AZ195" s="273"/>
      <c r="BA195" s="273"/>
      <c r="BB195" s="273"/>
      <c r="BC195" s="273"/>
      <c r="BD195" s="273"/>
      <c r="BE195" s="273"/>
      <c r="BF195" s="273"/>
      <c r="BG195" s="273"/>
      <c r="BH195" s="273" t="s">
        <v>489</v>
      </c>
      <c r="BI195" s="273"/>
      <c r="BJ195" s="273"/>
      <c r="BK195" s="273"/>
      <c r="BL195" s="273"/>
      <c r="BM195" s="273"/>
      <c r="BN195" s="273"/>
      <c r="BO195" s="273"/>
      <c r="BP195" s="273"/>
      <c r="BQ195" s="273"/>
      <c r="BR195" s="273"/>
      <c r="BS195" s="273"/>
      <c r="BT195" s="273"/>
      <c r="BU195" s="273"/>
      <c r="BV195" s="273"/>
      <c r="BW195" s="273"/>
      <c r="BX195" s="273"/>
      <c r="BY195" s="273"/>
      <c r="BZ195" s="273"/>
      <c r="CA195" s="273"/>
      <c r="CB195" s="273" t="s">
        <v>489</v>
      </c>
      <c r="CC195" s="273"/>
      <c r="CD195" s="273"/>
      <c r="CE195" s="273"/>
      <c r="CF195" s="273"/>
      <c r="CG195" s="273"/>
      <c r="CH195" s="273"/>
      <c r="CI195" s="273"/>
      <c r="CJ195" s="273"/>
      <c r="CK195" s="273"/>
      <c r="CL195" s="273"/>
      <c r="CM195" s="273"/>
      <c r="CN195" s="273"/>
      <c r="CO195" s="273"/>
      <c r="CP195" s="273"/>
      <c r="CQ195" s="273"/>
      <c r="CR195" s="273"/>
      <c r="CS195" s="273"/>
      <c r="CT195" s="273"/>
      <c r="CU195" s="273"/>
      <c r="CV195" s="273" t="s">
        <v>489</v>
      </c>
      <c r="CW195" s="273"/>
      <c r="CX195" s="273"/>
      <c r="CY195" s="273"/>
      <c r="CZ195" s="273"/>
      <c r="DA195" s="273"/>
      <c r="DB195" s="273"/>
      <c r="DC195" s="273"/>
      <c r="DD195" s="273"/>
      <c r="DE195" s="273"/>
      <c r="DF195" s="273"/>
      <c r="DG195" s="273"/>
      <c r="DH195" s="273"/>
      <c r="DI195" s="273"/>
      <c r="DJ195" s="273"/>
      <c r="DK195" s="273"/>
      <c r="DL195" s="273"/>
      <c r="DM195" s="273"/>
      <c r="DN195" s="273"/>
      <c r="DO195" s="273"/>
    </row>
    <row r="196" spans="3:119" ht="13.5" customHeight="1">
      <c r="C196" s="273" t="s">
        <v>478</v>
      </c>
      <c r="D196" s="273"/>
      <c r="E196" s="273"/>
      <c r="F196" s="273"/>
      <c r="G196" s="273"/>
      <c r="H196" s="273"/>
      <c r="I196" s="273"/>
      <c r="J196" s="636" t="s">
        <v>462</v>
      </c>
      <c r="K196" s="636"/>
      <c r="L196" s="636"/>
      <c r="M196" s="636"/>
      <c r="N196" s="636"/>
      <c r="O196" s="636" t="s">
        <v>510</v>
      </c>
      <c r="P196" s="636"/>
      <c r="Q196" s="636"/>
      <c r="R196" s="636"/>
      <c r="S196" s="636"/>
      <c r="T196" s="636" t="s">
        <v>511</v>
      </c>
      <c r="U196" s="636"/>
      <c r="V196" s="636"/>
      <c r="W196" s="636"/>
      <c r="X196" s="636"/>
      <c r="Y196" s="636" t="s">
        <v>512</v>
      </c>
      <c r="Z196" s="636"/>
      <c r="AA196" s="636"/>
      <c r="AB196" s="636"/>
      <c r="AC196" s="636"/>
      <c r="AD196" s="636" t="s">
        <v>489</v>
      </c>
      <c r="AE196" s="636"/>
      <c r="AF196" s="636"/>
      <c r="AG196" s="636"/>
      <c r="AH196" s="636"/>
      <c r="AI196" s="636" t="s">
        <v>485</v>
      </c>
      <c r="AJ196" s="636"/>
      <c r="AK196" s="636"/>
      <c r="AL196" s="636"/>
      <c r="AM196" s="636"/>
      <c r="AN196" s="273" t="s">
        <v>758</v>
      </c>
      <c r="AO196" s="273"/>
      <c r="AP196" s="273"/>
      <c r="AQ196" s="273"/>
      <c r="AR196" s="273"/>
      <c r="AS196" s="273"/>
      <c r="AT196" s="273"/>
      <c r="AU196" s="273"/>
      <c r="AV196" s="273"/>
      <c r="AW196" s="273"/>
      <c r="AX196" s="273"/>
      <c r="AY196" s="273"/>
      <c r="AZ196" s="273"/>
      <c r="BA196" s="273"/>
      <c r="BB196" s="273"/>
      <c r="BC196" s="273"/>
      <c r="BD196" s="273"/>
      <c r="BE196" s="273"/>
      <c r="BF196" s="273"/>
      <c r="BG196" s="273"/>
      <c r="BH196" s="273" t="s">
        <v>489</v>
      </c>
      <c r="BI196" s="273"/>
      <c r="BJ196" s="273"/>
      <c r="BK196" s="273"/>
      <c r="BL196" s="273"/>
      <c r="BM196" s="273"/>
      <c r="BN196" s="273"/>
      <c r="BO196" s="273"/>
      <c r="BP196" s="273"/>
      <c r="BQ196" s="273"/>
      <c r="BR196" s="273"/>
      <c r="BS196" s="273"/>
      <c r="BT196" s="273"/>
      <c r="BU196" s="273"/>
      <c r="BV196" s="273"/>
      <c r="BW196" s="273"/>
      <c r="BX196" s="273"/>
      <c r="BY196" s="273"/>
      <c r="BZ196" s="273"/>
      <c r="CA196" s="273"/>
      <c r="CB196" s="273" t="s">
        <v>489</v>
      </c>
      <c r="CC196" s="273"/>
      <c r="CD196" s="273"/>
      <c r="CE196" s="273"/>
      <c r="CF196" s="273"/>
      <c r="CG196" s="273"/>
      <c r="CH196" s="273"/>
      <c r="CI196" s="273"/>
      <c r="CJ196" s="273"/>
      <c r="CK196" s="273"/>
      <c r="CL196" s="273"/>
      <c r="CM196" s="273"/>
      <c r="CN196" s="273"/>
      <c r="CO196" s="273"/>
      <c r="CP196" s="273"/>
      <c r="CQ196" s="273"/>
      <c r="CR196" s="273"/>
      <c r="CS196" s="273"/>
      <c r="CT196" s="273"/>
      <c r="CU196" s="273"/>
      <c r="CV196" s="273" t="s">
        <v>489</v>
      </c>
      <c r="CW196" s="273"/>
      <c r="CX196" s="273"/>
      <c r="CY196" s="273"/>
      <c r="CZ196" s="273"/>
      <c r="DA196" s="273"/>
      <c r="DB196" s="273"/>
      <c r="DC196" s="273"/>
      <c r="DD196" s="273"/>
      <c r="DE196" s="273"/>
      <c r="DF196" s="273"/>
      <c r="DG196" s="273"/>
      <c r="DH196" s="273"/>
      <c r="DI196" s="273"/>
      <c r="DJ196" s="273"/>
      <c r="DK196" s="273"/>
      <c r="DL196" s="273"/>
      <c r="DM196" s="273"/>
      <c r="DN196" s="273"/>
      <c r="DO196" s="273"/>
    </row>
    <row r="197" spans="3:119" ht="13.5" customHeight="1">
      <c r="C197" s="273" t="s">
        <v>479</v>
      </c>
      <c r="D197" s="273"/>
      <c r="E197" s="273"/>
      <c r="F197" s="273"/>
      <c r="G197" s="273"/>
      <c r="H197" s="273"/>
      <c r="I197" s="273"/>
      <c r="J197" s="636" t="s">
        <v>462</v>
      </c>
      <c r="K197" s="636"/>
      <c r="L197" s="636"/>
      <c r="M197" s="636"/>
      <c r="N197" s="636"/>
      <c r="O197" s="636" t="s">
        <v>648</v>
      </c>
      <c r="P197" s="636"/>
      <c r="Q197" s="636"/>
      <c r="R197" s="636"/>
      <c r="S197" s="636"/>
      <c r="T197" s="636" t="s">
        <v>635</v>
      </c>
      <c r="U197" s="636"/>
      <c r="V197" s="636"/>
      <c r="W197" s="636"/>
      <c r="X197" s="636"/>
      <c r="Y197" s="636" t="s">
        <v>483</v>
      </c>
      <c r="Z197" s="636"/>
      <c r="AA197" s="636"/>
      <c r="AB197" s="636"/>
      <c r="AC197" s="636"/>
      <c r="AD197" s="636" t="s">
        <v>489</v>
      </c>
      <c r="AE197" s="636"/>
      <c r="AF197" s="636"/>
      <c r="AG197" s="636"/>
      <c r="AH197" s="636"/>
      <c r="AI197" s="636" t="s">
        <v>492</v>
      </c>
      <c r="AJ197" s="636"/>
      <c r="AK197" s="636"/>
      <c r="AL197" s="636"/>
      <c r="AM197" s="636"/>
      <c r="AN197" s="273" t="s">
        <v>759</v>
      </c>
      <c r="AO197" s="273"/>
      <c r="AP197" s="273"/>
      <c r="AQ197" s="273"/>
      <c r="AR197" s="273"/>
      <c r="AS197" s="273"/>
      <c r="AT197" s="273"/>
      <c r="AU197" s="273"/>
      <c r="AV197" s="273"/>
      <c r="AW197" s="273"/>
      <c r="AX197" s="273"/>
      <c r="AY197" s="273"/>
      <c r="AZ197" s="273"/>
      <c r="BA197" s="273"/>
      <c r="BB197" s="273"/>
      <c r="BC197" s="273"/>
      <c r="BD197" s="273"/>
      <c r="BE197" s="273"/>
      <c r="BF197" s="273"/>
      <c r="BG197" s="273"/>
      <c r="BH197" s="273" t="s">
        <v>760</v>
      </c>
      <c r="BI197" s="273"/>
      <c r="BJ197" s="273"/>
      <c r="BK197" s="273"/>
      <c r="BL197" s="273"/>
      <c r="BM197" s="273"/>
      <c r="BN197" s="273"/>
      <c r="BO197" s="273"/>
      <c r="BP197" s="273"/>
      <c r="BQ197" s="273"/>
      <c r="BR197" s="273"/>
      <c r="BS197" s="273"/>
      <c r="BT197" s="273"/>
      <c r="BU197" s="273"/>
      <c r="BV197" s="273"/>
      <c r="BW197" s="273"/>
      <c r="BX197" s="273"/>
      <c r="BY197" s="273"/>
      <c r="BZ197" s="273"/>
      <c r="CA197" s="273"/>
      <c r="CB197" s="273" t="s">
        <v>761</v>
      </c>
      <c r="CC197" s="273"/>
      <c r="CD197" s="273"/>
      <c r="CE197" s="273"/>
      <c r="CF197" s="273"/>
      <c r="CG197" s="273"/>
      <c r="CH197" s="273"/>
      <c r="CI197" s="273"/>
      <c r="CJ197" s="273"/>
      <c r="CK197" s="273"/>
      <c r="CL197" s="273"/>
      <c r="CM197" s="273"/>
      <c r="CN197" s="273"/>
      <c r="CO197" s="273"/>
      <c r="CP197" s="273"/>
      <c r="CQ197" s="273"/>
      <c r="CR197" s="273"/>
      <c r="CS197" s="273"/>
      <c r="CT197" s="273"/>
      <c r="CU197" s="273"/>
      <c r="CV197" s="273" t="s">
        <v>762</v>
      </c>
      <c r="CW197" s="273"/>
      <c r="CX197" s="273"/>
      <c r="CY197" s="273"/>
      <c r="CZ197" s="273"/>
      <c r="DA197" s="273"/>
      <c r="DB197" s="273"/>
      <c r="DC197" s="273"/>
      <c r="DD197" s="273"/>
      <c r="DE197" s="273"/>
      <c r="DF197" s="273"/>
      <c r="DG197" s="273"/>
      <c r="DH197" s="273"/>
      <c r="DI197" s="273"/>
      <c r="DJ197" s="273"/>
      <c r="DK197" s="273"/>
      <c r="DL197" s="273"/>
      <c r="DM197" s="273"/>
      <c r="DN197" s="273"/>
      <c r="DO197" s="273"/>
    </row>
    <row r="198" spans="3:119" ht="13.5" customHeight="1">
      <c r="C198" s="273" t="s">
        <v>480</v>
      </c>
      <c r="D198" s="273"/>
      <c r="E198" s="273"/>
      <c r="F198" s="273"/>
      <c r="G198" s="273"/>
      <c r="H198" s="273"/>
      <c r="I198" s="273"/>
      <c r="J198" s="636" t="s">
        <v>637</v>
      </c>
      <c r="K198" s="636"/>
      <c r="L198" s="636"/>
      <c r="M198" s="636"/>
      <c r="N198" s="636"/>
      <c r="O198" s="636" t="s">
        <v>490</v>
      </c>
      <c r="P198" s="636"/>
      <c r="Q198" s="636"/>
      <c r="R198" s="636"/>
      <c r="S198" s="636"/>
      <c r="T198" s="636" t="s">
        <v>482</v>
      </c>
      <c r="U198" s="636"/>
      <c r="V198" s="636"/>
      <c r="W198" s="636"/>
      <c r="X198" s="636"/>
      <c r="Y198" s="636" t="s">
        <v>512</v>
      </c>
      <c r="Z198" s="636"/>
      <c r="AA198" s="636"/>
      <c r="AB198" s="636"/>
      <c r="AC198" s="636"/>
      <c r="AD198" s="636" t="s">
        <v>489</v>
      </c>
      <c r="AE198" s="636"/>
      <c r="AF198" s="636"/>
      <c r="AG198" s="636"/>
      <c r="AH198" s="636"/>
      <c r="AI198" s="636" t="s">
        <v>649</v>
      </c>
      <c r="AJ198" s="636"/>
      <c r="AK198" s="636"/>
      <c r="AL198" s="636"/>
      <c r="AM198" s="636"/>
      <c r="AN198" s="273" t="s">
        <v>763</v>
      </c>
      <c r="AO198" s="273"/>
      <c r="AP198" s="273"/>
      <c r="AQ198" s="273"/>
      <c r="AR198" s="273"/>
      <c r="AS198" s="273"/>
      <c r="AT198" s="273"/>
      <c r="AU198" s="273"/>
      <c r="AV198" s="273"/>
      <c r="AW198" s="273"/>
      <c r="AX198" s="273"/>
      <c r="AY198" s="273"/>
      <c r="AZ198" s="273"/>
      <c r="BA198" s="273"/>
      <c r="BB198" s="273"/>
      <c r="BC198" s="273"/>
      <c r="BD198" s="273"/>
      <c r="BE198" s="273"/>
      <c r="BF198" s="273"/>
      <c r="BG198" s="273"/>
      <c r="BH198" s="273" t="s">
        <v>489</v>
      </c>
      <c r="BI198" s="273"/>
      <c r="BJ198" s="273"/>
      <c r="BK198" s="273"/>
      <c r="BL198" s="273"/>
      <c r="BM198" s="273"/>
      <c r="BN198" s="273"/>
      <c r="BO198" s="273"/>
      <c r="BP198" s="273"/>
      <c r="BQ198" s="273"/>
      <c r="BR198" s="273"/>
      <c r="BS198" s="273"/>
      <c r="BT198" s="273"/>
      <c r="BU198" s="273"/>
      <c r="BV198" s="273"/>
      <c r="BW198" s="273"/>
      <c r="BX198" s="273"/>
      <c r="BY198" s="273"/>
      <c r="BZ198" s="273"/>
      <c r="CA198" s="273"/>
      <c r="CB198" s="273" t="s">
        <v>489</v>
      </c>
      <c r="CC198" s="273"/>
      <c r="CD198" s="273"/>
      <c r="CE198" s="273"/>
      <c r="CF198" s="273"/>
      <c r="CG198" s="273"/>
      <c r="CH198" s="273"/>
      <c r="CI198" s="273"/>
      <c r="CJ198" s="273"/>
      <c r="CK198" s="273"/>
      <c r="CL198" s="273"/>
      <c r="CM198" s="273"/>
      <c r="CN198" s="273"/>
      <c r="CO198" s="273"/>
      <c r="CP198" s="273"/>
      <c r="CQ198" s="273"/>
      <c r="CR198" s="273"/>
      <c r="CS198" s="273"/>
      <c r="CT198" s="273"/>
      <c r="CU198" s="273"/>
      <c r="CV198" s="273" t="s">
        <v>489</v>
      </c>
      <c r="CW198" s="273"/>
      <c r="CX198" s="273"/>
      <c r="CY198" s="273"/>
      <c r="CZ198" s="273"/>
      <c r="DA198" s="273"/>
      <c r="DB198" s="273"/>
      <c r="DC198" s="273"/>
      <c r="DD198" s="273"/>
      <c r="DE198" s="273"/>
      <c r="DF198" s="273"/>
      <c r="DG198" s="273"/>
      <c r="DH198" s="273"/>
      <c r="DI198" s="273"/>
      <c r="DJ198" s="273"/>
      <c r="DK198" s="273"/>
      <c r="DL198" s="273"/>
      <c r="DM198" s="273"/>
      <c r="DN198" s="273"/>
      <c r="DO198" s="273"/>
    </row>
    <row r="199" spans="3:119" ht="13.5" customHeight="1">
      <c r="C199" s="273" t="s">
        <v>481</v>
      </c>
      <c r="D199" s="273"/>
      <c r="E199" s="273"/>
      <c r="F199" s="273"/>
      <c r="G199" s="273"/>
      <c r="H199" s="273"/>
      <c r="I199" s="273"/>
      <c r="J199" s="636" t="s">
        <v>518</v>
      </c>
      <c r="K199" s="636"/>
      <c r="L199" s="636"/>
      <c r="M199" s="636"/>
      <c r="N199" s="636"/>
      <c r="O199" s="636" t="s">
        <v>490</v>
      </c>
      <c r="P199" s="636"/>
      <c r="Q199" s="636"/>
      <c r="R199" s="636"/>
      <c r="S199" s="636"/>
      <c r="T199" s="636" t="s">
        <v>511</v>
      </c>
      <c r="U199" s="636"/>
      <c r="V199" s="636"/>
      <c r="W199" s="636"/>
      <c r="X199" s="636"/>
      <c r="Y199" s="636" t="s">
        <v>512</v>
      </c>
      <c r="Z199" s="636"/>
      <c r="AA199" s="636"/>
      <c r="AB199" s="636"/>
      <c r="AC199" s="636"/>
      <c r="AD199" s="636" t="s">
        <v>489</v>
      </c>
      <c r="AE199" s="636"/>
      <c r="AF199" s="636"/>
      <c r="AG199" s="636"/>
      <c r="AH199" s="636"/>
      <c r="AI199" s="636" t="s">
        <v>650</v>
      </c>
      <c r="AJ199" s="636"/>
      <c r="AK199" s="636"/>
      <c r="AL199" s="636"/>
      <c r="AM199" s="636"/>
      <c r="AN199" s="273" t="s">
        <v>764</v>
      </c>
      <c r="AO199" s="273"/>
      <c r="AP199" s="273"/>
      <c r="AQ199" s="273"/>
      <c r="AR199" s="273"/>
      <c r="AS199" s="273"/>
      <c r="AT199" s="273"/>
      <c r="AU199" s="273"/>
      <c r="AV199" s="273"/>
      <c r="AW199" s="273"/>
      <c r="AX199" s="273"/>
      <c r="AY199" s="273"/>
      <c r="AZ199" s="273"/>
      <c r="BA199" s="273"/>
      <c r="BB199" s="273"/>
      <c r="BC199" s="273"/>
      <c r="BD199" s="273"/>
      <c r="BE199" s="273"/>
      <c r="BF199" s="273"/>
      <c r="BG199" s="273"/>
      <c r="BH199" s="273" t="s">
        <v>765</v>
      </c>
      <c r="BI199" s="273"/>
      <c r="BJ199" s="273"/>
      <c r="BK199" s="273"/>
      <c r="BL199" s="273"/>
      <c r="BM199" s="273"/>
      <c r="BN199" s="273"/>
      <c r="BO199" s="273"/>
      <c r="BP199" s="273"/>
      <c r="BQ199" s="273"/>
      <c r="BR199" s="273"/>
      <c r="BS199" s="273"/>
      <c r="BT199" s="273"/>
      <c r="BU199" s="273"/>
      <c r="BV199" s="273"/>
      <c r="BW199" s="273"/>
      <c r="BX199" s="273"/>
      <c r="BY199" s="273"/>
      <c r="BZ199" s="273"/>
      <c r="CA199" s="273"/>
      <c r="CB199" s="273" t="s">
        <v>766</v>
      </c>
      <c r="CC199" s="273"/>
      <c r="CD199" s="273"/>
      <c r="CE199" s="273"/>
      <c r="CF199" s="273"/>
      <c r="CG199" s="273"/>
      <c r="CH199" s="273"/>
      <c r="CI199" s="273"/>
      <c r="CJ199" s="273"/>
      <c r="CK199" s="273"/>
      <c r="CL199" s="273"/>
      <c r="CM199" s="273"/>
      <c r="CN199" s="273"/>
      <c r="CO199" s="273"/>
      <c r="CP199" s="273"/>
      <c r="CQ199" s="273"/>
      <c r="CR199" s="273"/>
      <c r="CS199" s="273"/>
      <c r="CT199" s="273"/>
      <c r="CU199" s="273"/>
      <c r="CV199" s="273" t="s">
        <v>489</v>
      </c>
      <c r="CW199" s="273"/>
      <c r="CX199" s="273"/>
      <c r="CY199" s="273"/>
      <c r="CZ199" s="273"/>
      <c r="DA199" s="273"/>
      <c r="DB199" s="273"/>
      <c r="DC199" s="273"/>
      <c r="DD199" s="273"/>
      <c r="DE199" s="273"/>
      <c r="DF199" s="273"/>
      <c r="DG199" s="273"/>
      <c r="DH199" s="273"/>
      <c r="DI199" s="273"/>
      <c r="DJ199" s="273"/>
      <c r="DK199" s="273"/>
      <c r="DL199" s="273"/>
      <c r="DM199" s="273"/>
      <c r="DN199" s="273"/>
      <c r="DO199" s="273"/>
    </row>
    <row r="200" spans="3:119" ht="13.5" customHeight="1">
      <c r="C200" s="273" t="s">
        <v>414</v>
      </c>
      <c r="D200" s="273"/>
      <c r="E200" s="273"/>
      <c r="F200" s="273"/>
      <c r="G200" s="273"/>
      <c r="H200" s="273"/>
      <c r="I200" s="273"/>
      <c r="J200" s="636" t="s">
        <v>424</v>
      </c>
      <c r="K200" s="636"/>
      <c r="L200" s="636"/>
      <c r="M200" s="636"/>
      <c r="N200" s="636"/>
      <c r="O200" s="636" t="s">
        <v>490</v>
      </c>
      <c r="P200" s="636"/>
      <c r="Q200" s="636"/>
      <c r="R200" s="636"/>
      <c r="S200" s="636"/>
      <c r="T200" s="636" t="s">
        <v>482</v>
      </c>
      <c r="U200" s="636"/>
      <c r="V200" s="636"/>
      <c r="W200" s="636"/>
      <c r="X200" s="636"/>
      <c r="Y200" s="636" t="s">
        <v>483</v>
      </c>
      <c r="Z200" s="636"/>
      <c r="AA200" s="636"/>
      <c r="AB200" s="636"/>
      <c r="AC200" s="636"/>
      <c r="AD200" s="636" t="s">
        <v>484</v>
      </c>
      <c r="AE200" s="636"/>
      <c r="AF200" s="636"/>
      <c r="AG200" s="636"/>
      <c r="AH200" s="636"/>
      <c r="AI200" s="636" t="s">
        <v>485</v>
      </c>
      <c r="AJ200" s="636"/>
      <c r="AK200" s="636"/>
      <c r="AL200" s="636"/>
      <c r="AM200" s="636"/>
      <c r="AN200" s="273" t="s">
        <v>767</v>
      </c>
      <c r="AO200" s="273"/>
      <c r="AP200" s="273"/>
      <c r="AQ200" s="273"/>
      <c r="AR200" s="273"/>
      <c r="AS200" s="273"/>
      <c r="AT200" s="273"/>
      <c r="AU200" s="273"/>
      <c r="AV200" s="273"/>
      <c r="AW200" s="273"/>
      <c r="AX200" s="273"/>
      <c r="AY200" s="273"/>
      <c r="AZ200" s="273"/>
      <c r="BA200" s="273"/>
      <c r="BB200" s="273"/>
      <c r="BC200" s="273"/>
      <c r="BD200" s="273"/>
      <c r="BE200" s="273"/>
      <c r="BF200" s="273"/>
      <c r="BG200" s="273"/>
      <c r="BH200" s="273" t="s">
        <v>768</v>
      </c>
      <c r="BI200" s="273"/>
      <c r="BJ200" s="273"/>
      <c r="BK200" s="273"/>
      <c r="BL200" s="273"/>
      <c r="BM200" s="273"/>
      <c r="BN200" s="273"/>
      <c r="BO200" s="273"/>
      <c r="BP200" s="273"/>
      <c r="BQ200" s="273"/>
      <c r="BR200" s="273"/>
      <c r="BS200" s="273"/>
      <c r="BT200" s="273"/>
      <c r="BU200" s="273"/>
      <c r="BV200" s="273"/>
      <c r="BW200" s="273"/>
      <c r="BX200" s="273"/>
      <c r="BY200" s="273"/>
      <c r="BZ200" s="273"/>
      <c r="CA200" s="273"/>
      <c r="CB200" s="273" t="s">
        <v>489</v>
      </c>
      <c r="CC200" s="273"/>
      <c r="CD200" s="273"/>
      <c r="CE200" s="273"/>
      <c r="CF200" s="273"/>
      <c r="CG200" s="273"/>
      <c r="CH200" s="273"/>
      <c r="CI200" s="273"/>
      <c r="CJ200" s="273"/>
      <c r="CK200" s="273"/>
      <c r="CL200" s="273"/>
      <c r="CM200" s="273"/>
      <c r="CN200" s="273"/>
      <c r="CO200" s="273"/>
      <c r="CP200" s="273"/>
      <c r="CQ200" s="273"/>
      <c r="CR200" s="273"/>
      <c r="CS200" s="273"/>
      <c r="CT200" s="273"/>
      <c r="CU200" s="273"/>
      <c r="CV200" s="273" t="s">
        <v>769</v>
      </c>
      <c r="CW200" s="273"/>
      <c r="CX200" s="273"/>
      <c r="CY200" s="273"/>
      <c r="CZ200" s="273"/>
      <c r="DA200" s="273"/>
      <c r="DB200" s="273"/>
      <c r="DC200" s="273"/>
      <c r="DD200" s="273"/>
      <c r="DE200" s="273"/>
      <c r="DF200" s="273"/>
      <c r="DG200" s="273"/>
      <c r="DH200" s="273"/>
      <c r="DI200" s="273"/>
      <c r="DJ200" s="273"/>
      <c r="DK200" s="273"/>
      <c r="DL200" s="273"/>
      <c r="DM200" s="273"/>
      <c r="DN200" s="273"/>
      <c r="DO200" s="273"/>
    </row>
    <row r="202" spans="3:119" ht="13.5" customHeight="1">
      <c r="C202" s="639" t="s">
        <v>866</v>
      </c>
      <c r="D202" s="406"/>
      <c r="E202" s="406"/>
      <c r="F202" s="406"/>
      <c r="G202" s="406"/>
      <c r="H202" s="406"/>
      <c r="I202" s="406"/>
      <c r="J202" s="406"/>
      <c r="K202" s="406"/>
      <c r="L202" s="406"/>
      <c r="M202" s="406"/>
      <c r="N202" s="406"/>
      <c r="O202" s="406"/>
      <c r="P202" s="406"/>
      <c r="Q202" s="406"/>
      <c r="R202" s="406"/>
    </row>
    <row r="203" spans="3:119" ht="13.5" customHeight="1">
      <c r="C203" s="409"/>
      <c r="D203" s="409"/>
      <c r="E203" s="409"/>
      <c r="F203" s="409"/>
      <c r="G203" s="409"/>
      <c r="H203" s="409"/>
      <c r="I203" s="409"/>
      <c r="J203" s="409"/>
      <c r="K203" s="409"/>
      <c r="L203" s="409"/>
      <c r="M203" s="409"/>
      <c r="N203" s="409"/>
      <c r="O203" s="409"/>
      <c r="P203" s="409"/>
      <c r="Q203" s="409"/>
      <c r="R203" s="409"/>
    </row>
    <row r="204" spans="3:119" ht="13.5" customHeight="1">
      <c r="C204" s="315" t="s">
        <v>867</v>
      </c>
      <c r="D204" s="315"/>
      <c r="E204" s="315"/>
      <c r="F204" s="315"/>
      <c r="G204" s="315"/>
      <c r="H204" s="315"/>
      <c r="I204" s="315"/>
      <c r="J204" s="651" t="s">
        <v>868</v>
      </c>
      <c r="K204" s="651"/>
      <c r="L204" s="651"/>
      <c r="M204" s="651"/>
      <c r="N204" s="651"/>
      <c r="O204" s="27" t="s">
        <v>869</v>
      </c>
    </row>
    <row r="205" spans="3:119" ht="13.5" customHeight="1">
      <c r="C205" s="273" t="s">
        <v>930</v>
      </c>
      <c r="D205" s="273"/>
      <c r="E205" s="273"/>
      <c r="F205" s="273"/>
      <c r="G205" s="273"/>
      <c r="H205" s="273"/>
      <c r="I205" s="273"/>
      <c r="J205" s="636" t="s">
        <v>931</v>
      </c>
      <c r="K205" s="636"/>
      <c r="L205" s="636"/>
      <c r="M205" s="636"/>
      <c r="N205" s="636"/>
      <c r="O205" s="652" t="s">
        <v>932</v>
      </c>
      <c r="P205" s="274"/>
      <c r="Q205" s="274"/>
      <c r="R205" s="274"/>
      <c r="S205" s="274"/>
      <c r="T205" s="274"/>
      <c r="U205" s="274"/>
      <c r="V205" s="274"/>
      <c r="W205" s="274"/>
      <c r="X205" s="274"/>
      <c r="Y205" s="274"/>
      <c r="Z205" s="274"/>
      <c r="AA205" s="274"/>
      <c r="AB205" s="274"/>
      <c r="AC205" s="274"/>
      <c r="AD205" s="274"/>
      <c r="AE205" s="274"/>
      <c r="AF205" s="274"/>
      <c r="AG205" s="274"/>
      <c r="AH205" s="274"/>
      <c r="AI205" s="274"/>
      <c r="AJ205" s="274"/>
      <c r="AK205" s="274"/>
      <c r="AL205" s="274"/>
      <c r="AM205" s="274"/>
      <c r="AN205" s="274"/>
      <c r="AO205" s="274"/>
      <c r="AP205" s="274"/>
      <c r="AQ205" s="274"/>
      <c r="AR205" s="274"/>
      <c r="AS205" s="274"/>
      <c r="AT205" s="274"/>
      <c r="AU205" s="274"/>
      <c r="AV205" s="274"/>
      <c r="AW205" s="274"/>
      <c r="AX205" s="274"/>
      <c r="AY205" s="274"/>
      <c r="AZ205" s="274"/>
      <c r="BA205" s="274"/>
      <c r="BB205" s="274"/>
      <c r="BC205" s="274"/>
      <c r="BD205" s="274"/>
      <c r="BE205" s="274"/>
      <c r="BF205" s="274"/>
      <c r="BG205" s="274"/>
      <c r="BH205" s="274"/>
      <c r="BI205" s="274"/>
      <c r="BJ205" s="274"/>
      <c r="BK205" s="274"/>
      <c r="BL205" s="274"/>
      <c r="BM205" s="274"/>
      <c r="BN205" s="274"/>
      <c r="BO205" s="274"/>
      <c r="BP205" s="274"/>
      <c r="BQ205" s="274"/>
      <c r="BR205" s="274"/>
      <c r="BS205" s="274"/>
      <c r="BT205" s="274"/>
      <c r="BU205" s="274"/>
      <c r="BV205" s="274"/>
      <c r="BW205" s="274"/>
      <c r="BX205" s="274"/>
      <c r="BY205" s="274"/>
      <c r="BZ205" s="274"/>
      <c r="CA205" s="274"/>
      <c r="CB205" s="274"/>
      <c r="CC205" s="274"/>
      <c r="CD205" s="274"/>
      <c r="CE205" s="274"/>
      <c r="CF205" s="274"/>
      <c r="CG205" s="274"/>
      <c r="CH205" s="274"/>
      <c r="CI205" s="274"/>
      <c r="CJ205" s="274"/>
      <c r="CK205" s="274"/>
      <c r="CL205" s="274"/>
      <c r="CM205" s="274"/>
      <c r="CN205" s="274"/>
      <c r="CO205" s="274"/>
      <c r="CP205" s="274"/>
      <c r="CQ205" s="274"/>
      <c r="CR205" s="274"/>
      <c r="CS205" s="274"/>
      <c r="CT205" s="274"/>
      <c r="CU205" s="274"/>
      <c r="CV205" s="274"/>
      <c r="CW205" s="274"/>
      <c r="CX205" s="274"/>
      <c r="CY205" s="274"/>
      <c r="CZ205" s="274"/>
      <c r="DA205" s="274"/>
      <c r="DB205" s="274"/>
      <c r="DC205" s="274"/>
      <c r="DD205" s="274"/>
      <c r="DE205" s="274"/>
      <c r="DF205" s="274"/>
      <c r="DG205" s="274"/>
      <c r="DH205" s="274"/>
      <c r="DI205" s="274"/>
      <c r="DJ205" s="274"/>
      <c r="DK205" s="274"/>
      <c r="DL205" s="274"/>
      <c r="DM205" s="274"/>
      <c r="DN205" s="274"/>
      <c r="DO205" s="274"/>
    </row>
    <row r="206" spans="3:119" ht="13.5" customHeight="1">
      <c r="C206" s="273" t="s">
        <v>934</v>
      </c>
      <c r="D206" s="273"/>
      <c r="E206" s="273"/>
      <c r="F206" s="273"/>
      <c r="G206" s="273"/>
      <c r="H206" s="273"/>
      <c r="I206" s="273"/>
      <c r="J206" s="636" t="s">
        <v>931</v>
      </c>
      <c r="K206" s="636"/>
      <c r="L206" s="636"/>
      <c r="M206" s="636"/>
      <c r="N206" s="636"/>
      <c r="O206" s="653" t="s">
        <v>933</v>
      </c>
      <c r="P206" s="273"/>
      <c r="Q206" s="273"/>
      <c r="R206" s="273"/>
      <c r="S206" s="273"/>
      <c r="T206" s="273"/>
      <c r="U206" s="273"/>
      <c r="V206" s="273"/>
      <c r="W206" s="273"/>
      <c r="X206" s="273"/>
      <c r="Y206" s="273"/>
      <c r="Z206" s="273"/>
      <c r="AA206" s="273"/>
      <c r="AB206" s="273"/>
      <c r="AC206" s="273"/>
      <c r="AD206" s="273"/>
      <c r="AE206" s="273"/>
      <c r="AF206" s="273"/>
      <c r="AG206" s="273"/>
      <c r="AH206" s="273"/>
      <c r="AI206" s="273"/>
      <c r="AJ206" s="273"/>
      <c r="AK206" s="273"/>
      <c r="AL206" s="273"/>
      <c r="AM206" s="273"/>
      <c r="AN206" s="273"/>
      <c r="AO206" s="273"/>
      <c r="AP206" s="273"/>
      <c r="AQ206" s="273"/>
      <c r="AR206" s="273"/>
      <c r="AS206" s="273"/>
      <c r="AT206" s="273"/>
      <c r="AU206" s="273"/>
      <c r="AV206" s="273"/>
      <c r="AW206" s="273"/>
      <c r="AX206" s="273"/>
      <c r="AY206" s="273"/>
      <c r="AZ206" s="273"/>
      <c r="BA206" s="273"/>
      <c r="BB206" s="273"/>
      <c r="BC206" s="273"/>
      <c r="BD206" s="273"/>
      <c r="BE206" s="273"/>
      <c r="BF206" s="273"/>
      <c r="BG206" s="273"/>
      <c r="BH206" s="273"/>
      <c r="BI206" s="273"/>
      <c r="BJ206" s="273"/>
      <c r="BK206" s="273"/>
      <c r="BL206" s="273"/>
      <c r="BM206" s="273"/>
      <c r="BN206" s="273"/>
      <c r="BO206" s="273"/>
      <c r="BP206" s="273"/>
      <c r="BQ206" s="273"/>
      <c r="BR206" s="273"/>
      <c r="BS206" s="273"/>
      <c r="BT206" s="273"/>
      <c r="BU206" s="273"/>
      <c r="BV206" s="273"/>
      <c r="BW206" s="273"/>
      <c r="BX206" s="273"/>
      <c r="BY206" s="273"/>
      <c r="BZ206" s="273"/>
      <c r="CA206" s="273"/>
      <c r="CB206" s="273"/>
      <c r="CC206" s="273"/>
      <c r="CD206" s="273"/>
      <c r="CE206" s="273"/>
      <c r="CF206" s="273"/>
      <c r="CG206" s="273"/>
      <c r="CH206" s="273"/>
      <c r="CI206" s="273"/>
      <c r="CJ206" s="273"/>
      <c r="CK206" s="273"/>
      <c r="CL206" s="273"/>
      <c r="CM206" s="273"/>
      <c r="CN206" s="273"/>
      <c r="CO206" s="273"/>
      <c r="CP206" s="273"/>
      <c r="CQ206" s="273"/>
      <c r="CR206" s="273"/>
      <c r="CS206" s="273"/>
      <c r="CT206" s="273"/>
      <c r="CU206" s="273"/>
      <c r="CV206" s="273"/>
      <c r="CW206" s="273"/>
      <c r="CX206" s="273"/>
      <c r="CY206" s="273"/>
      <c r="CZ206" s="273"/>
      <c r="DA206" s="273"/>
      <c r="DB206" s="273"/>
      <c r="DC206" s="273"/>
      <c r="DD206" s="273"/>
      <c r="DE206" s="273"/>
      <c r="DF206" s="273"/>
      <c r="DG206" s="273"/>
      <c r="DH206" s="273"/>
      <c r="DI206" s="273"/>
      <c r="DJ206" s="273"/>
      <c r="DK206" s="273"/>
      <c r="DL206" s="273"/>
      <c r="DM206" s="273"/>
      <c r="DN206" s="273"/>
      <c r="DO206" s="273"/>
    </row>
    <row r="207" spans="3:119" ht="13.5" customHeight="1">
      <c r="C207" s="273"/>
      <c r="D207" s="273"/>
      <c r="E207" s="273"/>
      <c r="F207" s="273"/>
      <c r="G207" s="273"/>
      <c r="H207" s="273"/>
      <c r="I207" s="273"/>
      <c r="J207" s="636"/>
      <c r="K207" s="636"/>
      <c r="L207" s="636"/>
      <c r="M207" s="636"/>
      <c r="N207" s="636"/>
      <c r="O207" s="273"/>
      <c r="P207" s="273"/>
      <c r="Q207" s="273"/>
      <c r="R207" s="273"/>
      <c r="S207" s="273"/>
      <c r="T207" s="273"/>
      <c r="U207" s="273"/>
      <c r="V207" s="273"/>
      <c r="W207" s="273"/>
      <c r="X207" s="273"/>
      <c r="Y207" s="273"/>
      <c r="Z207" s="273"/>
      <c r="AA207" s="273"/>
      <c r="AB207" s="273"/>
      <c r="AC207" s="273"/>
      <c r="AD207" s="273"/>
      <c r="AE207" s="273"/>
      <c r="AF207" s="273"/>
      <c r="AG207" s="273"/>
      <c r="AH207" s="273"/>
      <c r="AI207" s="273"/>
      <c r="AJ207" s="273"/>
      <c r="AK207" s="273"/>
      <c r="AL207" s="273"/>
      <c r="AM207" s="273"/>
      <c r="AN207" s="273"/>
      <c r="AO207" s="273"/>
      <c r="AP207" s="273"/>
      <c r="AQ207" s="273"/>
      <c r="AR207" s="273"/>
      <c r="AS207" s="273"/>
      <c r="AT207" s="273"/>
      <c r="AU207" s="273"/>
      <c r="AV207" s="273"/>
      <c r="AW207" s="273"/>
      <c r="AX207" s="273"/>
      <c r="AY207" s="273"/>
      <c r="AZ207" s="273"/>
      <c r="BA207" s="273"/>
      <c r="BB207" s="273"/>
      <c r="BC207" s="273"/>
      <c r="BD207" s="273"/>
      <c r="BE207" s="273"/>
      <c r="BF207" s="273"/>
      <c r="BG207" s="273"/>
      <c r="BH207" s="273"/>
      <c r="BI207" s="273"/>
      <c r="BJ207" s="273"/>
      <c r="BK207" s="273"/>
      <c r="BL207" s="273"/>
      <c r="BM207" s="273"/>
      <c r="BN207" s="273"/>
      <c r="BO207" s="273"/>
      <c r="BP207" s="273"/>
      <c r="BQ207" s="273"/>
      <c r="BR207" s="273"/>
      <c r="BS207" s="273"/>
      <c r="BT207" s="273"/>
      <c r="BU207" s="273"/>
      <c r="BV207" s="273"/>
      <c r="BW207" s="273"/>
      <c r="BX207" s="273"/>
      <c r="BY207" s="273"/>
      <c r="BZ207" s="273"/>
      <c r="CA207" s="273"/>
      <c r="CB207" s="273"/>
      <c r="CC207" s="273"/>
      <c r="CD207" s="273"/>
      <c r="CE207" s="273"/>
      <c r="CF207" s="273"/>
      <c r="CG207" s="273"/>
      <c r="CH207" s="273"/>
      <c r="CI207" s="273"/>
      <c r="CJ207" s="273"/>
      <c r="CK207" s="273"/>
      <c r="CL207" s="273"/>
      <c r="CM207" s="273"/>
      <c r="CN207" s="273"/>
      <c r="CO207" s="273"/>
      <c r="CP207" s="273"/>
      <c r="CQ207" s="273"/>
      <c r="CR207" s="273"/>
      <c r="CS207" s="273"/>
      <c r="CT207" s="273"/>
      <c r="CU207" s="273"/>
      <c r="CV207" s="273"/>
      <c r="CW207" s="273"/>
      <c r="CX207" s="273"/>
      <c r="CY207" s="273"/>
      <c r="CZ207" s="273"/>
      <c r="DA207" s="273"/>
      <c r="DB207" s="273"/>
      <c r="DC207" s="273"/>
      <c r="DD207" s="273"/>
      <c r="DE207" s="273"/>
      <c r="DF207" s="273"/>
      <c r="DG207" s="273"/>
      <c r="DH207" s="273"/>
      <c r="DI207" s="273"/>
      <c r="DJ207" s="273"/>
      <c r="DK207" s="273"/>
      <c r="DL207" s="273"/>
      <c r="DM207" s="273"/>
      <c r="DN207" s="273"/>
      <c r="DO207" s="273"/>
    </row>
    <row r="208" spans="3:119" ht="13.5" customHeight="1">
      <c r="C208" s="273"/>
      <c r="D208" s="273"/>
      <c r="E208" s="273"/>
      <c r="F208" s="273"/>
      <c r="G208" s="273"/>
      <c r="H208" s="273"/>
      <c r="I208" s="273"/>
      <c r="J208" s="636"/>
      <c r="K208" s="636"/>
      <c r="L208" s="636"/>
      <c r="M208" s="636"/>
      <c r="N208" s="636"/>
      <c r="O208" s="273"/>
      <c r="P208" s="273"/>
      <c r="Q208" s="273"/>
      <c r="R208" s="273"/>
      <c r="S208" s="273"/>
      <c r="T208" s="273"/>
      <c r="U208" s="273"/>
      <c r="V208" s="273"/>
      <c r="W208" s="273"/>
      <c r="X208" s="273"/>
      <c r="Y208" s="273"/>
      <c r="Z208" s="273"/>
      <c r="AA208" s="273"/>
      <c r="AB208" s="273"/>
      <c r="AC208" s="273"/>
      <c r="AD208" s="273"/>
      <c r="AE208" s="273"/>
      <c r="AF208" s="273"/>
      <c r="AG208" s="273"/>
      <c r="AH208" s="273"/>
      <c r="AI208" s="273"/>
      <c r="AJ208" s="273"/>
      <c r="AK208" s="273"/>
      <c r="AL208" s="273"/>
      <c r="AM208" s="273"/>
      <c r="AN208" s="273"/>
      <c r="AO208" s="273"/>
      <c r="AP208" s="273"/>
      <c r="AQ208" s="273"/>
      <c r="AR208" s="273"/>
      <c r="AS208" s="273"/>
      <c r="AT208" s="273"/>
      <c r="AU208" s="273"/>
      <c r="AV208" s="273"/>
      <c r="AW208" s="273"/>
      <c r="AX208" s="273"/>
      <c r="AY208" s="273"/>
      <c r="AZ208" s="273"/>
      <c r="BA208" s="273"/>
      <c r="BB208" s="273"/>
      <c r="BC208" s="273"/>
      <c r="BD208" s="273"/>
      <c r="BE208" s="273"/>
      <c r="BF208" s="273"/>
      <c r="BG208" s="273"/>
      <c r="BH208" s="273"/>
      <c r="BI208" s="273"/>
      <c r="BJ208" s="273"/>
      <c r="BK208" s="273"/>
      <c r="BL208" s="273"/>
      <c r="BM208" s="273"/>
      <c r="BN208" s="273"/>
      <c r="BO208" s="273"/>
      <c r="BP208" s="273"/>
      <c r="BQ208" s="273"/>
      <c r="BR208" s="273"/>
      <c r="BS208" s="273"/>
      <c r="BT208" s="273"/>
      <c r="BU208" s="273"/>
      <c r="BV208" s="273"/>
      <c r="BW208" s="273"/>
      <c r="BX208" s="273"/>
      <c r="BY208" s="273"/>
      <c r="BZ208" s="273"/>
      <c r="CA208" s="273"/>
      <c r="CB208" s="273"/>
      <c r="CC208" s="273"/>
      <c r="CD208" s="273"/>
      <c r="CE208" s="273"/>
      <c r="CF208" s="273"/>
      <c r="CG208" s="273"/>
      <c r="CH208" s="273"/>
      <c r="CI208" s="273"/>
      <c r="CJ208" s="273"/>
      <c r="CK208" s="273"/>
      <c r="CL208" s="273"/>
      <c r="CM208" s="273"/>
      <c r="CN208" s="273"/>
      <c r="CO208" s="273"/>
      <c r="CP208" s="273"/>
      <c r="CQ208" s="273"/>
      <c r="CR208" s="273"/>
      <c r="CS208" s="273"/>
      <c r="CT208" s="273"/>
      <c r="CU208" s="273"/>
      <c r="CV208" s="273"/>
      <c r="CW208" s="273"/>
      <c r="CX208" s="273"/>
      <c r="CY208" s="273"/>
      <c r="CZ208" s="273"/>
      <c r="DA208" s="273"/>
      <c r="DB208" s="273"/>
      <c r="DC208" s="273"/>
      <c r="DD208" s="273"/>
      <c r="DE208" s="273"/>
      <c r="DF208" s="273"/>
      <c r="DG208" s="273"/>
      <c r="DH208" s="273"/>
      <c r="DI208" s="273"/>
      <c r="DJ208" s="273"/>
      <c r="DK208" s="273"/>
      <c r="DL208" s="273"/>
      <c r="DM208" s="273"/>
      <c r="DN208" s="273"/>
      <c r="DO208" s="273"/>
    </row>
    <row r="209" spans="3:119" ht="13.5" customHeight="1">
      <c r="C209" s="273"/>
      <c r="D209" s="273"/>
      <c r="E209" s="273"/>
      <c r="F209" s="273"/>
      <c r="G209" s="273"/>
      <c r="H209" s="273"/>
      <c r="I209" s="273"/>
      <c r="J209" s="636"/>
      <c r="K209" s="636"/>
      <c r="L209" s="636"/>
      <c r="M209" s="636"/>
      <c r="N209" s="636"/>
      <c r="O209" s="273"/>
      <c r="P209" s="273"/>
      <c r="Q209" s="273"/>
      <c r="R209" s="273"/>
      <c r="S209" s="273"/>
      <c r="T209" s="273"/>
      <c r="U209" s="273"/>
      <c r="V209" s="273"/>
      <c r="W209" s="273"/>
      <c r="X209" s="273"/>
      <c r="Y209" s="273"/>
      <c r="Z209" s="273"/>
      <c r="AA209" s="273"/>
      <c r="AB209" s="273"/>
      <c r="AC209" s="273"/>
      <c r="AD209" s="273"/>
      <c r="AE209" s="273"/>
      <c r="AF209" s="273"/>
      <c r="AG209" s="273"/>
      <c r="AH209" s="273"/>
      <c r="AI209" s="273"/>
      <c r="AJ209" s="273"/>
      <c r="AK209" s="273"/>
      <c r="AL209" s="273"/>
      <c r="AM209" s="273"/>
      <c r="AN209" s="273"/>
      <c r="AO209" s="273"/>
      <c r="AP209" s="273"/>
      <c r="AQ209" s="273"/>
      <c r="AR209" s="273"/>
      <c r="AS209" s="273"/>
      <c r="AT209" s="273"/>
      <c r="AU209" s="273"/>
      <c r="AV209" s="273"/>
      <c r="AW209" s="273"/>
      <c r="AX209" s="273"/>
      <c r="AY209" s="273"/>
      <c r="AZ209" s="273"/>
      <c r="BA209" s="273"/>
      <c r="BB209" s="273"/>
      <c r="BC209" s="273"/>
      <c r="BD209" s="273"/>
      <c r="BE209" s="273"/>
      <c r="BF209" s="273"/>
      <c r="BG209" s="273"/>
      <c r="BH209" s="273"/>
      <c r="BI209" s="273"/>
      <c r="BJ209" s="273"/>
      <c r="BK209" s="273"/>
      <c r="BL209" s="273"/>
      <c r="BM209" s="273"/>
      <c r="BN209" s="273"/>
      <c r="BO209" s="273"/>
      <c r="BP209" s="273"/>
      <c r="BQ209" s="273"/>
      <c r="BR209" s="273"/>
      <c r="BS209" s="273"/>
      <c r="BT209" s="273"/>
      <c r="BU209" s="273"/>
      <c r="BV209" s="273"/>
      <c r="BW209" s="273"/>
      <c r="BX209" s="273"/>
      <c r="BY209" s="273"/>
      <c r="BZ209" s="273"/>
      <c r="CA209" s="273"/>
      <c r="CB209" s="273"/>
      <c r="CC209" s="273"/>
      <c r="CD209" s="273"/>
      <c r="CE209" s="273"/>
      <c r="CF209" s="273"/>
      <c r="CG209" s="273"/>
      <c r="CH209" s="273"/>
      <c r="CI209" s="273"/>
      <c r="CJ209" s="273"/>
      <c r="CK209" s="273"/>
      <c r="CL209" s="273"/>
      <c r="CM209" s="273"/>
      <c r="CN209" s="273"/>
      <c r="CO209" s="273"/>
      <c r="CP209" s="273"/>
      <c r="CQ209" s="273"/>
      <c r="CR209" s="273"/>
      <c r="CS209" s="273"/>
      <c r="CT209" s="273"/>
      <c r="CU209" s="273"/>
      <c r="CV209" s="273"/>
      <c r="CW209" s="273"/>
      <c r="CX209" s="273"/>
      <c r="CY209" s="273"/>
      <c r="CZ209" s="273"/>
      <c r="DA209" s="273"/>
      <c r="DB209" s="273"/>
      <c r="DC209" s="273"/>
      <c r="DD209" s="273"/>
      <c r="DE209" s="273"/>
      <c r="DF209" s="273"/>
      <c r="DG209" s="273"/>
      <c r="DH209" s="273"/>
      <c r="DI209" s="273"/>
      <c r="DJ209" s="273"/>
      <c r="DK209" s="273"/>
      <c r="DL209" s="273"/>
      <c r="DM209" s="273"/>
      <c r="DN209" s="273"/>
      <c r="DO209" s="273"/>
    </row>
    <row r="210" spans="3:119" ht="13.5" customHeight="1">
      <c r="C210" s="273"/>
      <c r="D210" s="273"/>
      <c r="E210" s="273"/>
      <c r="F210" s="273"/>
      <c r="G210" s="273"/>
      <c r="H210" s="273"/>
      <c r="I210" s="273"/>
      <c r="J210" s="636"/>
      <c r="K210" s="636"/>
      <c r="L210" s="636"/>
      <c r="M210" s="636"/>
      <c r="N210" s="636"/>
      <c r="O210" s="273"/>
      <c r="P210" s="273"/>
      <c r="Q210" s="273"/>
      <c r="R210" s="273"/>
      <c r="S210" s="273"/>
      <c r="T210" s="273"/>
      <c r="U210" s="273"/>
      <c r="V210" s="273"/>
      <c r="W210" s="273"/>
      <c r="X210" s="273"/>
      <c r="Y210" s="273"/>
      <c r="Z210" s="273"/>
      <c r="AA210" s="273"/>
      <c r="AB210" s="273"/>
      <c r="AC210" s="273"/>
      <c r="AD210" s="273"/>
      <c r="AE210" s="273"/>
      <c r="AF210" s="273"/>
      <c r="AG210" s="273"/>
      <c r="AH210" s="273"/>
      <c r="AI210" s="273"/>
      <c r="AJ210" s="273"/>
      <c r="AK210" s="273"/>
      <c r="AL210" s="273"/>
      <c r="AM210" s="273"/>
      <c r="AN210" s="273"/>
      <c r="AO210" s="273"/>
      <c r="AP210" s="273"/>
      <c r="AQ210" s="273"/>
      <c r="AR210" s="273"/>
      <c r="AS210" s="273"/>
      <c r="AT210" s="273"/>
      <c r="AU210" s="273"/>
      <c r="AV210" s="273"/>
      <c r="AW210" s="273"/>
      <c r="AX210" s="273"/>
      <c r="AY210" s="273"/>
      <c r="AZ210" s="273"/>
      <c r="BA210" s="273"/>
      <c r="BB210" s="273"/>
      <c r="BC210" s="273"/>
      <c r="BD210" s="273"/>
      <c r="BE210" s="273"/>
      <c r="BF210" s="273"/>
      <c r="BG210" s="273"/>
      <c r="BH210" s="273"/>
      <c r="BI210" s="273"/>
      <c r="BJ210" s="273"/>
      <c r="BK210" s="273"/>
      <c r="BL210" s="273"/>
      <c r="BM210" s="273"/>
      <c r="BN210" s="273"/>
      <c r="BO210" s="273"/>
      <c r="BP210" s="273"/>
      <c r="BQ210" s="273"/>
      <c r="BR210" s="273"/>
      <c r="BS210" s="273"/>
      <c r="BT210" s="273"/>
      <c r="BU210" s="273"/>
      <c r="BV210" s="273"/>
      <c r="BW210" s="273"/>
      <c r="BX210" s="273"/>
      <c r="BY210" s="273"/>
      <c r="BZ210" s="273"/>
      <c r="CA210" s="273"/>
      <c r="CB210" s="273"/>
      <c r="CC210" s="273"/>
      <c r="CD210" s="273"/>
      <c r="CE210" s="273"/>
      <c r="CF210" s="273"/>
      <c r="CG210" s="273"/>
      <c r="CH210" s="273"/>
      <c r="CI210" s="273"/>
      <c r="CJ210" s="273"/>
      <c r="CK210" s="273"/>
      <c r="CL210" s="273"/>
      <c r="CM210" s="273"/>
      <c r="CN210" s="273"/>
      <c r="CO210" s="273"/>
      <c r="CP210" s="273"/>
      <c r="CQ210" s="273"/>
      <c r="CR210" s="273"/>
      <c r="CS210" s="273"/>
      <c r="CT210" s="273"/>
      <c r="CU210" s="273"/>
      <c r="CV210" s="273"/>
      <c r="CW210" s="273"/>
      <c r="CX210" s="273"/>
      <c r="CY210" s="273"/>
      <c r="CZ210" s="273"/>
      <c r="DA210" s="273"/>
      <c r="DB210" s="273"/>
      <c r="DC210" s="273"/>
      <c r="DD210" s="273"/>
      <c r="DE210" s="273"/>
      <c r="DF210" s="273"/>
      <c r="DG210" s="273"/>
      <c r="DH210" s="273"/>
      <c r="DI210" s="273"/>
      <c r="DJ210" s="273"/>
      <c r="DK210" s="273"/>
      <c r="DL210" s="273"/>
      <c r="DM210" s="273"/>
      <c r="DN210" s="273"/>
      <c r="DO210" s="273"/>
    </row>
    <row r="211" spans="3:119" ht="13.5" customHeight="1">
      <c r="C211" s="273"/>
      <c r="D211" s="273"/>
      <c r="E211" s="273"/>
      <c r="F211" s="273"/>
      <c r="G211" s="273"/>
      <c r="H211" s="273"/>
      <c r="I211" s="273"/>
      <c r="J211" s="636"/>
      <c r="K211" s="636"/>
      <c r="L211" s="636"/>
      <c r="M211" s="636"/>
      <c r="N211" s="636"/>
      <c r="O211" s="273"/>
      <c r="P211" s="273"/>
      <c r="Q211" s="273"/>
      <c r="R211" s="273"/>
      <c r="S211" s="273"/>
      <c r="T211" s="273"/>
      <c r="U211" s="273"/>
      <c r="V211" s="273"/>
      <c r="W211" s="273"/>
      <c r="X211" s="273"/>
      <c r="Y211" s="273"/>
      <c r="Z211" s="273"/>
      <c r="AA211" s="273"/>
      <c r="AB211" s="273"/>
      <c r="AC211" s="273"/>
      <c r="AD211" s="273"/>
      <c r="AE211" s="273"/>
      <c r="AF211" s="273"/>
      <c r="AG211" s="273"/>
      <c r="AH211" s="273"/>
      <c r="AI211" s="273"/>
      <c r="AJ211" s="273"/>
      <c r="AK211" s="273"/>
      <c r="AL211" s="273"/>
      <c r="AM211" s="273"/>
      <c r="AN211" s="273"/>
      <c r="AO211" s="273"/>
      <c r="AP211" s="273"/>
      <c r="AQ211" s="273"/>
      <c r="AR211" s="273"/>
      <c r="AS211" s="273"/>
      <c r="AT211" s="273"/>
      <c r="AU211" s="273"/>
      <c r="AV211" s="273"/>
      <c r="AW211" s="273"/>
      <c r="AX211" s="273"/>
      <c r="AY211" s="273"/>
      <c r="AZ211" s="273"/>
      <c r="BA211" s="273"/>
      <c r="BB211" s="273"/>
      <c r="BC211" s="273"/>
      <c r="BD211" s="273"/>
      <c r="BE211" s="273"/>
      <c r="BF211" s="273"/>
      <c r="BG211" s="273"/>
      <c r="BH211" s="273"/>
      <c r="BI211" s="273"/>
      <c r="BJ211" s="273"/>
      <c r="BK211" s="273"/>
      <c r="BL211" s="273"/>
      <c r="BM211" s="273"/>
      <c r="BN211" s="273"/>
      <c r="BO211" s="273"/>
      <c r="BP211" s="273"/>
      <c r="BQ211" s="273"/>
      <c r="BR211" s="273"/>
      <c r="BS211" s="273"/>
      <c r="BT211" s="273"/>
      <c r="BU211" s="273"/>
      <c r="BV211" s="273"/>
      <c r="BW211" s="273"/>
      <c r="BX211" s="273"/>
      <c r="BY211" s="273"/>
      <c r="BZ211" s="273"/>
      <c r="CA211" s="273"/>
      <c r="CB211" s="273"/>
      <c r="CC211" s="273"/>
      <c r="CD211" s="273"/>
      <c r="CE211" s="273"/>
      <c r="CF211" s="273"/>
      <c r="CG211" s="273"/>
      <c r="CH211" s="273"/>
      <c r="CI211" s="273"/>
      <c r="CJ211" s="273"/>
      <c r="CK211" s="273"/>
      <c r="CL211" s="273"/>
      <c r="CM211" s="273"/>
      <c r="CN211" s="273"/>
      <c r="CO211" s="273"/>
      <c r="CP211" s="273"/>
      <c r="CQ211" s="273"/>
      <c r="CR211" s="273"/>
      <c r="CS211" s="273"/>
      <c r="CT211" s="273"/>
      <c r="CU211" s="273"/>
      <c r="CV211" s="273"/>
      <c r="CW211" s="273"/>
      <c r="CX211" s="273"/>
      <c r="CY211" s="273"/>
      <c r="CZ211" s="273"/>
      <c r="DA211" s="273"/>
      <c r="DB211" s="273"/>
      <c r="DC211" s="273"/>
      <c r="DD211" s="273"/>
      <c r="DE211" s="273"/>
      <c r="DF211" s="273"/>
      <c r="DG211" s="273"/>
      <c r="DH211" s="273"/>
      <c r="DI211" s="273"/>
      <c r="DJ211" s="273"/>
      <c r="DK211" s="273"/>
      <c r="DL211" s="273"/>
      <c r="DM211" s="273"/>
      <c r="DN211" s="273"/>
      <c r="DO211" s="273"/>
    </row>
    <row r="212" spans="3:119" ht="13.5" customHeight="1">
      <c r="C212" s="273"/>
      <c r="D212" s="273"/>
      <c r="E212" s="273"/>
      <c r="F212" s="273"/>
      <c r="G212" s="273"/>
      <c r="H212" s="273"/>
      <c r="I212" s="273"/>
      <c r="J212" s="636"/>
      <c r="K212" s="636"/>
      <c r="L212" s="636"/>
      <c r="M212" s="636"/>
      <c r="N212" s="636"/>
      <c r="O212" s="273"/>
      <c r="P212" s="273"/>
      <c r="Q212" s="273"/>
      <c r="R212" s="273"/>
      <c r="S212" s="273"/>
      <c r="T212" s="273"/>
      <c r="U212" s="273"/>
      <c r="V212" s="273"/>
      <c r="W212" s="273"/>
      <c r="X212" s="273"/>
      <c r="Y212" s="273"/>
      <c r="Z212" s="273"/>
      <c r="AA212" s="273"/>
      <c r="AB212" s="273"/>
      <c r="AC212" s="273"/>
      <c r="AD212" s="273"/>
      <c r="AE212" s="273"/>
      <c r="AF212" s="273"/>
      <c r="AG212" s="273"/>
      <c r="AH212" s="273"/>
      <c r="AI212" s="273"/>
      <c r="AJ212" s="273"/>
      <c r="AK212" s="273"/>
      <c r="AL212" s="273"/>
      <c r="AM212" s="273"/>
      <c r="AN212" s="273"/>
      <c r="AO212" s="273"/>
      <c r="AP212" s="273"/>
      <c r="AQ212" s="273"/>
      <c r="AR212" s="273"/>
      <c r="AS212" s="273"/>
      <c r="AT212" s="273"/>
      <c r="AU212" s="273"/>
      <c r="AV212" s="273"/>
      <c r="AW212" s="273"/>
      <c r="AX212" s="273"/>
      <c r="AY212" s="273"/>
      <c r="AZ212" s="273"/>
      <c r="BA212" s="273"/>
      <c r="BB212" s="273"/>
      <c r="BC212" s="273"/>
      <c r="BD212" s="273"/>
      <c r="BE212" s="273"/>
      <c r="BF212" s="273"/>
      <c r="BG212" s="273"/>
      <c r="BH212" s="273"/>
      <c r="BI212" s="273"/>
      <c r="BJ212" s="273"/>
      <c r="BK212" s="273"/>
      <c r="BL212" s="273"/>
      <c r="BM212" s="273"/>
      <c r="BN212" s="273"/>
      <c r="BO212" s="273"/>
      <c r="BP212" s="273"/>
      <c r="BQ212" s="273"/>
      <c r="BR212" s="273"/>
      <c r="BS212" s="273"/>
      <c r="BT212" s="273"/>
      <c r="BU212" s="273"/>
      <c r="BV212" s="273"/>
      <c r="BW212" s="273"/>
      <c r="BX212" s="273"/>
      <c r="BY212" s="273"/>
      <c r="BZ212" s="273"/>
      <c r="CA212" s="273"/>
      <c r="CB212" s="273"/>
      <c r="CC212" s="273"/>
      <c r="CD212" s="273"/>
      <c r="CE212" s="273"/>
      <c r="CF212" s="273"/>
      <c r="CG212" s="273"/>
      <c r="CH212" s="273"/>
      <c r="CI212" s="273"/>
      <c r="CJ212" s="273"/>
      <c r="CK212" s="273"/>
      <c r="CL212" s="273"/>
      <c r="CM212" s="273"/>
      <c r="CN212" s="273"/>
      <c r="CO212" s="273"/>
      <c r="CP212" s="273"/>
      <c r="CQ212" s="273"/>
      <c r="CR212" s="273"/>
      <c r="CS212" s="273"/>
      <c r="CT212" s="273"/>
      <c r="CU212" s="273"/>
      <c r="CV212" s="273"/>
      <c r="CW212" s="273"/>
      <c r="CX212" s="273"/>
      <c r="CY212" s="273"/>
      <c r="CZ212" s="273"/>
      <c r="DA212" s="273"/>
      <c r="DB212" s="273"/>
      <c r="DC212" s="273"/>
      <c r="DD212" s="273"/>
      <c r="DE212" s="273"/>
      <c r="DF212" s="273"/>
      <c r="DG212" s="273"/>
      <c r="DH212" s="273"/>
      <c r="DI212" s="273"/>
      <c r="DJ212" s="273"/>
      <c r="DK212" s="273"/>
      <c r="DL212" s="273"/>
      <c r="DM212" s="273"/>
      <c r="DN212" s="273"/>
      <c r="DO212" s="273"/>
    </row>
    <row r="213" spans="3:119" ht="13.5" customHeight="1">
      <c r="C213" s="273"/>
      <c r="D213" s="273"/>
      <c r="E213" s="273"/>
      <c r="F213" s="273"/>
      <c r="G213" s="273"/>
      <c r="H213" s="273"/>
      <c r="I213" s="273"/>
      <c r="J213" s="636"/>
      <c r="K213" s="636"/>
      <c r="L213" s="636"/>
      <c r="M213" s="636"/>
      <c r="N213" s="636"/>
      <c r="O213" s="273"/>
      <c r="P213" s="273"/>
      <c r="Q213" s="273"/>
      <c r="R213" s="273"/>
      <c r="S213" s="273"/>
      <c r="T213" s="273"/>
      <c r="U213" s="273"/>
      <c r="V213" s="273"/>
      <c r="W213" s="273"/>
      <c r="X213" s="273"/>
      <c r="Y213" s="273"/>
      <c r="Z213" s="273"/>
      <c r="AA213" s="273"/>
      <c r="AB213" s="273"/>
      <c r="AC213" s="273"/>
      <c r="AD213" s="273"/>
      <c r="AE213" s="273"/>
      <c r="AF213" s="273"/>
      <c r="AG213" s="273"/>
      <c r="AH213" s="273"/>
      <c r="AI213" s="273"/>
      <c r="AJ213" s="273"/>
      <c r="AK213" s="273"/>
      <c r="AL213" s="273"/>
      <c r="AM213" s="273"/>
      <c r="AN213" s="273"/>
      <c r="AO213" s="273"/>
      <c r="AP213" s="273"/>
      <c r="AQ213" s="273"/>
      <c r="AR213" s="273"/>
      <c r="AS213" s="273"/>
      <c r="AT213" s="273"/>
      <c r="AU213" s="273"/>
      <c r="AV213" s="273"/>
      <c r="AW213" s="273"/>
      <c r="AX213" s="273"/>
      <c r="AY213" s="273"/>
      <c r="AZ213" s="273"/>
      <c r="BA213" s="273"/>
      <c r="BB213" s="273"/>
      <c r="BC213" s="273"/>
      <c r="BD213" s="273"/>
      <c r="BE213" s="273"/>
      <c r="BF213" s="273"/>
      <c r="BG213" s="273"/>
      <c r="BH213" s="273"/>
      <c r="BI213" s="273"/>
      <c r="BJ213" s="273"/>
      <c r="BK213" s="273"/>
      <c r="BL213" s="273"/>
      <c r="BM213" s="273"/>
      <c r="BN213" s="273"/>
      <c r="BO213" s="273"/>
      <c r="BP213" s="273"/>
      <c r="BQ213" s="273"/>
      <c r="BR213" s="273"/>
      <c r="BS213" s="273"/>
      <c r="BT213" s="273"/>
      <c r="BU213" s="273"/>
      <c r="BV213" s="273"/>
      <c r="BW213" s="273"/>
      <c r="BX213" s="273"/>
      <c r="BY213" s="273"/>
      <c r="BZ213" s="273"/>
      <c r="CA213" s="273"/>
      <c r="CB213" s="273"/>
      <c r="CC213" s="273"/>
      <c r="CD213" s="273"/>
      <c r="CE213" s="273"/>
      <c r="CF213" s="273"/>
      <c r="CG213" s="273"/>
      <c r="CH213" s="273"/>
      <c r="CI213" s="273"/>
      <c r="CJ213" s="273"/>
      <c r="CK213" s="273"/>
      <c r="CL213" s="273"/>
      <c r="CM213" s="273"/>
      <c r="CN213" s="273"/>
      <c r="CO213" s="273"/>
      <c r="CP213" s="273"/>
      <c r="CQ213" s="273"/>
      <c r="CR213" s="273"/>
      <c r="CS213" s="273"/>
      <c r="CT213" s="273"/>
      <c r="CU213" s="273"/>
      <c r="CV213" s="273"/>
      <c r="CW213" s="273"/>
      <c r="CX213" s="273"/>
      <c r="CY213" s="273"/>
      <c r="CZ213" s="273"/>
      <c r="DA213" s="273"/>
      <c r="DB213" s="273"/>
      <c r="DC213" s="273"/>
      <c r="DD213" s="273"/>
      <c r="DE213" s="273"/>
      <c r="DF213" s="273"/>
      <c r="DG213" s="273"/>
      <c r="DH213" s="273"/>
      <c r="DI213" s="273"/>
      <c r="DJ213" s="273"/>
      <c r="DK213" s="273"/>
      <c r="DL213" s="273"/>
      <c r="DM213" s="273"/>
      <c r="DN213" s="273"/>
      <c r="DO213" s="273"/>
    </row>
    <row r="214" spans="3:119" ht="13.5" customHeight="1">
      <c r="C214" s="273"/>
      <c r="D214" s="273"/>
      <c r="E214" s="273"/>
      <c r="F214" s="273"/>
      <c r="G214" s="273"/>
      <c r="H214" s="273"/>
      <c r="I214" s="273"/>
      <c r="J214" s="636"/>
      <c r="K214" s="636"/>
      <c r="L214" s="636"/>
      <c r="M214" s="636"/>
      <c r="N214" s="636"/>
      <c r="O214" s="273"/>
      <c r="P214" s="273"/>
      <c r="Q214" s="273"/>
      <c r="R214" s="273"/>
      <c r="S214" s="273"/>
      <c r="T214" s="273"/>
      <c r="U214" s="273"/>
      <c r="V214" s="273"/>
      <c r="W214" s="273"/>
      <c r="X214" s="273"/>
      <c r="Y214" s="273"/>
      <c r="Z214" s="273"/>
      <c r="AA214" s="273"/>
      <c r="AB214" s="273"/>
      <c r="AC214" s="273"/>
      <c r="AD214" s="273"/>
      <c r="AE214" s="273"/>
      <c r="AF214" s="273"/>
      <c r="AG214" s="273"/>
      <c r="AH214" s="273"/>
      <c r="AI214" s="273"/>
      <c r="AJ214" s="273"/>
      <c r="AK214" s="273"/>
      <c r="AL214" s="273"/>
      <c r="AM214" s="273"/>
      <c r="AN214" s="273"/>
      <c r="AO214" s="273"/>
      <c r="AP214" s="273"/>
      <c r="AQ214" s="273"/>
      <c r="AR214" s="273"/>
      <c r="AS214" s="273"/>
      <c r="AT214" s="273"/>
      <c r="AU214" s="273"/>
      <c r="AV214" s="273"/>
      <c r="AW214" s="273"/>
      <c r="AX214" s="273"/>
      <c r="AY214" s="273"/>
      <c r="AZ214" s="273"/>
      <c r="BA214" s="273"/>
      <c r="BB214" s="273"/>
      <c r="BC214" s="273"/>
      <c r="BD214" s="273"/>
      <c r="BE214" s="273"/>
      <c r="BF214" s="273"/>
      <c r="BG214" s="273"/>
      <c r="BH214" s="273"/>
      <c r="BI214" s="273"/>
      <c r="BJ214" s="273"/>
      <c r="BK214" s="273"/>
      <c r="BL214" s="273"/>
      <c r="BM214" s="273"/>
      <c r="BN214" s="273"/>
      <c r="BO214" s="273"/>
      <c r="BP214" s="273"/>
      <c r="BQ214" s="273"/>
      <c r="BR214" s="273"/>
      <c r="BS214" s="273"/>
      <c r="BT214" s="273"/>
      <c r="BU214" s="273"/>
      <c r="BV214" s="273"/>
      <c r="BW214" s="273"/>
      <c r="BX214" s="273"/>
      <c r="BY214" s="273"/>
      <c r="BZ214" s="273"/>
      <c r="CA214" s="273"/>
      <c r="CB214" s="273"/>
      <c r="CC214" s="273"/>
      <c r="CD214" s="273"/>
      <c r="CE214" s="273"/>
      <c r="CF214" s="273"/>
      <c r="CG214" s="273"/>
      <c r="CH214" s="273"/>
      <c r="CI214" s="273"/>
      <c r="CJ214" s="273"/>
      <c r="CK214" s="273"/>
      <c r="CL214" s="273"/>
      <c r="CM214" s="273"/>
      <c r="CN214" s="273"/>
      <c r="CO214" s="273"/>
      <c r="CP214" s="273"/>
      <c r="CQ214" s="273"/>
      <c r="CR214" s="273"/>
      <c r="CS214" s="273"/>
      <c r="CT214" s="273"/>
      <c r="CU214" s="273"/>
      <c r="CV214" s="273"/>
      <c r="CW214" s="273"/>
      <c r="CX214" s="273"/>
      <c r="CY214" s="273"/>
      <c r="CZ214" s="273"/>
      <c r="DA214" s="273"/>
      <c r="DB214" s="273"/>
      <c r="DC214" s="273"/>
      <c r="DD214" s="273"/>
      <c r="DE214" s="273"/>
      <c r="DF214" s="273"/>
      <c r="DG214" s="273"/>
      <c r="DH214" s="273"/>
      <c r="DI214" s="273"/>
      <c r="DJ214" s="273"/>
      <c r="DK214" s="273"/>
      <c r="DL214" s="273"/>
      <c r="DM214" s="273"/>
      <c r="DN214" s="273"/>
      <c r="DO214" s="273"/>
    </row>
    <row r="215" spans="3:119" ht="13.5" customHeight="1">
      <c r="C215" s="273"/>
      <c r="D215" s="273"/>
      <c r="E215" s="273"/>
      <c r="F215" s="273"/>
      <c r="G215" s="273"/>
      <c r="H215" s="273"/>
      <c r="I215" s="273"/>
      <c r="J215" s="636"/>
      <c r="K215" s="636"/>
      <c r="L215" s="636"/>
      <c r="M215" s="636"/>
      <c r="N215" s="636"/>
      <c r="O215" s="273"/>
      <c r="P215" s="273"/>
      <c r="Q215" s="273"/>
      <c r="R215" s="273"/>
      <c r="S215" s="273"/>
      <c r="T215" s="273"/>
      <c r="U215" s="273"/>
      <c r="V215" s="273"/>
      <c r="W215" s="273"/>
      <c r="X215" s="273"/>
      <c r="Y215" s="273"/>
      <c r="Z215" s="273"/>
      <c r="AA215" s="273"/>
      <c r="AB215" s="273"/>
      <c r="AC215" s="273"/>
      <c r="AD215" s="273"/>
      <c r="AE215" s="273"/>
      <c r="AF215" s="273"/>
      <c r="AG215" s="273"/>
      <c r="AH215" s="273"/>
      <c r="AI215" s="273"/>
      <c r="AJ215" s="273"/>
      <c r="AK215" s="273"/>
      <c r="AL215" s="273"/>
      <c r="AM215" s="273"/>
      <c r="AN215" s="273"/>
      <c r="AO215" s="273"/>
      <c r="AP215" s="273"/>
      <c r="AQ215" s="273"/>
      <c r="AR215" s="273"/>
      <c r="AS215" s="273"/>
      <c r="AT215" s="273"/>
      <c r="AU215" s="273"/>
      <c r="AV215" s="273"/>
      <c r="AW215" s="273"/>
      <c r="AX215" s="273"/>
      <c r="AY215" s="273"/>
      <c r="AZ215" s="273"/>
      <c r="BA215" s="273"/>
      <c r="BB215" s="273"/>
      <c r="BC215" s="273"/>
      <c r="BD215" s="273"/>
      <c r="BE215" s="273"/>
      <c r="BF215" s="273"/>
      <c r="BG215" s="273"/>
      <c r="BH215" s="273"/>
      <c r="BI215" s="273"/>
      <c r="BJ215" s="273"/>
      <c r="BK215" s="273"/>
      <c r="BL215" s="273"/>
      <c r="BM215" s="273"/>
      <c r="BN215" s="273"/>
      <c r="BO215" s="273"/>
      <c r="BP215" s="273"/>
      <c r="BQ215" s="273"/>
      <c r="BR215" s="273"/>
      <c r="BS215" s="273"/>
      <c r="BT215" s="273"/>
      <c r="BU215" s="273"/>
      <c r="BV215" s="273"/>
      <c r="BW215" s="273"/>
      <c r="BX215" s="273"/>
      <c r="BY215" s="273"/>
      <c r="BZ215" s="273"/>
      <c r="CA215" s="273"/>
      <c r="CB215" s="273"/>
      <c r="CC215" s="273"/>
      <c r="CD215" s="273"/>
      <c r="CE215" s="273"/>
      <c r="CF215" s="273"/>
      <c r="CG215" s="273"/>
      <c r="CH215" s="273"/>
      <c r="CI215" s="273"/>
      <c r="CJ215" s="273"/>
      <c r="CK215" s="273"/>
      <c r="CL215" s="273"/>
      <c r="CM215" s="273"/>
      <c r="CN215" s="273"/>
      <c r="CO215" s="273"/>
      <c r="CP215" s="273"/>
      <c r="CQ215" s="273"/>
      <c r="CR215" s="273"/>
      <c r="CS215" s="273"/>
      <c r="CT215" s="273"/>
      <c r="CU215" s="273"/>
      <c r="CV215" s="273"/>
      <c r="CW215" s="273"/>
      <c r="CX215" s="273"/>
      <c r="CY215" s="273"/>
      <c r="CZ215" s="273"/>
      <c r="DA215" s="273"/>
      <c r="DB215" s="273"/>
      <c r="DC215" s="273"/>
      <c r="DD215" s="273"/>
      <c r="DE215" s="273"/>
      <c r="DF215" s="273"/>
      <c r="DG215" s="273"/>
      <c r="DH215" s="273"/>
      <c r="DI215" s="273"/>
      <c r="DJ215" s="273"/>
      <c r="DK215" s="273"/>
      <c r="DL215" s="273"/>
      <c r="DM215" s="273"/>
      <c r="DN215" s="273"/>
      <c r="DO215" s="273"/>
    </row>
    <row r="216" spans="3:119" ht="13.5" customHeight="1">
      <c r="C216" s="273"/>
      <c r="D216" s="273"/>
      <c r="E216" s="273"/>
      <c r="F216" s="273"/>
      <c r="G216" s="273"/>
      <c r="H216" s="273"/>
      <c r="I216" s="273"/>
      <c r="J216" s="636"/>
      <c r="K216" s="636"/>
      <c r="L216" s="636"/>
      <c r="M216" s="636"/>
      <c r="N216" s="636"/>
      <c r="O216" s="273"/>
      <c r="P216" s="273"/>
      <c r="Q216" s="273"/>
      <c r="R216" s="273"/>
      <c r="S216" s="273"/>
      <c r="T216" s="273"/>
      <c r="U216" s="273"/>
      <c r="V216" s="273"/>
      <c r="W216" s="273"/>
      <c r="X216" s="273"/>
      <c r="Y216" s="273"/>
      <c r="Z216" s="273"/>
      <c r="AA216" s="273"/>
      <c r="AB216" s="273"/>
      <c r="AC216" s="273"/>
      <c r="AD216" s="273"/>
      <c r="AE216" s="273"/>
      <c r="AF216" s="273"/>
      <c r="AG216" s="273"/>
      <c r="AH216" s="273"/>
      <c r="AI216" s="273"/>
      <c r="AJ216" s="273"/>
      <c r="AK216" s="273"/>
      <c r="AL216" s="273"/>
      <c r="AM216" s="273"/>
      <c r="AN216" s="273"/>
      <c r="AO216" s="273"/>
      <c r="AP216" s="273"/>
      <c r="AQ216" s="273"/>
      <c r="AR216" s="273"/>
      <c r="AS216" s="273"/>
      <c r="AT216" s="273"/>
      <c r="AU216" s="273"/>
      <c r="AV216" s="273"/>
      <c r="AW216" s="273"/>
      <c r="AX216" s="273"/>
      <c r="AY216" s="273"/>
      <c r="AZ216" s="273"/>
      <c r="BA216" s="273"/>
      <c r="BB216" s="273"/>
      <c r="BC216" s="273"/>
      <c r="BD216" s="273"/>
      <c r="BE216" s="273"/>
      <c r="BF216" s="273"/>
      <c r="BG216" s="273"/>
      <c r="BH216" s="273"/>
      <c r="BI216" s="273"/>
      <c r="BJ216" s="273"/>
      <c r="BK216" s="273"/>
      <c r="BL216" s="273"/>
      <c r="BM216" s="273"/>
      <c r="BN216" s="273"/>
      <c r="BO216" s="273"/>
      <c r="BP216" s="273"/>
      <c r="BQ216" s="273"/>
      <c r="BR216" s="273"/>
      <c r="BS216" s="273"/>
      <c r="BT216" s="273"/>
      <c r="BU216" s="273"/>
      <c r="BV216" s="273"/>
      <c r="BW216" s="273"/>
      <c r="BX216" s="273"/>
      <c r="BY216" s="273"/>
      <c r="BZ216" s="273"/>
      <c r="CA216" s="273"/>
      <c r="CB216" s="273"/>
      <c r="CC216" s="273"/>
      <c r="CD216" s="273"/>
      <c r="CE216" s="273"/>
      <c r="CF216" s="273"/>
      <c r="CG216" s="273"/>
      <c r="CH216" s="273"/>
      <c r="CI216" s="273"/>
      <c r="CJ216" s="273"/>
      <c r="CK216" s="273"/>
      <c r="CL216" s="273"/>
      <c r="CM216" s="273"/>
      <c r="CN216" s="273"/>
      <c r="CO216" s="273"/>
      <c r="CP216" s="273"/>
      <c r="CQ216" s="273"/>
      <c r="CR216" s="273"/>
      <c r="CS216" s="273"/>
      <c r="CT216" s="273"/>
      <c r="CU216" s="273"/>
      <c r="CV216" s="273"/>
      <c r="CW216" s="273"/>
      <c r="CX216" s="273"/>
      <c r="CY216" s="273"/>
      <c r="CZ216" s="273"/>
      <c r="DA216" s="273"/>
      <c r="DB216" s="273"/>
      <c r="DC216" s="273"/>
      <c r="DD216" s="273"/>
      <c r="DE216" s="273"/>
      <c r="DF216" s="273"/>
      <c r="DG216" s="273"/>
      <c r="DH216" s="273"/>
      <c r="DI216" s="273"/>
      <c r="DJ216" s="273"/>
      <c r="DK216" s="273"/>
      <c r="DL216" s="273"/>
      <c r="DM216" s="273"/>
      <c r="DN216" s="273"/>
      <c r="DO216" s="273"/>
    </row>
    <row r="217" spans="3:119" ht="13.5" customHeight="1">
      <c r="C217" s="273"/>
      <c r="D217" s="273"/>
      <c r="E217" s="273"/>
      <c r="F217" s="273"/>
      <c r="G217" s="273"/>
      <c r="H217" s="273"/>
      <c r="I217" s="273"/>
      <c r="J217" s="636"/>
      <c r="K217" s="636"/>
      <c r="L217" s="636"/>
      <c r="M217" s="636"/>
      <c r="N217" s="636"/>
      <c r="O217" s="273"/>
      <c r="P217" s="273"/>
      <c r="Q217" s="273"/>
      <c r="R217" s="273"/>
      <c r="S217" s="273"/>
      <c r="T217" s="273"/>
      <c r="U217" s="273"/>
      <c r="V217" s="273"/>
      <c r="W217" s="273"/>
      <c r="X217" s="273"/>
      <c r="Y217" s="273"/>
      <c r="Z217" s="273"/>
      <c r="AA217" s="273"/>
      <c r="AB217" s="273"/>
      <c r="AC217" s="273"/>
      <c r="AD217" s="273"/>
      <c r="AE217" s="273"/>
      <c r="AF217" s="273"/>
      <c r="AG217" s="273"/>
      <c r="AH217" s="273"/>
      <c r="AI217" s="273"/>
      <c r="AJ217" s="273"/>
      <c r="AK217" s="273"/>
      <c r="AL217" s="273"/>
      <c r="AM217" s="273"/>
      <c r="AN217" s="273"/>
      <c r="AO217" s="273"/>
      <c r="AP217" s="273"/>
      <c r="AQ217" s="273"/>
      <c r="AR217" s="273"/>
      <c r="AS217" s="273"/>
      <c r="AT217" s="273"/>
      <c r="AU217" s="273"/>
      <c r="AV217" s="273"/>
      <c r="AW217" s="273"/>
      <c r="AX217" s="273"/>
      <c r="AY217" s="273"/>
      <c r="AZ217" s="273"/>
      <c r="BA217" s="273"/>
      <c r="BB217" s="273"/>
      <c r="BC217" s="273"/>
      <c r="BD217" s="273"/>
      <c r="BE217" s="273"/>
      <c r="BF217" s="273"/>
      <c r="BG217" s="273"/>
      <c r="BH217" s="273"/>
      <c r="BI217" s="273"/>
      <c r="BJ217" s="273"/>
      <c r="BK217" s="273"/>
      <c r="BL217" s="273"/>
      <c r="BM217" s="273"/>
      <c r="BN217" s="273"/>
      <c r="BO217" s="273"/>
      <c r="BP217" s="273"/>
      <c r="BQ217" s="273"/>
      <c r="BR217" s="273"/>
      <c r="BS217" s="273"/>
      <c r="BT217" s="273"/>
      <c r="BU217" s="273"/>
      <c r="BV217" s="273"/>
      <c r="BW217" s="273"/>
      <c r="BX217" s="273"/>
      <c r="BY217" s="273"/>
      <c r="BZ217" s="273"/>
      <c r="CA217" s="273"/>
      <c r="CB217" s="273"/>
      <c r="CC217" s="273"/>
      <c r="CD217" s="273"/>
      <c r="CE217" s="273"/>
      <c r="CF217" s="273"/>
      <c r="CG217" s="273"/>
      <c r="CH217" s="273"/>
      <c r="CI217" s="273"/>
      <c r="CJ217" s="273"/>
      <c r="CK217" s="273"/>
      <c r="CL217" s="273"/>
      <c r="CM217" s="273"/>
      <c r="CN217" s="273"/>
      <c r="CO217" s="273"/>
      <c r="CP217" s="273"/>
      <c r="CQ217" s="273"/>
      <c r="CR217" s="273"/>
      <c r="CS217" s="273"/>
      <c r="CT217" s="273"/>
      <c r="CU217" s="273"/>
      <c r="CV217" s="273"/>
      <c r="CW217" s="273"/>
      <c r="CX217" s="273"/>
      <c r="CY217" s="273"/>
      <c r="CZ217" s="273"/>
      <c r="DA217" s="273"/>
      <c r="DB217" s="273"/>
      <c r="DC217" s="273"/>
      <c r="DD217" s="273"/>
      <c r="DE217" s="273"/>
      <c r="DF217" s="273"/>
      <c r="DG217" s="273"/>
      <c r="DH217" s="273"/>
      <c r="DI217" s="273"/>
      <c r="DJ217" s="273"/>
      <c r="DK217" s="273"/>
      <c r="DL217" s="273"/>
      <c r="DM217" s="273"/>
      <c r="DN217" s="273"/>
      <c r="DO217" s="273"/>
    </row>
    <row r="218" spans="3:119" ht="13.5" customHeight="1">
      <c r="C218" s="273"/>
      <c r="D218" s="273"/>
      <c r="E218" s="273"/>
      <c r="F218" s="273"/>
      <c r="G218" s="273"/>
      <c r="H218" s="273"/>
      <c r="I218" s="273"/>
      <c r="J218" s="636"/>
      <c r="K218" s="636"/>
      <c r="L218" s="636"/>
      <c r="M218" s="636"/>
      <c r="N218" s="636"/>
      <c r="O218" s="273"/>
      <c r="P218" s="273"/>
      <c r="Q218" s="273"/>
      <c r="R218" s="273"/>
      <c r="S218" s="273"/>
      <c r="T218" s="273"/>
      <c r="U218" s="273"/>
      <c r="V218" s="273"/>
      <c r="W218" s="273"/>
      <c r="X218" s="273"/>
      <c r="Y218" s="273"/>
      <c r="Z218" s="273"/>
      <c r="AA218" s="273"/>
      <c r="AB218" s="273"/>
      <c r="AC218" s="273"/>
      <c r="AD218" s="273"/>
      <c r="AE218" s="273"/>
      <c r="AF218" s="273"/>
      <c r="AG218" s="273"/>
      <c r="AH218" s="273"/>
      <c r="AI218" s="273"/>
      <c r="AJ218" s="273"/>
      <c r="AK218" s="273"/>
      <c r="AL218" s="273"/>
      <c r="AM218" s="273"/>
      <c r="AN218" s="273"/>
      <c r="AO218" s="273"/>
      <c r="AP218" s="273"/>
      <c r="AQ218" s="273"/>
      <c r="AR218" s="273"/>
      <c r="AS218" s="273"/>
      <c r="AT218" s="273"/>
      <c r="AU218" s="273"/>
      <c r="AV218" s="273"/>
      <c r="AW218" s="273"/>
      <c r="AX218" s="273"/>
      <c r="AY218" s="273"/>
      <c r="AZ218" s="273"/>
      <c r="BA218" s="273"/>
      <c r="BB218" s="273"/>
      <c r="BC218" s="273"/>
      <c r="BD218" s="273"/>
      <c r="BE218" s="273"/>
      <c r="BF218" s="273"/>
      <c r="BG218" s="273"/>
      <c r="BH218" s="273"/>
      <c r="BI218" s="273"/>
      <c r="BJ218" s="273"/>
      <c r="BK218" s="273"/>
      <c r="BL218" s="273"/>
      <c r="BM218" s="273"/>
      <c r="BN218" s="273"/>
      <c r="BO218" s="273"/>
      <c r="BP218" s="273"/>
      <c r="BQ218" s="273"/>
      <c r="BR218" s="273"/>
      <c r="BS218" s="273"/>
      <c r="BT218" s="273"/>
      <c r="BU218" s="273"/>
      <c r="BV218" s="273"/>
      <c r="BW218" s="273"/>
      <c r="BX218" s="273"/>
      <c r="BY218" s="273"/>
      <c r="BZ218" s="273"/>
      <c r="CA218" s="273"/>
      <c r="CB218" s="273"/>
      <c r="CC218" s="273"/>
      <c r="CD218" s="273"/>
      <c r="CE218" s="273"/>
      <c r="CF218" s="273"/>
      <c r="CG218" s="273"/>
      <c r="CH218" s="273"/>
      <c r="CI218" s="273"/>
      <c r="CJ218" s="273"/>
      <c r="CK218" s="273"/>
      <c r="CL218" s="273"/>
      <c r="CM218" s="273"/>
      <c r="CN218" s="273"/>
      <c r="CO218" s="273"/>
      <c r="CP218" s="273"/>
      <c r="CQ218" s="273"/>
      <c r="CR218" s="273"/>
      <c r="CS218" s="273"/>
      <c r="CT218" s="273"/>
      <c r="CU218" s="273"/>
      <c r="CV218" s="273"/>
      <c r="CW218" s="273"/>
      <c r="CX218" s="273"/>
      <c r="CY218" s="273"/>
      <c r="CZ218" s="273"/>
      <c r="DA218" s="273"/>
      <c r="DB218" s="273"/>
      <c r="DC218" s="273"/>
      <c r="DD218" s="273"/>
      <c r="DE218" s="273"/>
      <c r="DF218" s="273"/>
      <c r="DG218" s="273"/>
      <c r="DH218" s="273"/>
      <c r="DI218" s="273"/>
      <c r="DJ218" s="273"/>
      <c r="DK218" s="273"/>
      <c r="DL218" s="273"/>
      <c r="DM218" s="273"/>
      <c r="DN218" s="273"/>
      <c r="DO218" s="273"/>
    </row>
    <row r="219" spans="3:119" ht="13.5" customHeight="1">
      <c r="C219" s="273"/>
      <c r="D219" s="273"/>
      <c r="E219" s="273"/>
      <c r="F219" s="273"/>
      <c r="G219" s="273"/>
      <c r="H219" s="273"/>
      <c r="I219" s="273"/>
      <c r="J219" s="636"/>
      <c r="K219" s="636"/>
      <c r="L219" s="636"/>
      <c r="M219" s="636"/>
      <c r="N219" s="636"/>
      <c r="O219" s="273"/>
      <c r="P219" s="273"/>
      <c r="Q219" s="273"/>
      <c r="R219" s="273"/>
      <c r="S219" s="273"/>
      <c r="T219" s="273"/>
      <c r="U219" s="273"/>
      <c r="V219" s="273"/>
      <c r="W219" s="273"/>
      <c r="X219" s="273"/>
      <c r="Y219" s="273"/>
      <c r="Z219" s="273"/>
      <c r="AA219" s="273"/>
      <c r="AB219" s="273"/>
      <c r="AC219" s="273"/>
      <c r="AD219" s="273"/>
      <c r="AE219" s="273"/>
      <c r="AF219" s="273"/>
      <c r="AG219" s="273"/>
      <c r="AH219" s="273"/>
      <c r="AI219" s="273"/>
      <c r="AJ219" s="273"/>
      <c r="AK219" s="273"/>
      <c r="AL219" s="273"/>
      <c r="AM219" s="273"/>
      <c r="AN219" s="273"/>
      <c r="AO219" s="273"/>
      <c r="AP219" s="273"/>
      <c r="AQ219" s="273"/>
      <c r="AR219" s="273"/>
      <c r="AS219" s="273"/>
      <c r="AT219" s="273"/>
      <c r="AU219" s="273"/>
      <c r="AV219" s="273"/>
      <c r="AW219" s="273"/>
      <c r="AX219" s="273"/>
      <c r="AY219" s="273"/>
      <c r="AZ219" s="273"/>
      <c r="BA219" s="273"/>
      <c r="BB219" s="273"/>
      <c r="BC219" s="273"/>
      <c r="BD219" s="273"/>
      <c r="BE219" s="273"/>
      <c r="BF219" s="273"/>
      <c r="BG219" s="273"/>
      <c r="BH219" s="273"/>
      <c r="BI219" s="273"/>
      <c r="BJ219" s="273"/>
      <c r="BK219" s="273"/>
      <c r="BL219" s="273"/>
      <c r="BM219" s="273"/>
      <c r="BN219" s="273"/>
      <c r="BO219" s="273"/>
      <c r="BP219" s="273"/>
      <c r="BQ219" s="273"/>
      <c r="BR219" s="273"/>
      <c r="BS219" s="273"/>
      <c r="BT219" s="273"/>
      <c r="BU219" s="273"/>
      <c r="BV219" s="273"/>
      <c r="BW219" s="273"/>
      <c r="BX219" s="273"/>
      <c r="BY219" s="273"/>
      <c r="BZ219" s="273"/>
      <c r="CA219" s="273"/>
      <c r="CB219" s="273"/>
      <c r="CC219" s="273"/>
      <c r="CD219" s="273"/>
      <c r="CE219" s="273"/>
      <c r="CF219" s="273"/>
      <c r="CG219" s="273"/>
      <c r="CH219" s="273"/>
      <c r="CI219" s="273"/>
      <c r="CJ219" s="273"/>
      <c r="CK219" s="273"/>
      <c r="CL219" s="273"/>
      <c r="CM219" s="273"/>
      <c r="CN219" s="273"/>
      <c r="CO219" s="273"/>
      <c r="CP219" s="273"/>
      <c r="CQ219" s="273"/>
      <c r="CR219" s="273"/>
      <c r="CS219" s="273"/>
      <c r="CT219" s="273"/>
      <c r="CU219" s="273"/>
      <c r="CV219" s="273"/>
      <c r="CW219" s="273"/>
      <c r="CX219" s="273"/>
      <c r="CY219" s="273"/>
      <c r="CZ219" s="273"/>
      <c r="DA219" s="273"/>
      <c r="DB219" s="273"/>
      <c r="DC219" s="273"/>
      <c r="DD219" s="273"/>
      <c r="DE219" s="273"/>
      <c r="DF219" s="273"/>
      <c r="DG219" s="273"/>
      <c r="DH219" s="273"/>
      <c r="DI219" s="273"/>
      <c r="DJ219" s="273"/>
      <c r="DK219" s="273"/>
      <c r="DL219" s="273"/>
      <c r="DM219" s="273"/>
      <c r="DN219" s="273"/>
      <c r="DO219" s="273"/>
    </row>
  </sheetData>
  <mergeCells count="1407">
    <mergeCell ref="C218:I218"/>
    <mergeCell ref="J218:N218"/>
    <mergeCell ref="O218:DO218"/>
    <mergeCell ref="C219:I219"/>
    <mergeCell ref="J219:N219"/>
    <mergeCell ref="O219:DO219"/>
    <mergeCell ref="AI163:AM163"/>
    <mergeCell ref="C183:I183"/>
    <mergeCell ref="J183:N183"/>
    <mergeCell ref="O183:S183"/>
    <mergeCell ref="T183:X183"/>
    <mergeCell ref="Y183:AC183"/>
    <mergeCell ref="AD183:AH183"/>
    <mergeCell ref="C169:I169"/>
    <mergeCell ref="J169:N169"/>
    <mergeCell ref="O169:S169"/>
    <mergeCell ref="BH165:CA165"/>
    <mergeCell ref="CV183:DO183"/>
    <mergeCell ref="J163:N163"/>
    <mergeCell ref="O163:S163"/>
    <mergeCell ref="T163:X163"/>
    <mergeCell ref="Y163:AC163"/>
    <mergeCell ref="AD163:AH163"/>
    <mergeCell ref="T165:X165"/>
    <mergeCell ref="Y165:AC165"/>
    <mergeCell ref="AD165:AH165"/>
    <mergeCell ref="AD164:AH164"/>
    <mergeCell ref="C165:I165"/>
    <mergeCell ref="J165:N165"/>
    <mergeCell ref="O165:S165"/>
    <mergeCell ref="AI165:AM165"/>
    <mergeCell ref="AN165:BG165"/>
    <mergeCell ref="C212:I212"/>
    <mergeCell ref="J212:N212"/>
    <mergeCell ref="O212:DO212"/>
    <mergeCell ref="C213:I213"/>
    <mergeCell ref="J213:N213"/>
    <mergeCell ref="O213:DO213"/>
    <mergeCell ref="C214:I214"/>
    <mergeCell ref="J214:N214"/>
    <mergeCell ref="O214:DO214"/>
    <mergeCell ref="C215:I215"/>
    <mergeCell ref="J215:N215"/>
    <mergeCell ref="O215:DO215"/>
    <mergeCell ref="C216:I216"/>
    <mergeCell ref="J216:N216"/>
    <mergeCell ref="O216:DO216"/>
    <mergeCell ref="C217:I217"/>
    <mergeCell ref="J217:N217"/>
    <mergeCell ref="O217:DO217"/>
    <mergeCell ref="C206:I206"/>
    <mergeCell ref="J206:N206"/>
    <mergeCell ref="O206:DO206"/>
    <mergeCell ref="C207:I207"/>
    <mergeCell ref="J207:N207"/>
    <mergeCell ref="O207:DO207"/>
    <mergeCell ref="C208:I208"/>
    <mergeCell ref="J208:N208"/>
    <mergeCell ref="O208:DO208"/>
    <mergeCell ref="C209:I209"/>
    <mergeCell ref="J209:N209"/>
    <mergeCell ref="O209:DO209"/>
    <mergeCell ref="C210:I210"/>
    <mergeCell ref="J210:N210"/>
    <mergeCell ref="O210:DO210"/>
    <mergeCell ref="C211:I211"/>
    <mergeCell ref="J211:N211"/>
    <mergeCell ref="O211:DO211"/>
    <mergeCell ref="B24:D24"/>
    <mergeCell ref="B25:D25"/>
    <mergeCell ref="B14:D14"/>
    <mergeCell ref="B15:D15"/>
    <mergeCell ref="B16:D16"/>
    <mergeCell ref="B17:D17"/>
    <mergeCell ref="B18:D18"/>
    <mergeCell ref="B19:D19"/>
    <mergeCell ref="C3:R4"/>
    <mergeCell ref="C5:R5"/>
    <mergeCell ref="C6:R6"/>
    <mergeCell ref="C9:R10"/>
    <mergeCell ref="B12:D12"/>
    <mergeCell ref="B13:D13"/>
    <mergeCell ref="C202:R203"/>
    <mergeCell ref="J204:N204"/>
    <mergeCell ref="J205:N205"/>
    <mergeCell ref="C204:I204"/>
    <mergeCell ref="C205:I205"/>
    <mergeCell ref="O205:DO205"/>
    <mergeCell ref="BC12:BL12"/>
    <mergeCell ref="BM12:BV12"/>
    <mergeCell ref="O14:X14"/>
    <mergeCell ref="O15:X15"/>
    <mergeCell ref="O16:X16"/>
    <mergeCell ref="O17:X17"/>
    <mergeCell ref="O18:X18"/>
    <mergeCell ref="O19:X19"/>
    <mergeCell ref="O20:X20"/>
    <mergeCell ref="O21:X21"/>
    <mergeCell ref="E32:N32"/>
    <mergeCell ref="E33:N33"/>
    <mergeCell ref="DU12:ED12"/>
    <mergeCell ref="E13:N13"/>
    <mergeCell ref="E14:N14"/>
    <mergeCell ref="E15:N15"/>
    <mergeCell ref="B38:D38"/>
    <mergeCell ref="E12:N12"/>
    <mergeCell ref="O12:X12"/>
    <mergeCell ref="Y12:AH12"/>
    <mergeCell ref="AI12:AR12"/>
    <mergeCell ref="AS12:BB12"/>
    <mergeCell ref="E16:N16"/>
    <mergeCell ref="E17:N17"/>
    <mergeCell ref="E18:N18"/>
    <mergeCell ref="E19:N19"/>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E38:N38"/>
    <mergeCell ref="O13:X13"/>
    <mergeCell ref="E34:N34"/>
    <mergeCell ref="E35:N35"/>
    <mergeCell ref="E36:N36"/>
    <mergeCell ref="E37:N37"/>
    <mergeCell ref="E26:N26"/>
    <mergeCell ref="E27:N27"/>
    <mergeCell ref="E28:N28"/>
    <mergeCell ref="E29:N29"/>
    <mergeCell ref="E30:N30"/>
    <mergeCell ref="E31:N31"/>
    <mergeCell ref="E20:N20"/>
    <mergeCell ref="E21:N21"/>
    <mergeCell ref="E22:N22"/>
    <mergeCell ref="E23:N23"/>
    <mergeCell ref="E24:N24"/>
    <mergeCell ref="E25:N25"/>
    <mergeCell ref="O34:X34"/>
    <mergeCell ref="O35:X35"/>
    <mergeCell ref="O36:X36"/>
    <mergeCell ref="O37:X37"/>
    <mergeCell ref="O38:X38"/>
    <mergeCell ref="Y13:AH13"/>
    <mergeCell ref="Y14:AH14"/>
    <mergeCell ref="Y15:AH15"/>
    <mergeCell ref="Y16:AH16"/>
    <mergeCell ref="Y17:AH17"/>
    <mergeCell ref="O28:X28"/>
    <mergeCell ref="O29:X29"/>
    <mergeCell ref="O30:X30"/>
    <mergeCell ref="O31:X31"/>
    <mergeCell ref="O32:X32"/>
    <mergeCell ref="O33:X33"/>
    <mergeCell ref="O22:X22"/>
    <mergeCell ref="O23:X23"/>
    <mergeCell ref="O24:X24"/>
    <mergeCell ref="O25:X25"/>
    <mergeCell ref="O26:X26"/>
    <mergeCell ref="O27:X27"/>
    <mergeCell ref="Y36:AH36"/>
    <mergeCell ref="Y37:AH37"/>
    <mergeCell ref="Y38:AH38"/>
    <mergeCell ref="AI13:AR13"/>
    <mergeCell ref="AI14:AR14"/>
    <mergeCell ref="AI15:AR15"/>
    <mergeCell ref="AI16:AR16"/>
    <mergeCell ref="AI17:AR17"/>
    <mergeCell ref="AI18:AR18"/>
    <mergeCell ref="AI19:AR19"/>
    <mergeCell ref="Y30:AH30"/>
    <mergeCell ref="Y31:AH31"/>
    <mergeCell ref="Y32:AH32"/>
    <mergeCell ref="Y33:AH33"/>
    <mergeCell ref="Y34:AH34"/>
    <mergeCell ref="Y35:AH35"/>
    <mergeCell ref="Y24:AH24"/>
    <mergeCell ref="Y25:AH25"/>
    <mergeCell ref="Y26:AH26"/>
    <mergeCell ref="Y27:AH27"/>
    <mergeCell ref="Y28:AH28"/>
    <mergeCell ref="Y29:AH29"/>
    <mergeCell ref="Y18:AH18"/>
    <mergeCell ref="Y19:AH19"/>
    <mergeCell ref="Y20:AH20"/>
    <mergeCell ref="Y21:AH21"/>
    <mergeCell ref="Y22:AH22"/>
    <mergeCell ref="Y23:AH23"/>
    <mergeCell ref="AI38:AR38"/>
    <mergeCell ref="AS13:BB13"/>
    <mergeCell ref="AS14:BB14"/>
    <mergeCell ref="AS15:BB15"/>
    <mergeCell ref="AS16:BB16"/>
    <mergeCell ref="AS17:BB17"/>
    <mergeCell ref="AS18:BB18"/>
    <mergeCell ref="AS19:BB19"/>
    <mergeCell ref="AS20:BB20"/>
    <mergeCell ref="AS21:BB21"/>
    <mergeCell ref="AI32:AR32"/>
    <mergeCell ref="AI33:AR33"/>
    <mergeCell ref="AI34:AR34"/>
    <mergeCell ref="AI35:AR35"/>
    <mergeCell ref="AI36:AR36"/>
    <mergeCell ref="AI37:AR37"/>
    <mergeCell ref="AI26:AR26"/>
    <mergeCell ref="AI27:AR27"/>
    <mergeCell ref="AI28:AR28"/>
    <mergeCell ref="AI29:AR29"/>
    <mergeCell ref="AI30:AR30"/>
    <mergeCell ref="AI31:AR31"/>
    <mergeCell ref="AI20:AR20"/>
    <mergeCell ref="AI21:AR21"/>
    <mergeCell ref="AI22:AR22"/>
    <mergeCell ref="AI23:AR23"/>
    <mergeCell ref="AI24:AR24"/>
    <mergeCell ref="AI25:AR25"/>
    <mergeCell ref="AS34:BB34"/>
    <mergeCell ref="AS35:BB35"/>
    <mergeCell ref="AS36:BB36"/>
    <mergeCell ref="AS37:BB37"/>
    <mergeCell ref="AS38:BB38"/>
    <mergeCell ref="BC13:BL13"/>
    <mergeCell ref="BC14:BL14"/>
    <mergeCell ref="BC15:BL15"/>
    <mergeCell ref="BC16:BL16"/>
    <mergeCell ref="BC17:BL17"/>
    <mergeCell ref="AS28:BB28"/>
    <mergeCell ref="AS29:BB29"/>
    <mergeCell ref="AS30:BB30"/>
    <mergeCell ref="AS31:BB31"/>
    <mergeCell ref="AS32:BB32"/>
    <mergeCell ref="AS33:BB33"/>
    <mergeCell ref="AS22:BB22"/>
    <mergeCell ref="AS23:BB23"/>
    <mergeCell ref="AS24:BB24"/>
    <mergeCell ref="AS25:BB25"/>
    <mergeCell ref="AS26:BB26"/>
    <mergeCell ref="AS27:BB27"/>
    <mergeCell ref="BC36:BL36"/>
    <mergeCell ref="BC37:BL37"/>
    <mergeCell ref="BC38:BL38"/>
    <mergeCell ref="BM25:BV25"/>
    <mergeCell ref="DU34:ED34"/>
    <mergeCell ref="DU35:ED35"/>
    <mergeCell ref="DU36:ED36"/>
    <mergeCell ref="DU37:ED37"/>
    <mergeCell ref="BM13:BV13"/>
    <mergeCell ref="BM14:BV14"/>
    <mergeCell ref="BM15:BV15"/>
    <mergeCell ref="BM16:BV16"/>
    <mergeCell ref="BM17:BV17"/>
    <mergeCell ref="BM18:BV18"/>
    <mergeCell ref="BM19:BV19"/>
    <mergeCell ref="BC30:BL30"/>
    <mergeCell ref="BC31:BL31"/>
    <mergeCell ref="BC32:BL32"/>
    <mergeCell ref="BC33:BL33"/>
    <mergeCell ref="BC34:BL34"/>
    <mergeCell ref="BC35:BL35"/>
    <mergeCell ref="BC24:BL24"/>
    <mergeCell ref="BC25:BL25"/>
    <mergeCell ref="BC26:BL26"/>
    <mergeCell ref="BC27:BL27"/>
    <mergeCell ref="BC28:BL28"/>
    <mergeCell ref="BC29:BL29"/>
    <mergeCell ref="BC18:BL18"/>
    <mergeCell ref="BC19:BL19"/>
    <mergeCell ref="BC20:BL20"/>
    <mergeCell ref="BC21:BL21"/>
    <mergeCell ref="BC22:BL22"/>
    <mergeCell ref="BC23:BL23"/>
    <mergeCell ref="CG13:CP13"/>
    <mergeCell ref="CG14:CP14"/>
    <mergeCell ref="CG15:CP15"/>
    <mergeCell ref="CG16:CP16"/>
    <mergeCell ref="CG17:CP17"/>
    <mergeCell ref="BW29:CF29"/>
    <mergeCell ref="BW30:CF30"/>
    <mergeCell ref="BW31:CF31"/>
    <mergeCell ref="BW32:CF32"/>
    <mergeCell ref="BM38:BV38"/>
    <mergeCell ref="DU13:ED13"/>
    <mergeCell ref="DU14:ED14"/>
    <mergeCell ref="DU15:ED15"/>
    <mergeCell ref="DU16:ED16"/>
    <mergeCell ref="DU17:ED17"/>
    <mergeCell ref="DU18:ED18"/>
    <mergeCell ref="DU19:ED19"/>
    <mergeCell ref="DU20:ED20"/>
    <mergeCell ref="DU21:ED21"/>
    <mergeCell ref="BM32:BV32"/>
    <mergeCell ref="BM33:BV33"/>
    <mergeCell ref="BM34:BV34"/>
    <mergeCell ref="BM35:BV35"/>
    <mergeCell ref="BM36:BV36"/>
    <mergeCell ref="BM37:BV37"/>
    <mergeCell ref="BM26:BV26"/>
    <mergeCell ref="BM27:BV27"/>
    <mergeCell ref="BM28:BV28"/>
    <mergeCell ref="BM29:BV29"/>
    <mergeCell ref="BM30:BV30"/>
    <mergeCell ref="BM31:BV31"/>
    <mergeCell ref="BM20:BV20"/>
    <mergeCell ref="BW17:CF17"/>
    <mergeCell ref="BW18:CF18"/>
    <mergeCell ref="BW19:CF19"/>
    <mergeCell ref="BW20:CF20"/>
    <mergeCell ref="BW21:CF21"/>
    <mergeCell ref="BW22:CF22"/>
    <mergeCell ref="CG36:CP36"/>
    <mergeCell ref="CG37:CP37"/>
    <mergeCell ref="CG38:CP38"/>
    <mergeCell ref="DU38:ED38"/>
    <mergeCell ref="BW12:CF12"/>
    <mergeCell ref="BW13:CF13"/>
    <mergeCell ref="BW14:CF14"/>
    <mergeCell ref="BW15:CF15"/>
    <mergeCell ref="BW16:CF16"/>
    <mergeCell ref="DU28:ED28"/>
    <mergeCell ref="DU29:ED29"/>
    <mergeCell ref="DU30:ED30"/>
    <mergeCell ref="DU31:ED31"/>
    <mergeCell ref="DU32:ED32"/>
    <mergeCell ref="DU33:ED33"/>
    <mergeCell ref="DU22:ED22"/>
    <mergeCell ref="DU23:ED23"/>
    <mergeCell ref="DU24:ED24"/>
    <mergeCell ref="DU25:ED25"/>
    <mergeCell ref="DU26:ED26"/>
    <mergeCell ref="DU27:ED27"/>
    <mergeCell ref="BW35:CF35"/>
    <mergeCell ref="BW36:CF36"/>
    <mergeCell ref="BW37:CF37"/>
    <mergeCell ref="BW38:CF38"/>
    <mergeCell ref="CG12:CP12"/>
    <mergeCell ref="CQ18:CZ18"/>
    <mergeCell ref="CG30:CP30"/>
    <mergeCell ref="CG31:CP31"/>
    <mergeCell ref="CG32:CP32"/>
    <mergeCell ref="CG33:CP33"/>
    <mergeCell ref="CG34:CP34"/>
    <mergeCell ref="CG35:CP35"/>
    <mergeCell ref="CG24:CP24"/>
    <mergeCell ref="CG25:CP25"/>
    <mergeCell ref="CG26:CP26"/>
    <mergeCell ref="CG27:CP27"/>
    <mergeCell ref="CG28:CP28"/>
    <mergeCell ref="CG29:CP29"/>
    <mergeCell ref="CG18:CP18"/>
    <mergeCell ref="CG19:CP19"/>
    <mergeCell ref="CG20:CP20"/>
    <mergeCell ref="CG21:CP21"/>
    <mergeCell ref="CG22:CP22"/>
    <mergeCell ref="CG23:CP23"/>
    <mergeCell ref="DA12:DJ12"/>
    <mergeCell ref="DA13:DJ13"/>
    <mergeCell ref="DA14:DJ14"/>
    <mergeCell ref="DA15:DJ15"/>
    <mergeCell ref="DA16:DJ16"/>
    <mergeCell ref="DA17:DJ17"/>
    <mergeCell ref="DA18:DJ18"/>
    <mergeCell ref="DA19:DJ19"/>
    <mergeCell ref="CQ31:CZ31"/>
    <mergeCell ref="CQ32:CZ32"/>
    <mergeCell ref="CQ33:CZ33"/>
    <mergeCell ref="CQ34:CZ34"/>
    <mergeCell ref="CQ35:CZ35"/>
    <mergeCell ref="CQ36:CZ36"/>
    <mergeCell ref="CQ25:CZ25"/>
    <mergeCell ref="CQ26:CZ26"/>
    <mergeCell ref="CQ27:CZ27"/>
    <mergeCell ref="CQ28:CZ28"/>
    <mergeCell ref="CQ29:CZ29"/>
    <mergeCell ref="CQ30:CZ30"/>
    <mergeCell ref="CQ19:CZ19"/>
    <mergeCell ref="CQ20:CZ20"/>
    <mergeCell ref="CQ21:CZ21"/>
    <mergeCell ref="CQ22:CZ22"/>
    <mergeCell ref="CQ23:CZ23"/>
    <mergeCell ref="CQ24:CZ24"/>
    <mergeCell ref="CQ12:CZ12"/>
    <mergeCell ref="CQ13:CZ13"/>
    <mergeCell ref="CQ14:CZ14"/>
    <mergeCell ref="CQ15:CZ15"/>
    <mergeCell ref="CQ16:CZ16"/>
    <mergeCell ref="CQ17:CZ17"/>
    <mergeCell ref="DK12:DT12"/>
    <mergeCell ref="DK13:DT13"/>
    <mergeCell ref="DK14:DT14"/>
    <mergeCell ref="DK15:DT15"/>
    <mergeCell ref="DK16:DT16"/>
    <mergeCell ref="DK17:DT17"/>
    <mergeCell ref="DK18:DT18"/>
    <mergeCell ref="DK19:DT19"/>
    <mergeCell ref="DK20:DT20"/>
    <mergeCell ref="DA32:DJ32"/>
    <mergeCell ref="DA33:DJ33"/>
    <mergeCell ref="DA34:DJ34"/>
    <mergeCell ref="DA35:DJ35"/>
    <mergeCell ref="DA36:DJ36"/>
    <mergeCell ref="DA37:DJ37"/>
    <mergeCell ref="DA26:DJ26"/>
    <mergeCell ref="DA27:DJ27"/>
    <mergeCell ref="DA28:DJ28"/>
    <mergeCell ref="DA29:DJ29"/>
    <mergeCell ref="DA30:DJ30"/>
    <mergeCell ref="DA31:DJ31"/>
    <mergeCell ref="DA20:DJ20"/>
    <mergeCell ref="DA21:DJ21"/>
    <mergeCell ref="DA22:DJ22"/>
    <mergeCell ref="DA23:DJ23"/>
    <mergeCell ref="DA24:DJ24"/>
    <mergeCell ref="DA25:DJ25"/>
    <mergeCell ref="DK33:DT33"/>
    <mergeCell ref="DK34:DT34"/>
    <mergeCell ref="DK35:DT35"/>
    <mergeCell ref="DK36:DT36"/>
    <mergeCell ref="DK37:DT37"/>
    <mergeCell ref="DK38:DT38"/>
    <mergeCell ref="DK27:DT27"/>
    <mergeCell ref="DK28:DT28"/>
    <mergeCell ref="DK29:DT29"/>
    <mergeCell ref="DK30:DT30"/>
    <mergeCell ref="DK31:DT31"/>
    <mergeCell ref="DK32:DT32"/>
    <mergeCell ref="DK21:DT21"/>
    <mergeCell ref="DK22:DT22"/>
    <mergeCell ref="DK23:DT23"/>
    <mergeCell ref="DK24:DT24"/>
    <mergeCell ref="DK25:DT25"/>
    <mergeCell ref="DK26:DT26"/>
    <mergeCell ref="AH56:AJ56"/>
    <mergeCell ref="AH57:AJ57"/>
    <mergeCell ref="AH61:AJ61"/>
    <mergeCell ref="AH64:AJ64"/>
    <mergeCell ref="CQ37:CZ37"/>
    <mergeCell ref="CQ38:CZ38"/>
    <mergeCell ref="DA38:DJ38"/>
    <mergeCell ref="BW33:CF33"/>
    <mergeCell ref="BW34:CF34"/>
    <mergeCell ref="BW23:CF23"/>
    <mergeCell ref="BW24:CF24"/>
    <mergeCell ref="BW25:CF25"/>
    <mergeCell ref="BW26:CF26"/>
    <mergeCell ref="BW27:CF27"/>
    <mergeCell ref="BW28:CF28"/>
    <mergeCell ref="BM21:BV21"/>
    <mergeCell ref="BM22:BV22"/>
    <mergeCell ref="BM23:BV23"/>
    <mergeCell ref="BM24:BV24"/>
    <mergeCell ref="AH65:AJ65"/>
    <mergeCell ref="AH68:AJ68"/>
    <mergeCell ref="AH58:AJ58"/>
    <mergeCell ref="AH59:AJ59"/>
    <mergeCell ref="AH60:AJ60"/>
    <mergeCell ref="AH62:AJ62"/>
    <mergeCell ref="C40:R41"/>
    <mergeCell ref="AH41:AJ41"/>
    <mergeCell ref="AH42:AJ42"/>
    <mergeCell ref="AH44:AJ44"/>
    <mergeCell ref="AH51:AJ51"/>
    <mergeCell ref="AH52:AJ52"/>
    <mergeCell ref="AH43:AJ43"/>
    <mergeCell ref="AH45:AJ45"/>
    <mergeCell ref="AH46:AJ46"/>
    <mergeCell ref="AH47:AJ47"/>
    <mergeCell ref="AH48:AJ48"/>
    <mergeCell ref="AH49:AJ49"/>
    <mergeCell ref="AH50:AJ50"/>
    <mergeCell ref="AH53:AJ53"/>
    <mergeCell ref="AH54:AJ54"/>
    <mergeCell ref="AH55:AJ55"/>
    <mergeCell ref="AH63:AJ63"/>
    <mergeCell ref="AH66:AJ66"/>
    <mergeCell ref="AH67:AJ67"/>
    <mergeCell ref="AH75:AJ75"/>
    <mergeCell ref="AH74:AJ74"/>
    <mergeCell ref="AH108:AJ108"/>
    <mergeCell ref="AH112:AJ112"/>
    <mergeCell ref="AH113:AJ113"/>
    <mergeCell ref="AH114:AJ114"/>
    <mergeCell ref="AH109:AJ109"/>
    <mergeCell ref="AH110:AJ110"/>
    <mergeCell ref="AH111:AJ111"/>
    <mergeCell ref="AH93:AJ93"/>
    <mergeCell ref="AH94:AJ94"/>
    <mergeCell ref="AH95:AJ95"/>
    <mergeCell ref="AH96:AJ96"/>
    <mergeCell ref="AH97:AJ97"/>
    <mergeCell ref="AH76:AJ76"/>
    <mergeCell ref="AH77:AJ77"/>
    <mergeCell ref="AH78:AJ78"/>
    <mergeCell ref="AH79:AJ79"/>
    <mergeCell ref="AH81:AJ81"/>
    <mergeCell ref="AH91:AJ91"/>
    <mergeCell ref="AH83:AJ83"/>
    <mergeCell ref="AH84:AJ84"/>
    <mergeCell ref="AH85:AJ85"/>
    <mergeCell ref="AH86:AJ86"/>
    <mergeCell ref="AN120:BG120"/>
    <mergeCell ref="BH120:CA120"/>
    <mergeCell ref="CB120:CU120"/>
    <mergeCell ref="CV120:DO120"/>
    <mergeCell ref="O121:S121"/>
    <mergeCell ref="O122:S122"/>
    <mergeCell ref="T121:X121"/>
    <mergeCell ref="Y121:AC121"/>
    <mergeCell ref="AD121:AH121"/>
    <mergeCell ref="AI121:AM121"/>
    <mergeCell ref="AH69:AJ69"/>
    <mergeCell ref="AH71:AJ71"/>
    <mergeCell ref="AH72:AJ72"/>
    <mergeCell ref="AH73:AJ73"/>
    <mergeCell ref="AH100:AJ100"/>
    <mergeCell ref="AH102:AJ102"/>
    <mergeCell ref="AH103:AJ103"/>
    <mergeCell ref="AH104:AJ104"/>
    <mergeCell ref="AH106:AJ106"/>
    <mergeCell ref="AH107:AJ107"/>
    <mergeCell ref="AH87:AJ87"/>
    <mergeCell ref="AH88:AJ88"/>
    <mergeCell ref="AH89:AJ89"/>
    <mergeCell ref="AH90:AJ90"/>
    <mergeCell ref="AH98:AJ98"/>
    <mergeCell ref="AH99:AJ99"/>
    <mergeCell ref="AH101:AJ101"/>
    <mergeCell ref="AH105:AJ105"/>
    <mergeCell ref="AH92:AJ92"/>
    <mergeCell ref="AH70:AJ70"/>
    <mergeCell ref="AH80:AJ80"/>
    <mergeCell ref="AH82:AJ82"/>
    <mergeCell ref="AN119:BG119"/>
    <mergeCell ref="BH119:CA119"/>
    <mergeCell ref="CB119:CU119"/>
    <mergeCell ref="CV119:DO119"/>
    <mergeCell ref="O120:S120"/>
    <mergeCell ref="T120:X120"/>
    <mergeCell ref="Y120:AC120"/>
    <mergeCell ref="AD120:AH120"/>
    <mergeCell ref="AI120:AM120"/>
    <mergeCell ref="O119:S119"/>
    <mergeCell ref="T119:X119"/>
    <mergeCell ref="Y119:AC119"/>
    <mergeCell ref="AD119:AH119"/>
    <mergeCell ref="AI119:AM119"/>
    <mergeCell ref="O123:S123"/>
    <mergeCell ref="AH115:AJ115"/>
    <mergeCell ref="C117:R118"/>
    <mergeCell ref="J119:N119"/>
    <mergeCell ref="J120:N120"/>
    <mergeCell ref="J121:N121"/>
    <mergeCell ref="J122:N122"/>
    <mergeCell ref="C119:I119"/>
    <mergeCell ref="C120:I120"/>
    <mergeCell ref="C121:I121"/>
    <mergeCell ref="C122:I122"/>
    <mergeCell ref="AN121:BG121"/>
    <mergeCell ref="BH121:CA121"/>
    <mergeCell ref="CB121:CU121"/>
    <mergeCell ref="CV121:DO121"/>
    <mergeCell ref="T122:X122"/>
    <mergeCell ref="Y122:AC122"/>
    <mergeCell ref="AD122:AH122"/>
    <mergeCell ref="C123:I123"/>
    <mergeCell ref="C124:I124"/>
    <mergeCell ref="J124:N124"/>
    <mergeCell ref="O124:S124"/>
    <mergeCell ref="T124:X124"/>
    <mergeCell ref="Y124:AC124"/>
    <mergeCell ref="J123:N123"/>
    <mergeCell ref="CB122:CU122"/>
    <mergeCell ref="CV122:DO122"/>
    <mergeCell ref="T123:X123"/>
    <mergeCell ref="Y123:AC123"/>
    <mergeCell ref="AD123:AH123"/>
    <mergeCell ref="AI123:AM123"/>
    <mergeCell ref="AN123:BG123"/>
    <mergeCell ref="BH123:CA123"/>
    <mergeCell ref="CB123:CU123"/>
    <mergeCell ref="CV123:DO123"/>
    <mergeCell ref="AI122:AM122"/>
    <mergeCell ref="AN122:BG122"/>
    <mergeCell ref="BH122:CA122"/>
    <mergeCell ref="AD124:AH124"/>
    <mergeCell ref="AI124:AM124"/>
    <mergeCell ref="AN124:BG124"/>
    <mergeCell ref="BH124:CA124"/>
    <mergeCell ref="CB124:CU124"/>
    <mergeCell ref="CV124:DO124"/>
    <mergeCell ref="AD126:AH126"/>
    <mergeCell ref="AI126:AM126"/>
    <mergeCell ref="AN126:BG126"/>
    <mergeCell ref="BH126:CA126"/>
    <mergeCell ref="CB126:CU126"/>
    <mergeCell ref="CV126:DO126"/>
    <mergeCell ref="AI125:AM125"/>
    <mergeCell ref="AN125:BG125"/>
    <mergeCell ref="BH125:CA125"/>
    <mergeCell ref="CB125:CU125"/>
    <mergeCell ref="CV125:DO125"/>
    <mergeCell ref="C126:I126"/>
    <mergeCell ref="J126:N126"/>
    <mergeCell ref="O126:S126"/>
    <mergeCell ref="T126:X126"/>
    <mergeCell ref="Y126:AC126"/>
    <mergeCell ref="C125:I125"/>
    <mergeCell ref="J125:N125"/>
    <mergeCell ref="O125:S125"/>
    <mergeCell ref="T125:X125"/>
    <mergeCell ref="Y125:AC125"/>
    <mergeCell ref="AD125:AH125"/>
    <mergeCell ref="AD129:AH129"/>
    <mergeCell ref="AI129:AM129"/>
    <mergeCell ref="AN129:BG129"/>
    <mergeCell ref="BH129:CA129"/>
    <mergeCell ref="CB129:CU129"/>
    <mergeCell ref="CV129:DO129"/>
    <mergeCell ref="AI127:AM127"/>
    <mergeCell ref="AN127:BG127"/>
    <mergeCell ref="BH127:CA127"/>
    <mergeCell ref="CB127:CU127"/>
    <mergeCell ref="CV127:DO127"/>
    <mergeCell ref="C129:I129"/>
    <mergeCell ref="J129:N129"/>
    <mergeCell ref="O129:S129"/>
    <mergeCell ref="T129:X129"/>
    <mergeCell ref="Y129:AC129"/>
    <mergeCell ref="C127:I127"/>
    <mergeCell ref="J127:N127"/>
    <mergeCell ref="O127:S127"/>
    <mergeCell ref="T127:X127"/>
    <mergeCell ref="Y127:AC127"/>
    <mergeCell ref="AD127:AH127"/>
    <mergeCell ref="C128:I128"/>
    <mergeCell ref="J128:N128"/>
    <mergeCell ref="O128:S128"/>
    <mergeCell ref="T128:X128"/>
    <mergeCell ref="Y128:AC128"/>
    <mergeCell ref="AD131:AH131"/>
    <mergeCell ref="AI131:AM131"/>
    <mergeCell ref="AN131:BG131"/>
    <mergeCell ref="BH131:CA131"/>
    <mergeCell ref="CB131:CU131"/>
    <mergeCell ref="CV131:DO131"/>
    <mergeCell ref="AI130:AM130"/>
    <mergeCell ref="AN130:BG130"/>
    <mergeCell ref="BH130:CA130"/>
    <mergeCell ref="CB130:CU130"/>
    <mergeCell ref="CV130:DO130"/>
    <mergeCell ref="C131:I131"/>
    <mergeCell ref="J131:N131"/>
    <mergeCell ref="O131:S131"/>
    <mergeCell ref="T131:X131"/>
    <mergeCell ref="Y131:AC131"/>
    <mergeCell ref="C130:I130"/>
    <mergeCell ref="J130:N130"/>
    <mergeCell ref="O130:S130"/>
    <mergeCell ref="T130:X130"/>
    <mergeCell ref="Y130:AC130"/>
    <mergeCell ref="AD130:AH130"/>
    <mergeCell ref="AD133:AH133"/>
    <mergeCell ref="AI133:AM133"/>
    <mergeCell ref="AN133:BG133"/>
    <mergeCell ref="BH133:CA133"/>
    <mergeCell ref="CB133:CU133"/>
    <mergeCell ref="CV133:DO133"/>
    <mergeCell ref="AI132:AM132"/>
    <mergeCell ref="AN132:BG132"/>
    <mergeCell ref="BH132:CA132"/>
    <mergeCell ref="CB132:CU132"/>
    <mergeCell ref="CV132:DO132"/>
    <mergeCell ref="C133:I133"/>
    <mergeCell ref="J133:N133"/>
    <mergeCell ref="O133:S133"/>
    <mergeCell ref="T133:X133"/>
    <mergeCell ref="Y133:AC133"/>
    <mergeCell ref="C132:I132"/>
    <mergeCell ref="J132:N132"/>
    <mergeCell ref="O132:S132"/>
    <mergeCell ref="T132:X132"/>
    <mergeCell ref="Y132:AC132"/>
    <mergeCell ref="AD132:AH132"/>
    <mergeCell ref="AD135:AH135"/>
    <mergeCell ref="AI135:AM135"/>
    <mergeCell ref="AN135:BG135"/>
    <mergeCell ref="BH135:CA135"/>
    <mergeCell ref="CB135:CU135"/>
    <mergeCell ref="CV135:DO135"/>
    <mergeCell ref="AI134:AM134"/>
    <mergeCell ref="AN134:BG134"/>
    <mergeCell ref="BH134:CA134"/>
    <mergeCell ref="CB134:CU134"/>
    <mergeCell ref="CV134:DO134"/>
    <mergeCell ref="C135:I135"/>
    <mergeCell ref="J135:N135"/>
    <mergeCell ref="O135:S135"/>
    <mergeCell ref="T135:X135"/>
    <mergeCell ref="Y135:AC135"/>
    <mergeCell ref="C134:I134"/>
    <mergeCell ref="J134:N134"/>
    <mergeCell ref="O134:S134"/>
    <mergeCell ref="T134:X134"/>
    <mergeCell ref="Y134:AC134"/>
    <mergeCell ref="AD134:AH134"/>
    <mergeCell ref="AD137:AH137"/>
    <mergeCell ref="AI137:AM137"/>
    <mergeCell ref="AN137:BG137"/>
    <mergeCell ref="BH137:CA137"/>
    <mergeCell ref="CB137:CU137"/>
    <mergeCell ref="AD138:AH138"/>
    <mergeCell ref="AI138:AM138"/>
    <mergeCell ref="AN138:BG138"/>
    <mergeCell ref="BH138:CA138"/>
    <mergeCell ref="CV137:DO137"/>
    <mergeCell ref="AI136:AM136"/>
    <mergeCell ref="AN136:BG136"/>
    <mergeCell ref="BH136:CA136"/>
    <mergeCell ref="CB136:CU136"/>
    <mergeCell ref="CV136:DO136"/>
    <mergeCell ref="C137:I137"/>
    <mergeCell ref="J137:N137"/>
    <mergeCell ref="O137:S137"/>
    <mergeCell ref="T137:X137"/>
    <mergeCell ref="Y137:AC137"/>
    <mergeCell ref="C136:I136"/>
    <mergeCell ref="J136:N136"/>
    <mergeCell ref="O136:S136"/>
    <mergeCell ref="T136:X136"/>
    <mergeCell ref="Y136:AC136"/>
    <mergeCell ref="AD136:AH136"/>
    <mergeCell ref="C138:I138"/>
    <mergeCell ref="CB138:CU138"/>
    <mergeCell ref="CV138:DO138"/>
    <mergeCell ref="J138:N138"/>
    <mergeCell ref="O138:S138"/>
    <mergeCell ref="T138:X138"/>
    <mergeCell ref="AD153:AH153"/>
    <mergeCell ref="AI153:AM153"/>
    <mergeCell ref="AN153:BG153"/>
    <mergeCell ref="BH153:CA153"/>
    <mergeCell ref="CB153:CU153"/>
    <mergeCell ref="CV153:DO153"/>
    <mergeCell ref="AI139:AM139"/>
    <mergeCell ref="AN139:BG139"/>
    <mergeCell ref="BH139:CA139"/>
    <mergeCell ref="CB139:CU139"/>
    <mergeCell ref="CV139:DO139"/>
    <mergeCell ref="CB140:CU140"/>
    <mergeCell ref="CV140:DO140"/>
    <mergeCell ref="AI141:AM141"/>
    <mergeCell ref="AN141:BG141"/>
    <mergeCell ref="C153:I153"/>
    <mergeCell ref="J153:N153"/>
    <mergeCell ref="O153:S153"/>
    <mergeCell ref="T153:X153"/>
    <mergeCell ref="Y153:AC153"/>
    <mergeCell ref="C139:I139"/>
    <mergeCell ref="J139:N139"/>
    <mergeCell ref="O139:S139"/>
    <mergeCell ref="T139:X139"/>
    <mergeCell ref="Y139:AC139"/>
    <mergeCell ref="AD139:AH139"/>
    <mergeCell ref="C142:I142"/>
    <mergeCell ref="J142:N142"/>
    <mergeCell ref="O142:S142"/>
    <mergeCell ref="T142:X142"/>
    <mergeCell ref="Y142:AC142"/>
    <mergeCell ref="BH140:CA140"/>
    <mergeCell ref="AD155:AH155"/>
    <mergeCell ref="AI155:AM155"/>
    <mergeCell ref="AN155:BG155"/>
    <mergeCell ref="BH155:CA155"/>
    <mergeCell ref="CB155:CU155"/>
    <mergeCell ref="CV155:DO155"/>
    <mergeCell ref="AI154:AM154"/>
    <mergeCell ref="AN154:BG154"/>
    <mergeCell ref="BH154:CA154"/>
    <mergeCell ref="CB154:CU154"/>
    <mergeCell ref="CV154:DO154"/>
    <mergeCell ref="C155:I155"/>
    <mergeCell ref="J155:N155"/>
    <mergeCell ref="O155:S155"/>
    <mergeCell ref="T155:X155"/>
    <mergeCell ref="Y155:AC155"/>
    <mergeCell ref="C154:I154"/>
    <mergeCell ref="J154:N154"/>
    <mergeCell ref="O154:S154"/>
    <mergeCell ref="T154:X154"/>
    <mergeCell ref="Y154:AC154"/>
    <mergeCell ref="AD154:AH154"/>
    <mergeCell ref="AD157:AH157"/>
    <mergeCell ref="AI157:AM157"/>
    <mergeCell ref="AN157:BG157"/>
    <mergeCell ref="BH157:CA157"/>
    <mergeCell ref="CB157:CU157"/>
    <mergeCell ref="CV157:DO157"/>
    <mergeCell ref="AI156:AM156"/>
    <mergeCell ref="AN156:BG156"/>
    <mergeCell ref="BH156:CA156"/>
    <mergeCell ref="CB156:CU156"/>
    <mergeCell ref="CV156:DO156"/>
    <mergeCell ref="C157:I157"/>
    <mergeCell ref="J157:N157"/>
    <mergeCell ref="O157:S157"/>
    <mergeCell ref="T157:X157"/>
    <mergeCell ref="Y157:AC157"/>
    <mergeCell ref="C156:I156"/>
    <mergeCell ref="J156:N156"/>
    <mergeCell ref="O156:S156"/>
    <mergeCell ref="T156:X156"/>
    <mergeCell ref="Y156:AC156"/>
    <mergeCell ref="AD156:AH156"/>
    <mergeCell ref="AD159:AH159"/>
    <mergeCell ref="AI159:AM159"/>
    <mergeCell ref="AN159:BG159"/>
    <mergeCell ref="BH159:CA159"/>
    <mergeCell ref="CB159:CU159"/>
    <mergeCell ref="CV159:DO159"/>
    <mergeCell ref="AI158:AM158"/>
    <mergeCell ref="AN158:BG158"/>
    <mergeCell ref="BH158:CA158"/>
    <mergeCell ref="CB158:CU158"/>
    <mergeCell ref="CV158:DO158"/>
    <mergeCell ref="C159:I159"/>
    <mergeCell ref="J159:N159"/>
    <mergeCell ref="O159:S159"/>
    <mergeCell ref="T159:X159"/>
    <mergeCell ref="Y159:AC159"/>
    <mergeCell ref="C158:I158"/>
    <mergeCell ref="J158:N158"/>
    <mergeCell ref="O158:S158"/>
    <mergeCell ref="T158:X158"/>
    <mergeCell ref="Y158:AC158"/>
    <mergeCell ref="AD158:AH158"/>
    <mergeCell ref="AD161:AH161"/>
    <mergeCell ref="AI161:AM161"/>
    <mergeCell ref="AN161:BG161"/>
    <mergeCell ref="BH161:CA161"/>
    <mergeCell ref="CB161:CU161"/>
    <mergeCell ref="AI162:AM162"/>
    <mergeCell ref="AN162:BG162"/>
    <mergeCell ref="BH162:CA162"/>
    <mergeCell ref="CB162:CU162"/>
    <mergeCell ref="CV161:DO161"/>
    <mergeCell ref="AI160:AM160"/>
    <mergeCell ref="AN160:BG160"/>
    <mergeCell ref="BH160:CA160"/>
    <mergeCell ref="CB160:CU160"/>
    <mergeCell ref="CV160:DO160"/>
    <mergeCell ref="C161:I161"/>
    <mergeCell ref="J161:N161"/>
    <mergeCell ref="O161:S161"/>
    <mergeCell ref="T161:X161"/>
    <mergeCell ref="Y161:AC161"/>
    <mergeCell ref="C160:I160"/>
    <mergeCell ref="J160:N160"/>
    <mergeCell ref="O160:S160"/>
    <mergeCell ref="T160:X160"/>
    <mergeCell ref="Y160:AC160"/>
    <mergeCell ref="AD160:AH160"/>
    <mergeCell ref="CV162:DO162"/>
    <mergeCell ref="AI164:AM164"/>
    <mergeCell ref="AN164:BG164"/>
    <mergeCell ref="BH164:CA164"/>
    <mergeCell ref="CB164:CU164"/>
    <mergeCell ref="CB163:CU163"/>
    <mergeCell ref="CV164:DO164"/>
    <mergeCell ref="CV163:DO163"/>
    <mergeCell ref="AN163:BG163"/>
    <mergeCell ref="BH163:CA163"/>
    <mergeCell ref="C162:I162"/>
    <mergeCell ref="J162:N162"/>
    <mergeCell ref="O162:S162"/>
    <mergeCell ref="T162:X162"/>
    <mergeCell ref="Y162:AC162"/>
    <mergeCell ref="J164:N164"/>
    <mergeCell ref="O164:S164"/>
    <mergeCell ref="T164:X164"/>
    <mergeCell ref="Y164:AC164"/>
    <mergeCell ref="AD162:AH162"/>
    <mergeCell ref="C168:I168"/>
    <mergeCell ref="J168:N168"/>
    <mergeCell ref="O168:S168"/>
    <mergeCell ref="T168:X168"/>
    <mergeCell ref="Y168:AC168"/>
    <mergeCell ref="AD168:AH168"/>
    <mergeCell ref="BH166:CA166"/>
    <mergeCell ref="CB166:CU166"/>
    <mergeCell ref="CV166:DO166"/>
    <mergeCell ref="C167:I167"/>
    <mergeCell ref="J167:N167"/>
    <mergeCell ref="O167:S167"/>
    <mergeCell ref="T167:X167"/>
    <mergeCell ref="Y167:AC167"/>
    <mergeCell ref="AD167:AH167"/>
    <mergeCell ref="AI167:AM167"/>
    <mergeCell ref="CB165:CU165"/>
    <mergeCell ref="CV165:DO165"/>
    <mergeCell ref="C166:I166"/>
    <mergeCell ref="J166:N166"/>
    <mergeCell ref="O166:S166"/>
    <mergeCell ref="T166:X166"/>
    <mergeCell ref="Y166:AC166"/>
    <mergeCell ref="AD166:AH166"/>
    <mergeCell ref="AI166:AM166"/>
    <mergeCell ref="AN166:BG166"/>
    <mergeCell ref="AD169:AH169"/>
    <mergeCell ref="AI169:AM169"/>
    <mergeCell ref="AN169:BG169"/>
    <mergeCell ref="BH169:CA169"/>
    <mergeCell ref="CB169:CU169"/>
    <mergeCell ref="T169:X169"/>
    <mergeCell ref="Y169:AC169"/>
    <mergeCell ref="AN167:BG167"/>
    <mergeCell ref="CV169:DO169"/>
    <mergeCell ref="AI168:AM168"/>
    <mergeCell ref="AN168:BG168"/>
    <mergeCell ref="BH168:CA168"/>
    <mergeCell ref="CB168:CU168"/>
    <mergeCell ref="CV168:DO168"/>
    <mergeCell ref="BH167:CA167"/>
    <mergeCell ref="CB167:CU167"/>
    <mergeCell ref="CV167:DO167"/>
    <mergeCell ref="AD171:AH171"/>
    <mergeCell ref="AI171:AM171"/>
    <mergeCell ref="AN171:BG171"/>
    <mergeCell ref="BH171:CA171"/>
    <mergeCell ref="CB171:CU171"/>
    <mergeCell ref="CV171:DO171"/>
    <mergeCell ref="AI170:AM170"/>
    <mergeCell ref="AN170:BG170"/>
    <mergeCell ref="BH170:CA170"/>
    <mergeCell ref="CB170:CU170"/>
    <mergeCell ref="CV170:DO170"/>
    <mergeCell ref="C171:I171"/>
    <mergeCell ref="J171:N171"/>
    <mergeCell ref="O171:S171"/>
    <mergeCell ref="T171:X171"/>
    <mergeCell ref="Y171:AC171"/>
    <mergeCell ref="C170:I170"/>
    <mergeCell ref="J170:N170"/>
    <mergeCell ref="O170:S170"/>
    <mergeCell ref="T170:X170"/>
    <mergeCell ref="Y170:AC170"/>
    <mergeCell ref="AD170:AH170"/>
    <mergeCell ref="AI173:AM173"/>
    <mergeCell ref="AN173:BG173"/>
    <mergeCell ref="BH173:CA173"/>
    <mergeCell ref="CB173:CU173"/>
    <mergeCell ref="CV173:DO173"/>
    <mergeCell ref="AI172:AM172"/>
    <mergeCell ref="AN172:BG172"/>
    <mergeCell ref="BH172:CA172"/>
    <mergeCell ref="CB172:CU172"/>
    <mergeCell ref="CV172:DO172"/>
    <mergeCell ref="C173:I173"/>
    <mergeCell ref="J173:N173"/>
    <mergeCell ref="O173:S173"/>
    <mergeCell ref="T173:X173"/>
    <mergeCell ref="Y173:AC173"/>
    <mergeCell ref="C172:I172"/>
    <mergeCell ref="J172:N172"/>
    <mergeCell ref="O172:S172"/>
    <mergeCell ref="T172:X172"/>
    <mergeCell ref="Y172:AC172"/>
    <mergeCell ref="AD172:AH172"/>
    <mergeCell ref="CB175:CU175"/>
    <mergeCell ref="CV175:DO175"/>
    <mergeCell ref="AI174:AM174"/>
    <mergeCell ref="AN174:BG174"/>
    <mergeCell ref="BH174:CA174"/>
    <mergeCell ref="CB174:CU174"/>
    <mergeCell ref="CV174:DO174"/>
    <mergeCell ref="C175:I175"/>
    <mergeCell ref="J175:N175"/>
    <mergeCell ref="O175:S175"/>
    <mergeCell ref="T175:X175"/>
    <mergeCell ref="Y175:AC175"/>
    <mergeCell ref="C174:I174"/>
    <mergeCell ref="J174:N174"/>
    <mergeCell ref="O174:S174"/>
    <mergeCell ref="T174:X174"/>
    <mergeCell ref="Y174:AC174"/>
    <mergeCell ref="AD177:AH177"/>
    <mergeCell ref="AI177:AM177"/>
    <mergeCell ref="AN177:BG177"/>
    <mergeCell ref="BH177:CA177"/>
    <mergeCell ref="CB177:CU177"/>
    <mergeCell ref="AI178:AM178"/>
    <mergeCell ref="AN178:BG178"/>
    <mergeCell ref="BH178:CA178"/>
    <mergeCell ref="CB178:CU178"/>
    <mergeCell ref="CV177:DO177"/>
    <mergeCell ref="AI176:AM176"/>
    <mergeCell ref="AN176:BG176"/>
    <mergeCell ref="BH176:CA176"/>
    <mergeCell ref="CB176:CU176"/>
    <mergeCell ref="CV176:DO176"/>
    <mergeCell ref="C177:I177"/>
    <mergeCell ref="J177:N177"/>
    <mergeCell ref="O177:S177"/>
    <mergeCell ref="T177:X177"/>
    <mergeCell ref="Y177:AC177"/>
    <mergeCell ref="C176:I176"/>
    <mergeCell ref="J176:N176"/>
    <mergeCell ref="O176:S176"/>
    <mergeCell ref="T176:X176"/>
    <mergeCell ref="Y176:AC176"/>
    <mergeCell ref="Y178:AC178"/>
    <mergeCell ref="AD178:AH178"/>
    <mergeCell ref="C178:I178"/>
    <mergeCell ref="J178:N178"/>
    <mergeCell ref="O178:S178"/>
    <mergeCell ref="C184:I184"/>
    <mergeCell ref="J184:N184"/>
    <mergeCell ref="O184:S184"/>
    <mergeCell ref="T184:X184"/>
    <mergeCell ref="Y184:AC184"/>
    <mergeCell ref="C181:I181"/>
    <mergeCell ref="CV180:DO180"/>
    <mergeCell ref="AI179:AM179"/>
    <mergeCell ref="AN179:BG179"/>
    <mergeCell ref="BH179:CA179"/>
    <mergeCell ref="CB179:CU179"/>
    <mergeCell ref="CV179:DO179"/>
    <mergeCell ref="AI180:AM180"/>
    <mergeCell ref="AN180:BG180"/>
    <mergeCell ref="BH180:CA180"/>
    <mergeCell ref="CB180:CU180"/>
    <mergeCell ref="C180:I180"/>
    <mergeCell ref="J180:N180"/>
    <mergeCell ref="O180:S180"/>
    <mergeCell ref="T180:X180"/>
    <mergeCell ref="Y180:AC180"/>
    <mergeCell ref="C179:I179"/>
    <mergeCell ref="J179:N179"/>
    <mergeCell ref="O179:S179"/>
    <mergeCell ref="T179:X179"/>
    <mergeCell ref="Y179:AC179"/>
    <mergeCell ref="AD179:AH179"/>
    <mergeCell ref="AD184:AH184"/>
    <mergeCell ref="AI184:AM184"/>
    <mergeCell ref="AN184:BG184"/>
    <mergeCell ref="BH184:CA184"/>
    <mergeCell ref="CB184:CU184"/>
    <mergeCell ref="CV184:DO184"/>
    <mergeCell ref="J181:N181"/>
    <mergeCell ref="O181:S181"/>
    <mergeCell ref="T181:X181"/>
    <mergeCell ref="Y181:AC181"/>
    <mergeCell ref="CV181:DO181"/>
    <mergeCell ref="AI183:AM183"/>
    <mergeCell ref="AN183:BG183"/>
    <mergeCell ref="BH183:CA183"/>
    <mergeCell ref="CB183:CU183"/>
    <mergeCell ref="AD182:AH182"/>
    <mergeCell ref="AI181:AM181"/>
    <mergeCell ref="AN181:BG181"/>
    <mergeCell ref="BH181:CA181"/>
    <mergeCell ref="CB181:CU181"/>
    <mergeCell ref="AD186:AH186"/>
    <mergeCell ref="AI186:AM186"/>
    <mergeCell ref="AN186:BG186"/>
    <mergeCell ref="BH186:CA186"/>
    <mergeCell ref="CB186:CU186"/>
    <mergeCell ref="CV186:DO186"/>
    <mergeCell ref="AI185:AM185"/>
    <mergeCell ref="AN185:BG185"/>
    <mergeCell ref="BH185:CA185"/>
    <mergeCell ref="CB185:CU185"/>
    <mergeCell ref="CV185:DO185"/>
    <mergeCell ref="AI182:AM182"/>
    <mergeCell ref="AN182:BG182"/>
    <mergeCell ref="BH182:CA182"/>
    <mergeCell ref="CB182:CU182"/>
    <mergeCell ref="CV182:DO182"/>
    <mergeCell ref="C186:I186"/>
    <mergeCell ref="J186:N186"/>
    <mergeCell ref="O186:S186"/>
    <mergeCell ref="T186:X186"/>
    <mergeCell ref="Y186:AC186"/>
    <mergeCell ref="C185:I185"/>
    <mergeCell ref="J185:N185"/>
    <mergeCell ref="O185:S185"/>
    <mergeCell ref="T185:X185"/>
    <mergeCell ref="Y185:AC185"/>
    <mergeCell ref="AD185:AH185"/>
    <mergeCell ref="AI188:AM188"/>
    <mergeCell ref="AN188:BG188"/>
    <mergeCell ref="BH188:CA188"/>
    <mergeCell ref="CB188:CU188"/>
    <mergeCell ref="CV188:DO188"/>
    <mergeCell ref="AI187:AM187"/>
    <mergeCell ref="AN187:BG187"/>
    <mergeCell ref="BH187:CA187"/>
    <mergeCell ref="CB187:CU187"/>
    <mergeCell ref="CV187:DO187"/>
    <mergeCell ref="C188:I188"/>
    <mergeCell ref="J188:N188"/>
    <mergeCell ref="O188:S188"/>
    <mergeCell ref="T188:X188"/>
    <mergeCell ref="Y188:AC188"/>
    <mergeCell ref="C187:I187"/>
    <mergeCell ref="J187:N187"/>
    <mergeCell ref="O187:S187"/>
    <mergeCell ref="T187:X187"/>
    <mergeCell ref="Y187:AC187"/>
    <mergeCell ref="AD188:AH188"/>
    <mergeCell ref="AI190:AM190"/>
    <mergeCell ref="AN190:BG190"/>
    <mergeCell ref="BH190:CA190"/>
    <mergeCell ref="CB190:CU190"/>
    <mergeCell ref="CV190:DO190"/>
    <mergeCell ref="AI189:AM189"/>
    <mergeCell ref="AN189:BG189"/>
    <mergeCell ref="BH189:CA189"/>
    <mergeCell ref="CB189:CU189"/>
    <mergeCell ref="CV189:DO189"/>
    <mergeCell ref="C190:I190"/>
    <mergeCell ref="J190:N190"/>
    <mergeCell ref="O190:S190"/>
    <mergeCell ref="T190:X190"/>
    <mergeCell ref="Y190:AC190"/>
    <mergeCell ref="C189:I189"/>
    <mergeCell ref="J189:N189"/>
    <mergeCell ref="O189:S189"/>
    <mergeCell ref="T189:X189"/>
    <mergeCell ref="Y189:AC189"/>
    <mergeCell ref="AD190:AH190"/>
    <mergeCell ref="AD189:AH189"/>
    <mergeCell ref="AN192:BG192"/>
    <mergeCell ref="AI191:AM191"/>
    <mergeCell ref="AN191:BG191"/>
    <mergeCell ref="BH191:CA191"/>
    <mergeCell ref="CB191:CU191"/>
    <mergeCell ref="CV191:DO191"/>
    <mergeCell ref="BH192:CA192"/>
    <mergeCell ref="CB192:CU192"/>
    <mergeCell ref="CV192:DO192"/>
    <mergeCell ref="AI192:AM192"/>
    <mergeCell ref="C192:I192"/>
    <mergeCell ref="J192:N192"/>
    <mergeCell ref="O192:S192"/>
    <mergeCell ref="T192:X192"/>
    <mergeCell ref="Y192:AC192"/>
    <mergeCell ref="C191:I191"/>
    <mergeCell ref="J191:N191"/>
    <mergeCell ref="O191:S191"/>
    <mergeCell ref="T191:X191"/>
    <mergeCell ref="Y191:AC191"/>
    <mergeCell ref="AD192:AH192"/>
    <mergeCell ref="AD191:AH191"/>
    <mergeCell ref="AD194:AH194"/>
    <mergeCell ref="AI194:AM194"/>
    <mergeCell ref="AN194:BG194"/>
    <mergeCell ref="BH194:CA194"/>
    <mergeCell ref="CB194:CU194"/>
    <mergeCell ref="CV194:DO194"/>
    <mergeCell ref="AI193:AM193"/>
    <mergeCell ref="AN193:BG193"/>
    <mergeCell ref="BH193:CA193"/>
    <mergeCell ref="CB193:CU193"/>
    <mergeCell ref="CV193:DO193"/>
    <mergeCell ref="C194:I194"/>
    <mergeCell ref="J194:N194"/>
    <mergeCell ref="O194:S194"/>
    <mergeCell ref="T194:X194"/>
    <mergeCell ref="Y194:AC194"/>
    <mergeCell ref="C193:I193"/>
    <mergeCell ref="J193:N193"/>
    <mergeCell ref="O193:S193"/>
    <mergeCell ref="T193:X193"/>
    <mergeCell ref="Y193:AC193"/>
    <mergeCell ref="AD193:AH193"/>
    <mergeCell ref="C197:I197"/>
    <mergeCell ref="J197:N197"/>
    <mergeCell ref="O197:S197"/>
    <mergeCell ref="T197:X197"/>
    <mergeCell ref="Y197:AC197"/>
    <mergeCell ref="AD197:AH197"/>
    <mergeCell ref="AD196:AH196"/>
    <mergeCell ref="AI196:AM196"/>
    <mergeCell ref="AN196:BG196"/>
    <mergeCell ref="BH196:CA196"/>
    <mergeCell ref="CB196:CU196"/>
    <mergeCell ref="CV196:DO196"/>
    <mergeCell ref="AI195:AM195"/>
    <mergeCell ref="AN195:BG195"/>
    <mergeCell ref="BH195:CA195"/>
    <mergeCell ref="CB195:CU195"/>
    <mergeCell ref="CV195:DO195"/>
    <mergeCell ref="C196:I196"/>
    <mergeCell ref="J196:N196"/>
    <mergeCell ref="O196:S196"/>
    <mergeCell ref="T196:X196"/>
    <mergeCell ref="Y196:AC196"/>
    <mergeCell ref="C195:I195"/>
    <mergeCell ref="J195:N195"/>
    <mergeCell ref="O195:S195"/>
    <mergeCell ref="T195:X195"/>
    <mergeCell ref="Y195:AC195"/>
    <mergeCell ref="AD195:AH195"/>
    <mergeCell ref="C200:I200"/>
    <mergeCell ref="J200:N200"/>
    <mergeCell ref="O200:S200"/>
    <mergeCell ref="T200:X200"/>
    <mergeCell ref="Y200:AC200"/>
    <mergeCell ref="C199:I199"/>
    <mergeCell ref="J199:N199"/>
    <mergeCell ref="O199:S199"/>
    <mergeCell ref="T199:X199"/>
    <mergeCell ref="Y199:AC199"/>
    <mergeCell ref="AD199:AH199"/>
    <mergeCell ref="AD198:AH198"/>
    <mergeCell ref="AI198:AM198"/>
    <mergeCell ref="AN198:BG198"/>
    <mergeCell ref="BH198:CA198"/>
    <mergeCell ref="CB198:CU198"/>
    <mergeCell ref="CV198:DO198"/>
    <mergeCell ref="C198:I198"/>
    <mergeCell ref="J198:N198"/>
    <mergeCell ref="O198:S198"/>
    <mergeCell ref="T198:X198"/>
    <mergeCell ref="Y198:AC198"/>
    <mergeCell ref="AD187:AH187"/>
    <mergeCell ref="AD181:AH181"/>
    <mergeCell ref="AD180:AH180"/>
    <mergeCell ref="AD128:AH128"/>
    <mergeCell ref="AI128:AM128"/>
    <mergeCell ref="AN128:BG128"/>
    <mergeCell ref="BH128:CA128"/>
    <mergeCell ref="CB128:CU128"/>
    <mergeCell ref="CV128:DO128"/>
    <mergeCell ref="AD200:AH200"/>
    <mergeCell ref="AI200:AM200"/>
    <mergeCell ref="AN200:BG200"/>
    <mergeCell ref="BH200:CA200"/>
    <mergeCell ref="CB200:CU200"/>
    <mergeCell ref="CV200:DO200"/>
    <mergeCell ref="AI199:AM199"/>
    <mergeCell ref="AN199:BG199"/>
    <mergeCell ref="BH199:CA199"/>
    <mergeCell ref="CB199:CU199"/>
    <mergeCell ref="CV199:DO199"/>
    <mergeCell ref="AI197:AM197"/>
    <mergeCell ref="AN197:BG197"/>
    <mergeCell ref="BH197:CA197"/>
    <mergeCell ref="CB197:CU197"/>
    <mergeCell ref="CV197:DO197"/>
    <mergeCell ref="CB141:CU141"/>
    <mergeCell ref="CV141:DO141"/>
    <mergeCell ref="AD142:AH142"/>
    <mergeCell ref="AI142:AM142"/>
    <mergeCell ref="BH142:CA142"/>
    <mergeCell ref="AI140:AM140"/>
    <mergeCell ref="AN140:BG140"/>
    <mergeCell ref="C141:I141"/>
    <mergeCell ref="J141:N141"/>
    <mergeCell ref="O141:S141"/>
    <mergeCell ref="T141:X141"/>
    <mergeCell ref="Y141:AC141"/>
    <mergeCell ref="AD141:AH141"/>
    <mergeCell ref="BH141:CA141"/>
    <mergeCell ref="C140:I140"/>
    <mergeCell ref="J140:N140"/>
    <mergeCell ref="O140:S140"/>
    <mergeCell ref="T140:X140"/>
    <mergeCell ref="Y140:AC140"/>
    <mergeCell ref="AD140:AH140"/>
    <mergeCell ref="AI143:AM143"/>
    <mergeCell ref="AN143:BG143"/>
    <mergeCell ref="BH143:CA143"/>
    <mergeCell ref="CB143:CU143"/>
    <mergeCell ref="AD144:AH144"/>
    <mergeCell ref="AI144:AM144"/>
    <mergeCell ref="AN144:BG144"/>
    <mergeCell ref="BH144:CA144"/>
    <mergeCell ref="CB144:CU144"/>
    <mergeCell ref="CV144:DO144"/>
    <mergeCell ref="CV143:DO143"/>
    <mergeCell ref="C144:I144"/>
    <mergeCell ref="J144:N144"/>
    <mergeCell ref="O144:S144"/>
    <mergeCell ref="T144:X144"/>
    <mergeCell ref="Y144:AC144"/>
    <mergeCell ref="AN142:BG142"/>
    <mergeCell ref="CB142:CU142"/>
    <mergeCell ref="CV142:DO142"/>
    <mergeCell ref="C143:I143"/>
    <mergeCell ref="J143:N143"/>
    <mergeCell ref="O143:S143"/>
    <mergeCell ref="T143:X143"/>
    <mergeCell ref="Y143:AC143"/>
    <mergeCell ref="AD143:AH143"/>
    <mergeCell ref="AD146:AH146"/>
    <mergeCell ref="AI146:AM146"/>
    <mergeCell ref="AN146:BG146"/>
    <mergeCell ref="BH146:CA146"/>
    <mergeCell ref="CB146:CU146"/>
    <mergeCell ref="CV146:DO146"/>
    <mergeCell ref="C146:I146"/>
    <mergeCell ref="J146:N146"/>
    <mergeCell ref="O146:S146"/>
    <mergeCell ref="T146:X146"/>
    <mergeCell ref="Y146:AC146"/>
    <mergeCell ref="C145:I145"/>
    <mergeCell ref="J145:N145"/>
    <mergeCell ref="O145:S145"/>
    <mergeCell ref="T145:X145"/>
    <mergeCell ref="Y145:AC145"/>
    <mergeCell ref="AD145:AH145"/>
    <mergeCell ref="AI145:AM145"/>
    <mergeCell ref="AN145:BG145"/>
    <mergeCell ref="BH145:CA145"/>
    <mergeCell ref="CB145:CU145"/>
    <mergeCell ref="CV145:DO145"/>
    <mergeCell ref="AD148:AH148"/>
    <mergeCell ref="AI148:AM148"/>
    <mergeCell ref="AN148:BG148"/>
    <mergeCell ref="BH148:CA148"/>
    <mergeCell ref="CB148:CU148"/>
    <mergeCell ref="CV148:DO148"/>
    <mergeCell ref="AI149:AM149"/>
    <mergeCell ref="AN149:BG149"/>
    <mergeCell ref="BH149:CA149"/>
    <mergeCell ref="AI147:AM147"/>
    <mergeCell ref="AN147:BG147"/>
    <mergeCell ref="BH147:CA147"/>
    <mergeCell ref="CB147:CU147"/>
    <mergeCell ref="CV147:DO147"/>
    <mergeCell ref="C148:I148"/>
    <mergeCell ref="J148:N148"/>
    <mergeCell ref="O148:S148"/>
    <mergeCell ref="T148:X148"/>
    <mergeCell ref="Y148:AC148"/>
    <mergeCell ref="C147:I147"/>
    <mergeCell ref="J147:N147"/>
    <mergeCell ref="O147:S147"/>
    <mergeCell ref="T147:X147"/>
    <mergeCell ref="Y147:AC147"/>
    <mergeCell ref="AD147:AH147"/>
    <mergeCell ref="AI151:AM151"/>
    <mergeCell ref="AN151:BG151"/>
    <mergeCell ref="BH151:CA151"/>
    <mergeCell ref="C152:I152"/>
    <mergeCell ref="J152:N152"/>
    <mergeCell ref="O152:S152"/>
    <mergeCell ref="T152:X152"/>
    <mergeCell ref="Y152:AC152"/>
    <mergeCell ref="AD152:AH152"/>
    <mergeCell ref="T151:X151"/>
    <mergeCell ref="CV150:DO150"/>
    <mergeCell ref="CB149:CU149"/>
    <mergeCell ref="CV149:DO149"/>
    <mergeCell ref="C150:I150"/>
    <mergeCell ref="J150:N150"/>
    <mergeCell ref="O150:S150"/>
    <mergeCell ref="T150:X150"/>
    <mergeCell ref="Y150:AC150"/>
    <mergeCell ref="C149:I149"/>
    <mergeCell ref="J149:N149"/>
    <mergeCell ref="O149:S149"/>
    <mergeCell ref="T149:X149"/>
    <mergeCell ref="Y149:AC149"/>
    <mergeCell ref="AD149:AH149"/>
    <mergeCell ref="Y138:AC138"/>
    <mergeCell ref="C182:I182"/>
    <mergeCell ref="J182:N182"/>
    <mergeCell ref="O182:S182"/>
    <mergeCell ref="T182:X182"/>
    <mergeCell ref="Y182:AC182"/>
    <mergeCell ref="T178:X178"/>
    <mergeCell ref="CV178:DO178"/>
    <mergeCell ref="CB152:CU152"/>
    <mergeCell ref="CV152:DO152"/>
    <mergeCell ref="CB151:CU151"/>
    <mergeCell ref="CV151:DO151"/>
    <mergeCell ref="Y151:AC151"/>
    <mergeCell ref="AD150:AH150"/>
    <mergeCell ref="AI150:AM150"/>
    <mergeCell ref="AN150:BG150"/>
    <mergeCell ref="BH150:CA150"/>
    <mergeCell ref="AD151:AH151"/>
    <mergeCell ref="CB150:CU150"/>
    <mergeCell ref="AI152:AM152"/>
    <mergeCell ref="AN152:BG152"/>
    <mergeCell ref="BH152:CA152"/>
    <mergeCell ref="AD176:AH176"/>
    <mergeCell ref="AD175:AH175"/>
    <mergeCell ref="AI175:AM175"/>
    <mergeCell ref="AN175:BG175"/>
    <mergeCell ref="BH175:CA175"/>
    <mergeCell ref="AD174:AH174"/>
    <mergeCell ref="AD173:AH173"/>
    <mergeCell ref="C151:I151"/>
    <mergeCell ref="J151:N151"/>
    <mergeCell ref="O151:S15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showGridLines="0" zoomScaleNormal="100" workbookViewId="0"/>
  </sheetViews>
  <sheetFormatPr defaultColWidth="2.6640625" defaultRowHeight="13.5" customHeight="1"/>
  <cols>
    <col min="1" max="16384" width="2.6640625" style="12"/>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vt:i4>
      </vt:variant>
    </vt:vector>
  </HeadingPairs>
  <TitlesOfParts>
    <vt:vector size="108" baseType="lpstr">
      <vt:lpstr>Intro</vt:lpstr>
      <vt:lpstr>Basics</vt:lpstr>
      <vt:lpstr>Abilities</vt:lpstr>
      <vt:lpstr>Skills</vt:lpstr>
      <vt:lpstr>Adv</vt:lpstr>
      <vt:lpstr>PComps</vt:lpstr>
      <vt:lpstr>Powers</vt:lpstr>
      <vt:lpstr>EqComps</vt:lpstr>
      <vt:lpstr>Equip</vt:lpstr>
      <vt:lpstr>Ex</vt:lpstr>
      <vt:lpstr>Details</vt:lpstr>
      <vt:lpstr>Calc</vt:lpstr>
      <vt:lpstr>Custom</vt:lpstr>
      <vt:lpstr>Forums</vt:lpstr>
      <vt:lpstr>Reference</vt:lpstr>
      <vt:lpstr>Data</vt:lpstr>
      <vt:lpstr>Blank</vt:lpstr>
      <vt:lpstr>AbilityBenchmarks</vt:lpstr>
      <vt:lpstr>AbilityScoreMatrix</vt:lpstr>
      <vt:lpstr>AdvantageChart</vt:lpstr>
      <vt:lpstr>AdvantageList</vt:lpstr>
      <vt:lpstr>Age</vt:lpstr>
      <vt:lpstr>Agility</vt:lpstr>
      <vt:lpstr>AlternateIdentity</vt:lpstr>
      <vt:lpstr>Awareness</vt:lpstr>
      <vt:lpstr>BaseOfOperations</vt:lpstr>
      <vt:lpstr>CampaignPowerLevel</vt:lpstr>
      <vt:lpstr>CloseCombatAdv</vt:lpstr>
      <vt:lpstr>CombatSkillList</vt:lpstr>
      <vt:lpstr>CombatSkillsMatrix</vt:lpstr>
      <vt:lpstr>ComponentIndex</vt:lpstr>
      <vt:lpstr>ComponentMatrix</vt:lpstr>
      <vt:lpstr>Dexterity</vt:lpstr>
      <vt:lpstr>Dodge</vt:lpstr>
      <vt:lpstr>EnhancedAgility</vt:lpstr>
      <vt:lpstr>EnhancedAwareness</vt:lpstr>
      <vt:lpstr>EnhancedDexterity</vt:lpstr>
      <vt:lpstr>EnhancedDodge</vt:lpstr>
      <vt:lpstr>EnhancedFighting</vt:lpstr>
      <vt:lpstr>EnhancedFortitude</vt:lpstr>
      <vt:lpstr>EnhancedInitiative</vt:lpstr>
      <vt:lpstr>EnhancedIntellect</vt:lpstr>
      <vt:lpstr>EnhancedParry</vt:lpstr>
      <vt:lpstr>EnhancedPresence</vt:lpstr>
      <vt:lpstr>EnhancedStamina</vt:lpstr>
      <vt:lpstr>EnhancedStrength</vt:lpstr>
      <vt:lpstr>EnhancedWill</vt:lpstr>
      <vt:lpstr>EqCompIndex</vt:lpstr>
      <vt:lpstr>EqCompMatrix</vt:lpstr>
      <vt:lpstr>Eyes</vt:lpstr>
      <vt:lpstr>Fighting</vt:lpstr>
      <vt:lpstr>Fortitude</vt:lpstr>
      <vt:lpstr>Gender</vt:lpstr>
      <vt:lpstr>GroupAffiliation</vt:lpstr>
      <vt:lpstr>Hair</vt:lpstr>
      <vt:lpstr>Height</vt:lpstr>
      <vt:lpstr>HeroName</vt:lpstr>
      <vt:lpstr>Initiative</vt:lpstr>
      <vt:lpstr>Intellect</vt:lpstr>
      <vt:lpstr>Offense1</vt:lpstr>
      <vt:lpstr>Offense2</vt:lpstr>
      <vt:lpstr>Offense3</vt:lpstr>
      <vt:lpstr>Offense4</vt:lpstr>
      <vt:lpstr>Offense5</vt:lpstr>
      <vt:lpstr>Offense6</vt:lpstr>
      <vt:lpstr>OffNotes1</vt:lpstr>
      <vt:lpstr>OffNotes2</vt:lpstr>
      <vt:lpstr>OffNotes3</vt:lpstr>
      <vt:lpstr>OffNotes4</vt:lpstr>
      <vt:lpstr>OffNotes5</vt:lpstr>
      <vt:lpstr>OffNotes6</vt:lpstr>
      <vt:lpstr>OffPower1</vt:lpstr>
      <vt:lpstr>OffPower2</vt:lpstr>
      <vt:lpstr>OffPower3</vt:lpstr>
      <vt:lpstr>OffPower4</vt:lpstr>
      <vt:lpstr>OffPower5</vt:lpstr>
      <vt:lpstr>OffPower6</vt:lpstr>
      <vt:lpstr>OffToHit1</vt:lpstr>
      <vt:lpstr>OffToHit2</vt:lpstr>
      <vt:lpstr>OffToHit3</vt:lpstr>
      <vt:lpstr>OffToHit4</vt:lpstr>
      <vt:lpstr>OffToHit5</vt:lpstr>
      <vt:lpstr>OffToHit6</vt:lpstr>
      <vt:lpstr>Parry</vt:lpstr>
      <vt:lpstr>PermanentGrowth</vt:lpstr>
      <vt:lpstr>PermanentShrinking</vt:lpstr>
      <vt:lpstr>Player</vt:lpstr>
      <vt:lpstr>PointsAbilities</vt:lpstr>
      <vt:lpstr>PointsAdvantages</vt:lpstr>
      <vt:lpstr>PointsDefenses</vt:lpstr>
      <vt:lpstr>PointsPowers</vt:lpstr>
      <vt:lpstr>PointsSkills</vt:lpstr>
      <vt:lpstr>PointsTotal</vt:lpstr>
      <vt:lpstr>PowerEffectsChart</vt:lpstr>
      <vt:lpstr>PowerEffectsList</vt:lpstr>
      <vt:lpstr>PowerExamplesList</vt:lpstr>
      <vt:lpstr>PowerExamplesMatrix</vt:lpstr>
      <vt:lpstr>PowerPointsSpent</vt:lpstr>
      <vt:lpstr>Presence</vt:lpstr>
      <vt:lpstr>Custom!Print_Area</vt:lpstr>
      <vt:lpstr>Reference!Print_Area</vt:lpstr>
      <vt:lpstr>RangedCombatAdv</vt:lpstr>
      <vt:lpstr>Stamina</vt:lpstr>
      <vt:lpstr>Strength</vt:lpstr>
      <vt:lpstr>Toughness</vt:lpstr>
      <vt:lpstr>TypeofAltID</vt:lpstr>
      <vt:lpstr>Weight</vt:lpstr>
      <vt:lpstr>Will</vt:lpstr>
    </vt:vector>
  </TitlesOfParts>
  <Company>Whatever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Ski</dc:creator>
  <cp:lastModifiedBy>Michael Yang</cp:lastModifiedBy>
  <cp:lastPrinted>2010-07-26T16:29:23Z</cp:lastPrinted>
  <dcterms:created xsi:type="dcterms:W3CDTF">2010-07-14T11:32:06Z</dcterms:created>
  <dcterms:modified xsi:type="dcterms:W3CDTF">2016-06-09T02:19:40Z</dcterms:modified>
</cp:coreProperties>
</file>